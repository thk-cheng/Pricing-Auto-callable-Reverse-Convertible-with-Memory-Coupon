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1155063972\Desktop\"/>
    </mc:Choice>
  </mc:AlternateContent>
  <bookViews>
    <workbookView xWindow="0" yWindow="60" windowWidth="15360" windowHeight="7590" tabRatio="834" firstSheet="3" activeTab="20"/>
  </bookViews>
  <sheets>
    <sheet name="read me" sheetId="17" r:id="rId1"/>
    <sheet name="Parameter Page" sheetId="1" r:id="rId2"/>
    <sheet name="Cholesky Decomposition" sheetId="6" r:id="rId3"/>
    <sheet name="Changes in S1" sheetId="18" r:id="rId4"/>
    <sheet name="Changes in S2" sheetId="19" r:id="rId5"/>
    <sheet name="Changes in S3" sheetId="20" r:id="rId6"/>
    <sheet name="v1(0)" sheetId="21" r:id="rId7"/>
    <sheet name="v2(0)" sheetId="22" r:id="rId8"/>
    <sheet name="v3(0)" sheetId="23" r:id="rId9"/>
    <sheet name="sigma_v1" sheetId="24" r:id="rId10"/>
    <sheet name="sigma_v2" sheetId="25" r:id="rId11"/>
    <sheet name="sigma_v3" sheetId="26" r:id="rId12"/>
    <sheet name="theta_1" sheetId="27" r:id="rId13"/>
    <sheet name="theta_2" sheetId="28" r:id="rId14"/>
    <sheet name="theta_3" sheetId="29" r:id="rId15"/>
    <sheet name="kappa_1" sheetId="30" r:id="rId16"/>
    <sheet name="kappa_2" sheetId="31" r:id="rId17"/>
    <sheet name="kappa_3" sheetId="32" r:id="rId18"/>
    <sheet name="r1" sheetId="33" r:id="rId19"/>
    <sheet name="r2" sheetId="34" r:id="rId20"/>
    <sheet name="r3" sheetId="35" r:id="rId21"/>
  </sheets>
  <externalReferences>
    <externalReference r:id="rId2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1" l="1"/>
  <c r="K6" i="35" l="1"/>
  <c r="K5" i="35"/>
  <c r="I3" i="35"/>
  <c r="K6" i="34"/>
  <c r="K5" i="34"/>
  <c r="I3" i="34"/>
  <c r="K6" i="33"/>
  <c r="K5" i="33"/>
  <c r="I3" i="33"/>
  <c r="C1" i="32"/>
  <c r="I6" i="32" s="1"/>
  <c r="K6" i="32"/>
  <c r="K5" i="32"/>
  <c r="I3" i="32"/>
  <c r="K6" i="31"/>
  <c r="K5" i="31"/>
  <c r="I3" i="31"/>
  <c r="K6" i="30"/>
  <c r="K5" i="30"/>
  <c r="I3" i="30"/>
  <c r="K6" i="29"/>
  <c r="K5" i="29"/>
  <c r="I3" i="29"/>
  <c r="K6" i="28"/>
  <c r="K5" i="28"/>
  <c r="I3" i="28"/>
  <c r="K6" i="27"/>
  <c r="K5" i="27"/>
  <c r="I3" i="27"/>
  <c r="K6" i="26"/>
  <c r="K5" i="26"/>
  <c r="I3" i="26"/>
  <c r="K6" i="25"/>
  <c r="K5" i="25"/>
  <c r="I3" i="25"/>
  <c r="K6" i="24"/>
  <c r="K5" i="24"/>
  <c r="I3" i="24"/>
  <c r="K6" i="23"/>
  <c r="K5" i="23"/>
  <c r="I3" i="23"/>
  <c r="K6" i="22"/>
  <c r="K5" i="22"/>
  <c r="I3" i="22"/>
  <c r="I5" i="32" l="1"/>
  <c r="I4" i="32"/>
  <c r="D16" i="1"/>
  <c r="C1" i="35" l="1"/>
  <c r="C1" i="34"/>
  <c r="C1" i="33"/>
  <c r="C1" i="31"/>
  <c r="I3" i="21"/>
  <c r="C1" i="30"/>
  <c r="C1" i="29"/>
  <c r="C1" i="28"/>
  <c r="C1" i="27"/>
  <c r="C1" i="26"/>
  <c r="E1" i="26"/>
  <c r="B4" i="26" s="1"/>
  <c r="C1" i="25"/>
  <c r="C1" i="24"/>
  <c r="C1" i="23"/>
  <c r="C1" i="22"/>
  <c r="E1" i="22"/>
  <c r="B4" i="22" s="1"/>
  <c r="C1" i="21"/>
  <c r="C1" i="20"/>
  <c r="F1" i="20" s="1"/>
  <c r="C1" i="19"/>
  <c r="F1" i="19" s="1"/>
  <c r="C1" i="18"/>
  <c r="F1" i="18" s="1"/>
  <c r="I4" i="23" l="1"/>
  <c r="I6" i="23"/>
  <c r="I5" i="23"/>
  <c r="I4" i="29"/>
  <c r="I5" i="29"/>
  <c r="I6" i="29"/>
  <c r="E1" i="20"/>
  <c r="B4" i="20" s="1"/>
  <c r="A4" i="20" s="1"/>
  <c r="I6" i="26"/>
  <c r="I5" i="26"/>
  <c r="I4" i="26"/>
  <c r="I4" i="35"/>
  <c r="I5" i="35"/>
  <c r="I6" i="35"/>
  <c r="I6" i="25"/>
  <c r="I5" i="25"/>
  <c r="I4" i="25"/>
  <c r="I4" i="28"/>
  <c r="I5" i="28"/>
  <c r="I6" i="28"/>
  <c r="I5" i="34"/>
  <c r="I4" i="34"/>
  <c r="I6" i="34"/>
  <c r="I6" i="22"/>
  <c r="I5" i="22"/>
  <c r="I4" i="22"/>
  <c r="I5" i="31"/>
  <c r="I4" i="31"/>
  <c r="I6" i="31"/>
  <c r="E1" i="24"/>
  <c r="B4" i="24" s="1"/>
  <c r="A4" i="24" s="1"/>
  <c r="I5" i="24"/>
  <c r="I4" i="24"/>
  <c r="I6" i="24"/>
  <c r="I6" i="30"/>
  <c r="I4" i="30"/>
  <c r="I5" i="30"/>
  <c r="I4" i="27"/>
  <c r="I6" i="27"/>
  <c r="I5" i="27"/>
  <c r="I4" i="33"/>
  <c r="I5" i="33"/>
  <c r="I6" i="33"/>
  <c r="E1" i="18"/>
  <c r="B4" i="18" s="1"/>
  <c r="B5" i="18" s="1"/>
  <c r="I5" i="21"/>
  <c r="I4" i="21"/>
  <c r="I6" i="21"/>
  <c r="E1" i="27"/>
  <c r="F1" i="25"/>
  <c r="F1" i="27"/>
  <c r="E1" i="19"/>
  <c r="B4" i="19" s="1"/>
  <c r="F1" i="24"/>
  <c r="F1" i="29"/>
  <c r="F1" i="22"/>
  <c r="E1" i="23"/>
  <c r="B4" i="23" s="1"/>
  <c r="A4" i="23" s="1"/>
  <c r="D1" i="35"/>
  <c r="F1" i="35"/>
  <c r="E1" i="35"/>
  <c r="B4" i="35" s="1"/>
  <c r="E1" i="34"/>
  <c r="B4" i="34" s="1"/>
  <c r="A4" i="34" s="1"/>
  <c r="F1" i="34"/>
  <c r="D1" i="34"/>
  <c r="F1" i="33"/>
  <c r="E1" i="33"/>
  <c r="B4" i="33" s="1"/>
  <c r="D1" i="33"/>
  <c r="F1" i="32"/>
  <c r="E1" i="32"/>
  <c r="B4" i="32" s="1"/>
  <c r="F1" i="31"/>
  <c r="E1" i="31"/>
  <c r="B4" i="31" s="1"/>
  <c r="B5" i="31" s="1"/>
  <c r="F1" i="30"/>
  <c r="E1" i="30"/>
  <c r="B4" i="30" s="1"/>
  <c r="E1" i="29"/>
  <c r="B4" i="29" s="1"/>
  <c r="A4" i="29" s="1"/>
  <c r="B5" i="29"/>
  <c r="E1" i="28"/>
  <c r="B4" i="28" s="1"/>
  <c r="F1" i="28"/>
  <c r="B4" i="27"/>
  <c r="F1" i="26"/>
  <c r="B5" i="26"/>
  <c r="A4" i="26"/>
  <c r="E1" i="25"/>
  <c r="B4" i="25" s="1"/>
  <c r="B5" i="25" s="1"/>
  <c r="B5" i="23"/>
  <c r="A5" i="23" s="1"/>
  <c r="F1" i="23"/>
  <c r="B5" i="22"/>
  <c r="A4" i="22"/>
  <c r="F1" i="21"/>
  <c r="E1" i="21"/>
  <c r="B4" i="21" s="1"/>
  <c r="D23" i="1"/>
  <c r="C22" i="1"/>
  <c r="B21" i="1"/>
  <c r="B5" i="20" l="1"/>
  <c r="B5" i="34"/>
  <c r="B5" i="24"/>
  <c r="A4" i="18"/>
  <c r="B6" i="20"/>
  <c r="A5" i="20"/>
  <c r="A4" i="19"/>
  <c r="B5" i="19"/>
  <c r="A4" i="27"/>
  <c r="B5" i="27"/>
  <c r="B6" i="23"/>
  <c r="A5" i="18"/>
  <c r="B6" i="18"/>
  <c r="B5" i="35"/>
  <c r="A4" i="35"/>
  <c r="B6" i="34"/>
  <c r="A5" i="34"/>
  <c r="B5" i="33"/>
  <c r="A4" i="33"/>
  <c r="A4" i="32"/>
  <c r="B5" i="32"/>
  <c r="A4" i="31"/>
  <c r="A5" i="31"/>
  <c r="B6" i="31"/>
  <c r="B5" i="30"/>
  <c r="A4" i="30"/>
  <c r="A5" i="29"/>
  <c r="B6" i="29"/>
  <c r="B5" i="28"/>
  <c r="A4" i="28"/>
  <c r="A5" i="26"/>
  <c r="B6" i="26"/>
  <c r="A4" i="25"/>
  <c r="A5" i="25"/>
  <c r="B6" i="25"/>
  <c r="A6" i="23"/>
  <c r="B7" i="23"/>
  <c r="A5" i="22"/>
  <c r="B6" i="22"/>
  <c r="B5" i="21"/>
  <c r="A4" i="21"/>
  <c r="F23" i="1"/>
  <c r="E23" i="1"/>
  <c r="E22" i="1"/>
  <c r="C23" i="1"/>
  <c r="B23" i="1"/>
  <c r="D22" i="1"/>
  <c r="B22" i="1"/>
  <c r="A5" i="24" l="1"/>
  <c r="B6" i="24"/>
  <c r="A6" i="18"/>
  <c r="B7" i="18"/>
  <c r="B6" i="19"/>
  <c r="A5" i="19"/>
  <c r="A5" i="27"/>
  <c r="B6" i="27"/>
  <c r="A6" i="20"/>
  <c r="B7" i="20"/>
  <c r="A5" i="35"/>
  <c r="B6" i="35"/>
  <c r="A6" i="34"/>
  <c r="B7" i="34"/>
  <c r="A5" i="33"/>
  <c r="B6" i="33"/>
  <c r="B6" i="32"/>
  <c r="A5" i="32"/>
  <c r="A6" i="31"/>
  <c r="B7" i="31"/>
  <c r="B6" i="30"/>
  <c r="A5" i="30"/>
  <c r="A6" i="29"/>
  <c r="B7" i="29"/>
  <c r="B6" i="28"/>
  <c r="A5" i="28"/>
  <c r="A6" i="26"/>
  <c r="B7" i="26"/>
  <c r="A6" i="25"/>
  <c r="B7" i="25"/>
  <c r="B8" i="23"/>
  <c r="A7" i="23"/>
  <c r="A6" i="22"/>
  <c r="B7" i="22"/>
  <c r="B6" i="21"/>
  <c r="A5" i="21"/>
  <c r="F7" i="6"/>
  <c r="E7" i="6"/>
  <c r="D7" i="6"/>
  <c r="C7" i="6"/>
  <c r="B7" i="6"/>
  <c r="A7" i="6"/>
  <c r="E6" i="6"/>
  <c r="D6" i="6"/>
  <c r="C6" i="6"/>
  <c r="B6" i="6"/>
  <c r="A6" i="6"/>
  <c r="D5" i="6"/>
  <c r="A5" i="6"/>
  <c r="C4" i="6"/>
  <c r="B4" i="6"/>
  <c r="A4" i="6"/>
  <c r="B3" i="6"/>
  <c r="A3" i="6"/>
  <c r="A2" i="6"/>
  <c r="A10" i="6" s="1"/>
  <c r="G22" i="1"/>
  <c r="F6" i="6" s="1"/>
  <c r="G21" i="1"/>
  <c r="F5" i="6" s="1"/>
  <c r="D19" i="1"/>
  <c r="C3" i="6" s="1"/>
  <c r="F21" i="1"/>
  <c r="E5" i="6" s="1"/>
  <c r="G20" i="1"/>
  <c r="F4" i="6" s="1"/>
  <c r="F20" i="1"/>
  <c r="E4" i="6" s="1"/>
  <c r="G19" i="1"/>
  <c r="F3" i="6" s="1"/>
  <c r="F19" i="1"/>
  <c r="E3" i="6" s="1"/>
  <c r="G18" i="1"/>
  <c r="F2" i="6" s="1"/>
  <c r="F18" i="1"/>
  <c r="E2" i="6" s="1"/>
  <c r="E18" i="1"/>
  <c r="D2" i="6" s="1"/>
  <c r="D18" i="1"/>
  <c r="D21" i="1" s="1"/>
  <c r="C5" i="6" s="1"/>
  <c r="C18" i="1"/>
  <c r="C21" i="1" s="1"/>
  <c r="B5" i="6" s="1"/>
  <c r="A6" i="24" l="1"/>
  <c r="B7" i="24"/>
  <c r="B8" i="20"/>
  <c r="A7" i="20"/>
  <c r="A6" i="19"/>
  <c r="B7" i="19"/>
  <c r="A7" i="18"/>
  <c r="B8" i="18"/>
  <c r="B7" i="27"/>
  <c r="A6" i="27"/>
  <c r="A6" i="35"/>
  <c r="B7" i="35"/>
  <c r="B8" i="34"/>
  <c r="A7" i="34"/>
  <c r="A6" i="33"/>
  <c r="B7" i="33"/>
  <c r="A6" i="32"/>
  <c r="B7" i="32"/>
  <c r="B8" i="31"/>
  <c r="A7" i="31"/>
  <c r="A6" i="30"/>
  <c r="B7" i="30"/>
  <c r="B8" i="29"/>
  <c r="A7" i="29"/>
  <c r="B7" i="28"/>
  <c r="A6" i="28"/>
  <c r="B8" i="26"/>
  <c r="A7" i="26"/>
  <c r="B8" i="25"/>
  <c r="A7" i="25"/>
  <c r="A8" i="23"/>
  <c r="B9" i="23"/>
  <c r="B8" i="22"/>
  <c r="A7" i="22"/>
  <c r="A6" i="21"/>
  <c r="B7" i="21"/>
  <c r="C2" i="6"/>
  <c r="E20" i="1"/>
  <c r="D4" i="6" s="1"/>
  <c r="E19" i="1"/>
  <c r="D3" i="6" s="1"/>
  <c r="B2" i="6"/>
  <c r="A14" i="6"/>
  <c r="A12" i="6"/>
  <c r="A11" i="6"/>
  <c r="B11" i="6" s="1"/>
  <c r="A13" i="6"/>
  <c r="A15" i="6"/>
  <c r="P9" i="1"/>
  <c r="P8" i="1"/>
  <c r="P7" i="1"/>
  <c r="P6" i="1"/>
  <c r="P5" i="1"/>
  <c r="P4" i="1"/>
  <c r="P3" i="1"/>
  <c r="B8" i="24" l="1"/>
  <c r="A7" i="24"/>
  <c r="B8" i="19"/>
  <c r="A7" i="19"/>
  <c r="B8" i="27"/>
  <c r="A7" i="27"/>
  <c r="A8" i="18"/>
  <c r="B9" i="18"/>
  <c r="B9" i="20"/>
  <c r="A8" i="20"/>
  <c r="B8" i="35"/>
  <c r="A7" i="35"/>
  <c r="A8" i="34"/>
  <c r="B9" i="34"/>
  <c r="B8" i="33"/>
  <c r="A7" i="33"/>
  <c r="A7" i="32"/>
  <c r="B8" i="32"/>
  <c r="A8" i="31"/>
  <c r="B9" i="31"/>
  <c r="A7" i="30"/>
  <c r="B8" i="30"/>
  <c r="A8" i="29"/>
  <c r="B9" i="29"/>
  <c r="A7" i="28"/>
  <c r="B8" i="28"/>
  <c r="A8" i="26"/>
  <c r="B9" i="26"/>
  <c r="A8" i="25"/>
  <c r="B9" i="25"/>
  <c r="A9" i="23"/>
  <c r="B10" i="23"/>
  <c r="A8" i="22"/>
  <c r="B9" i="22"/>
  <c r="B8" i="21"/>
  <c r="A7" i="21"/>
  <c r="B13" i="6"/>
  <c r="B14" i="6"/>
  <c r="B12" i="6"/>
  <c r="C12" i="6" s="1"/>
  <c r="B15" i="6"/>
  <c r="R2" i="1"/>
  <c r="T8" i="1"/>
  <c r="T7" i="1"/>
  <c r="T6" i="1"/>
  <c r="T5" i="1"/>
  <c r="T4" i="1"/>
  <c r="T3" i="1"/>
  <c r="T2" i="1"/>
  <c r="G2" i="1"/>
  <c r="R8" i="1"/>
  <c r="R7" i="1"/>
  <c r="R6" i="1"/>
  <c r="R5" i="1"/>
  <c r="R4" i="1"/>
  <c r="R3" i="1"/>
  <c r="O9" i="1"/>
  <c r="O8" i="1"/>
  <c r="O7" i="1"/>
  <c r="O6" i="1"/>
  <c r="O5" i="1"/>
  <c r="O4" i="1"/>
  <c r="O3" i="1"/>
  <c r="O2" i="1"/>
  <c r="L9" i="1"/>
  <c r="L17" i="1" s="1"/>
  <c r="L8" i="1"/>
  <c r="L7" i="1"/>
  <c r="L6" i="1"/>
  <c r="L14" i="1" s="1"/>
  <c r="L5" i="1"/>
  <c r="L13" i="1" s="1"/>
  <c r="L4" i="1"/>
  <c r="L3" i="1"/>
  <c r="L2" i="1"/>
  <c r="M9" i="1"/>
  <c r="M8" i="1"/>
  <c r="M7" i="1"/>
  <c r="M6" i="1"/>
  <c r="M5" i="1"/>
  <c r="M4" i="1"/>
  <c r="M3" i="1"/>
  <c r="C14" i="6" l="1"/>
  <c r="B9" i="24"/>
  <c r="A8" i="24"/>
  <c r="L11" i="1"/>
  <c r="L12" i="1"/>
  <c r="B9" i="27"/>
  <c r="A8" i="27"/>
  <c r="B10" i="18"/>
  <c r="A9" i="18"/>
  <c r="A8" i="19"/>
  <c r="B9" i="19"/>
  <c r="L15" i="1"/>
  <c r="L16" i="1"/>
  <c r="B10" i="20"/>
  <c r="A9" i="20"/>
  <c r="A8" i="35"/>
  <c r="B9" i="35"/>
  <c r="B10" i="34"/>
  <c r="A9" i="34"/>
  <c r="B9" i="33"/>
  <c r="A8" i="33"/>
  <c r="A8" i="32"/>
  <c r="B9" i="32"/>
  <c r="B10" i="31"/>
  <c r="A9" i="31"/>
  <c r="B9" i="30"/>
  <c r="A8" i="30"/>
  <c r="B10" i="29"/>
  <c r="A9" i="29"/>
  <c r="B9" i="28"/>
  <c r="A8" i="28"/>
  <c r="B10" i="26"/>
  <c r="A9" i="26"/>
  <c r="B10" i="25"/>
  <c r="A9" i="25"/>
  <c r="A10" i="23"/>
  <c r="B11" i="23"/>
  <c r="B10" i="22"/>
  <c r="A9" i="22"/>
  <c r="A8" i="21"/>
  <c r="B9" i="21"/>
  <c r="C13" i="6"/>
  <c r="D13" i="6" s="1"/>
  <c r="D14" i="6" s="1"/>
  <c r="E14" i="6" s="1"/>
  <c r="C15" i="6"/>
  <c r="B10" i="24" l="1"/>
  <c r="A9" i="24"/>
  <c r="A10" i="20"/>
  <c r="B11" i="20"/>
  <c r="B11" i="18"/>
  <c r="A10" i="18"/>
  <c r="A9" i="19"/>
  <c r="B10" i="19"/>
  <c r="B10" i="27"/>
  <c r="A9" i="27"/>
  <c r="B10" i="35"/>
  <c r="A9" i="35"/>
  <c r="A10" i="34"/>
  <c r="B11" i="34"/>
  <c r="B10" i="33"/>
  <c r="A9" i="33"/>
  <c r="A9" i="32"/>
  <c r="B10" i="32"/>
  <c r="A10" i="31"/>
  <c r="B11" i="31"/>
  <c r="B10" i="30"/>
  <c r="A9" i="30"/>
  <c r="A10" i="29"/>
  <c r="B11" i="29"/>
  <c r="B10" i="28"/>
  <c r="A9" i="28"/>
  <c r="A10" i="26"/>
  <c r="B11" i="26"/>
  <c r="A10" i="25"/>
  <c r="B11" i="25"/>
  <c r="A11" i="23"/>
  <c r="B12" i="23"/>
  <c r="A10" i="22"/>
  <c r="B11" i="22"/>
  <c r="A9" i="21"/>
  <c r="B10" i="21"/>
  <c r="D15" i="6"/>
  <c r="E15" i="6" s="1"/>
  <c r="F15" i="6" s="1"/>
  <c r="A10" i="24" l="1"/>
  <c r="B11" i="24"/>
  <c r="B11" i="27"/>
  <c r="A10" i="27"/>
  <c r="A10" i="19"/>
  <c r="B11" i="19"/>
  <c r="B12" i="18"/>
  <c r="A11" i="18"/>
  <c r="B12" i="20"/>
  <c r="A11" i="20"/>
  <c r="A10" i="35"/>
  <c r="B11" i="35"/>
  <c r="B12" i="34"/>
  <c r="A11" i="34"/>
  <c r="A10" i="33"/>
  <c r="B11" i="33"/>
  <c r="A10" i="32"/>
  <c r="B11" i="32"/>
  <c r="B12" i="31"/>
  <c r="A11" i="31"/>
  <c r="A10" i="30"/>
  <c r="B11" i="30"/>
  <c r="B12" i="29"/>
  <c r="A11" i="29"/>
  <c r="B11" i="28"/>
  <c r="A10" i="28"/>
  <c r="B12" i="26"/>
  <c r="A11" i="26"/>
  <c r="B12" i="25"/>
  <c r="A11" i="25"/>
  <c r="A12" i="23"/>
  <c r="B13" i="23"/>
  <c r="B12" i="22"/>
  <c r="A11" i="22"/>
  <c r="B11" i="21"/>
  <c r="A10" i="21"/>
  <c r="A11" i="24" l="1"/>
  <c r="B12" i="24"/>
  <c r="B13" i="20"/>
  <c r="A12" i="20"/>
  <c r="B13" i="18"/>
  <c r="A12" i="18"/>
  <c r="A11" i="19"/>
  <c r="B12" i="19"/>
  <c r="B12" i="27"/>
  <c r="A11" i="27"/>
  <c r="B12" i="35"/>
  <c r="A11" i="35"/>
  <c r="A12" i="34"/>
  <c r="B13" i="34"/>
  <c r="B12" i="33"/>
  <c r="A11" i="33"/>
  <c r="A11" i="32"/>
  <c r="B12" i="32"/>
  <c r="A12" i="31"/>
  <c r="B13" i="31"/>
  <c r="A11" i="30"/>
  <c r="B12" i="30"/>
  <c r="A12" i="29"/>
  <c r="B13" i="29"/>
  <c r="A11" i="28"/>
  <c r="B12" i="28"/>
  <c r="A12" i="26"/>
  <c r="B13" i="26"/>
  <c r="A12" i="25"/>
  <c r="B13" i="25"/>
  <c r="B14" i="23"/>
  <c r="A13" i="23"/>
  <c r="A12" i="22"/>
  <c r="B13" i="22"/>
  <c r="A11" i="21"/>
  <c r="B12" i="21"/>
  <c r="A12" i="24" l="1"/>
  <c r="B13" i="24"/>
  <c r="B13" i="27"/>
  <c r="A12" i="27"/>
  <c r="A12" i="19"/>
  <c r="B13" i="19"/>
  <c r="B14" i="18"/>
  <c r="A14" i="18" s="1"/>
  <c r="A13" i="18"/>
  <c r="B14" i="20"/>
  <c r="A13" i="20"/>
  <c r="A12" i="35"/>
  <c r="B13" i="35"/>
  <c r="B14" i="34"/>
  <c r="A13" i="34"/>
  <c r="B13" i="33"/>
  <c r="A12" i="33"/>
  <c r="A12" i="32"/>
  <c r="B13" i="32"/>
  <c r="B14" i="31"/>
  <c r="A13" i="31"/>
  <c r="B13" i="30"/>
  <c r="A12" i="30"/>
  <c r="B14" i="29"/>
  <c r="A13" i="29"/>
  <c r="B13" i="28"/>
  <c r="A12" i="28"/>
  <c r="B14" i="26"/>
  <c r="A13" i="26"/>
  <c r="B14" i="25"/>
  <c r="A13" i="25"/>
  <c r="A14" i="23"/>
  <c r="B15" i="23"/>
  <c r="B14" i="22"/>
  <c r="A13" i="22"/>
  <c r="A12" i="21"/>
  <c r="B13" i="21"/>
  <c r="A13" i="24" l="1"/>
  <c r="B14" i="24"/>
  <c r="A14" i="20"/>
  <c r="B15" i="20"/>
  <c r="B14" i="19"/>
  <c r="A13" i="19"/>
  <c r="B14" i="27"/>
  <c r="A13" i="27"/>
  <c r="B14" i="35"/>
  <c r="A13" i="35"/>
  <c r="A14" i="34"/>
  <c r="B15" i="34"/>
  <c r="B14" i="33"/>
  <c r="A13" i="33"/>
  <c r="A13" i="32"/>
  <c r="B14" i="32"/>
  <c r="A14" i="31"/>
  <c r="B15" i="31"/>
  <c r="B14" i="30"/>
  <c r="A13" i="30"/>
  <c r="A14" i="29"/>
  <c r="B15" i="29"/>
  <c r="B14" i="28"/>
  <c r="A13" i="28"/>
  <c r="A14" i="26"/>
  <c r="B15" i="26"/>
  <c r="A14" i="25"/>
  <c r="B15" i="25"/>
  <c r="B16" i="23"/>
  <c r="A15" i="23"/>
  <c r="A14" i="22"/>
  <c r="B15" i="22"/>
  <c r="B14" i="21"/>
  <c r="A13" i="21"/>
  <c r="A14" i="24" l="1"/>
  <c r="B15" i="24"/>
  <c r="B15" i="27"/>
  <c r="A14" i="27"/>
  <c r="B15" i="19"/>
  <c r="A14" i="19"/>
  <c r="B16" i="20"/>
  <c r="A15" i="20"/>
  <c r="A14" i="35"/>
  <c r="B15" i="35"/>
  <c r="B16" i="34"/>
  <c r="A15" i="34"/>
  <c r="A14" i="33"/>
  <c r="B15" i="33"/>
  <c r="A14" i="32"/>
  <c r="B15" i="32"/>
  <c r="B16" i="31"/>
  <c r="A15" i="31"/>
  <c r="B15" i="30"/>
  <c r="A14" i="30"/>
  <c r="B16" i="29"/>
  <c r="A15" i="29"/>
  <c r="B15" i="28"/>
  <c r="A14" i="28"/>
  <c r="B16" i="26"/>
  <c r="A15" i="26"/>
  <c r="B16" i="25"/>
  <c r="A15" i="25"/>
  <c r="A16" i="23"/>
  <c r="B17" i="23"/>
  <c r="B16" i="22"/>
  <c r="A15" i="22"/>
  <c r="B15" i="21"/>
  <c r="A14" i="21"/>
  <c r="B16" i="24" l="1"/>
  <c r="A15" i="24"/>
  <c r="A16" i="20"/>
  <c r="B17" i="20"/>
  <c r="A15" i="19"/>
  <c r="B16" i="19"/>
  <c r="B16" i="27"/>
  <c r="A15" i="27"/>
  <c r="B16" i="35"/>
  <c r="A15" i="35"/>
  <c r="A16" i="34"/>
  <c r="B17" i="34"/>
  <c r="B16" i="33"/>
  <c r="A15" i="33"/>
  <c r="A15" i="32"/>
  <c r="B16" i="32"/>
  <c r="A16" i="31"/>
  <c r="B17" i="31"/>
  <c r="B16" i="30"/>
  <c r="A15" i="30"/>
  <c r="A16" i="29"/>
  <c r="B17" i="29"/>
  <c r="A15" i="28"/>
  <c r="B16" i="28"/>
  <c r="A16" i="26"/>
  <c r="B17" i="26"/>
  <c r="A16" i="25"/>
  <c r="B17" i="25"/>
  <c r="A17" i="23"/>
  <c r="B18" i="23"/>
  <c r="A16" i="22"/>
  <c r="B17" i="22"/>
  <c r="A15" i="21"/>
  <c r="B16" i="21"/>
  <c r="B17" i="24" l="1"/>
  <c r="A16" i="24"/>
  <c r="B17" i="27"/>
  <c r="A16" i="27"/>
  <c r="A16" i="19"/>
  <c r="B17" i="19"/>
  <c r="B18" i="20"/>
  <c r="A17" i="20"/>
  <c r="A16" i="35"/>
  <c r="B17" i="35"/>
  <c r="B18" i="34"/>
  <c r="A17" i="34"/>
  <c r="B17" i="33"/>
  <c r="A16" i="33"/>
  <c r="A16" i="32"/>
  <c r="B17" i="32"/>
  <c r="B18" i="31"/>
  <c r="A17" i="31"/>
  <c r="B17" i="30"/>
  <c r="A16" i="30"/>
  <c r="B18" i="29"/>
  <c r="A17" i="29"/>
  <c r="B17" i="28"/>
  <c r="A16" i="28"/>
  <c r="B18" i="26"/>
  <c r="A17" i="26"/>
  <c r="B18" i="25"/>
  <c r="A17" i="25"/>
  <c r="A18" i="23"/>
  <c r="B19" i="23"/>
  <c r="B18" i="22"/>
  <c r="A17" i="22"/>
  <c r="A16" i="21"/>
  <c r="B17" i="21"/>
  <c r="B18" i="24" l="1"/>
  <c r="A17" i="24"/>
  <c r="A18" i="20"/>
  <c r="B19" i="20"/>
  <c r="B18" i="19"/>
  <c r="A17" i="19"/>
  <c r="B18" i="27"/>
  <c r="A17" i="27"/>
  <c r="B18" i="35"/>
  <c r="A17" i="35"/>
  <c r="A18" i="34"/>
  <c r="B19" i="34"/>
  <c r="B18" i="33"/>
  <c r="A17" i="33"/>
  <c r="A17" i="32"/>
  <c r="B18" i="32"/>
  <c r="A18" i="31"/>
  <c r="B19" i="31"/>
  <c r="B18" i="30"/>
  <c r="A17" i="30"/>
  <c r="A18" i="29"/>
  <c r="B19" i="29"/>
  <c r="B18" i="28"/>
  <c r="A17" i="28"/>
  <c r="A18" i="26"/>
  <c r="B19" i="26"/>
  <c r="A18" i="25"/>
  <c r="B19" i="25"/>
  <c r="A19" i="23"/>
  <c r="B20" i="23"/>
  <c r="A18" i="22"/>
  <c r="B19" i="22"/>
  <c r="A17" i="21"/>
  <c r="B18" i="21"/>
  <c r="A18" i="24" l="1"/>
  <c r="B19" i="24"/>
  <c r="B19" i="27"/>
  <c r="A18" i="27"/>
  <c r="A18" i="19"/>
  <c r="B19" i="19"/>
  <c r="B20" i="20"/>
  <c r="A19" i="20"/>
  <c r="A18" i="35"/>
  <c r="B19" i="35"/>
  <c r="B20" i="34"/>
  <c r="A19" i="34"/>
  <c r="A18" i="33"/>
  <c r="B19" i="33"/>
  <c r="A18" i="32"/>
  <c r="B19" i="32"/>
  <c r="B20" i="31"/>
  <c r="A19" i="31"/>
  <c r="A18" i="30"/>
  <c r="B19" i="30"/>
  <c r="B20" i="29"/>
  <c r="A19" i="29"/>
  <c r="B19" i="28"/>
  <c r="A18" i="28"/>
  <c r="B20" i="26"/>
  <c r="A19" i="26"/>
  <c r="B20" i="25"/>
  <c r="A19" i="25"/>
  <c r="A20" i="23"/>
  <c r="B21" i="23"/>
  <c r="B20" i="22"/>
  <c r="A19" i="22"/>
  <c r="B19" i="21"/>
  <c r="A18" i="21"/>
  <c r="B20" i="24" l="1"/>
  <c r="A19" i="24"/>
  <c r="A20" i="20"/>
  <c r="B21" i="20"/>
  <c r="B20" i="19"/>
  <c r="A19" i="19"/>
  <c r="B20" i="27"/>
  <c r="A19" i="27"/>
  <c r="B20" i="35"/>
  <c r="A19" i="35"/>
  <c r="A20" i="34"/>
  <c r="B21" i="34"/>
  <c r="B20" i="33"/>
  <c r="A19" i="33"/>
  <c r="A19" i="32"/>
  <c r="B20" i="32"/>
  <c r="A20" i="31"/>
  <c r="B21" i="31"/>
  <c r="A19" i="30"/>
  <c r="B20" i="30"/>
  <c r="A20" i="29"/>
  <c r="B21" i="29"/>
  <c r="A19" i="28"/>
  <c r="B20" i="28"/>
  <c r="A20" i="26"/>
  <c r="B21" i="26"/>
  <c r="A20" i="25"/>
  <c r="B21" i="25"/>
  <c r="B22" i="23"/>
  <c r="A21" i="23"/>
  <c r="A20" i="22"/>
  <c r="B21" i="22"/>
  <c r="B20" i="21"/>
  <c r="A19" i="21"/>
  <c r="B21" i="24" l="1"/>
  <c r="A20" i="24"/>
  <c r="B21" i="27"/>
  <c r="A20" i="27"/>
  <c r="B21" i="19"/>
  <c r="A20" i="19"/>
  <c r="B22" i="20"/>
  <c r="A21" i="20"/>
  <c r="A20" i="35"/>
  <c r="B21" i="35"/>
  <c r="B22" i="34"/>
  <c r="A21" i="34"/>
  <c r="B21" i="33"/>
  <c r="A20" i="33"/>
  <c r="A20" i="32"/>
  <c r="B21" i="32"/>
  <c r="B22" i="31"/>
  <c r="A21" i="31"/>
  <c r="A20" i="30"/>
  <c r="B21" i="30"/>
  <c r="B22" i="29"/>
  <c r="A21" i="29"/>
  <c r="B21" i="28"/>
  <c r="A20" i="28"/>
  <c r="B22" i="26"/>
  <c r="A21" i="26"/>
  <c r="B22" i="25"/>
  <c r="A21" i="25"/>
  <c r="A22" i="23"/>
  <c r="B23" i="23"/>
  <c r="B22" i="22"/>
  <c r="A21" i="22"/>
  <c r="A20" i="21"/>
  <c r="B21" i="21"/>
  <c r="A21" i="24" l="1"/>
  <c r="B22" i="24"/>
  <c r="A22" i="20"/>
  <c r="B23" i="20"/>
  <c r="B22" i="19"/>
  <c r="A21" i="19"/>
  <c r="B22" i="27"/>
  <c r="A21" i="27"/>
  <c r="B22" i="35"/>
  <c r="A21" i="35"/>
  <c r="A22" i="34"/>
  <c r="B23" i="34"/>
  <c r="B22" i="33"/>
  <c r="A21" i="33"/>
  <c r="A21" i="32"/>
  <c r="B22" i="32"/>
  <c r="A22" i="31"/>
  <c r="B23" i="31"/>
  <c r="B22" i="30"/>
  <c r="A21" i="30"/>
  <c r="A22" i="29"/>
  <c r="B23" i="29"/>
  <c r="B22" i="28"/>
  <c r="A21" i="28"/>
  <c r="A22" i="26"/>
  <c r="B23" i="26"/>
  <c r="A22" i="25"/>
  <c r="B23" i="25"/>
  <c r="B24" i="23"/>
  <c r="A23" i="23"/>
  <c r="A22" i="22"/>
  <c r="B23" i="22"/>
  <c r="A21" i="21"/>
  <c r="B22" i="21"/>
  <c r="A22" i="24" l="1"/>
  <c r="B23" i="24"/>
  <c r="B23" i="27"/>
  <c r="A22" i="27"/>
  <c r="A22" i="19"/>
  <c r="B23" i="19"/>
  <c r="A23" i="20"/>
  <c r="B24" i="20"/>
  <c r="A22" i="35"/>
  <c r="B23" i="35"/>
  <c r="B24" i="34"/>
  <c r="A23" i="34"/>
  <c r="A22" i="33"/>
  <c r="B23" i="33"/>
  <c r="A22" i="32"/>
  <c r="B23" i="32"/>
  <c r="B24" i="31"/>
  <c r="A23" i="31"/>
  <c r="A22" i="30"/>
  <c r="B23" i="30"/>
  <c r="B24" i="29"/>
  <c r="A23" i="29"/>
  <c r="B23" i="28"/>
  <c r="A22" i="28"/>
  <c r="B24" i="26"/>
  <c r="A23" i="26"/>
  <c r="B24" i="25"/>
  <c r="A23" i="25"/>
  <c r="A24" i="23"/>
  <c r="B25" i="23"/>
  <c r="B24" i="22"/>
  <c r="A23" i="22"/>
  <c r="B23" i="21"/>
  <c r="A22" i="21"/>
  <c r="B24" i="24" l="1"/>
  <c r="A23" i="24"/>
  <c r="A24" i="20"/>
  <c r="B25" i="20"/>
  <c r="B24" i="19"/>
  <c r="A23" i="19"/>
  <c r="B24" i="27"/>
  <c r="A23" i="27"/>
  <c r="B24" i="35"/>
  <c r="A23" i="35"/>
  <c r="A24" i="34"/>
  <c r="B25" i="34"/>
  <c r="B24" i="33"/>
  <c r="A23" i="33"/>
  <c r="A23" i="32"/>
  <c r="B24" i="32"/>
  <c r="A24" i="31"/>
  <c r="B25" i="31"/>
  <c r="B24" i="30"/>
  <c r="A23" i="30"/>
  <c r="A24" i="29"/>
  <c r="B25" i="29"/>
  <c r="A23" i="28"/>
  <c r="B24" i="28"/>
  <c r="A24" i="26"/>
  <c r="B25" i="26"/>
  <c r="A24" i="25"/>
  <c r="B25" i="25"/>
  <c r="A25" i="23"/>
  <c r="B26" i="23"/>
  <c r="A24" i="22"/>
  <c r="B25" i="22"/>
  <c r="B24" i="21"/>
  <c r="A23" i="21"/>
  <c r="A24" i="24" l="1"/>
  <c r="B25" i="24"/>
  <c r="B25" i="27"/>
  <c r="A24" i="27"/>
  <c r="A24" i="19"/>
  <c r="B25" i="19"/>
  <c r="B26" i="20"/>
  <c r="A25" i="20"/>
  <c r="A24" i="35"/>
  <c r="B25" i="35"/>
  <c r="B26" i="34"/>
  <c r="A25" i="34"/>
  <c r="B25" i="33"/>
  <c r="A24" i="33"/>
  <c r="A24" i="32"/>
  <c r="B25" i="32"/>
  <c r="B26" i="31"/>
  <c r="A25" i="31"/>
  <c r="A24" i="30"/>
  <c r="B25" i="30"/>
  <c r="B26" i="29"/>
  <c r="A25" i="29"/>
  <c r="B25" i="28"/>
  <c r="A24" i="28"/>
  <c r="B26" i="26"/>
  <c r="A25" i="26"/>
  <c r="B26" i="25"/>
  <c r="A25" i="25"/>
  <c r="A26" i="23"/>
  <c r="B27" i="23"/>
  <c r="B26" i="22"/>
  <c r="A25" i="22"/>
  <c r="A24" i="21"/>
  <c r="B25" i="21"/>
  <c r="B26" i="24" l="1"/>
  <c r="A25" i="24"/>
  <c r="A25" i="19"/>
  <c r="B26" i="19"/>
  <c r="B27" i="20"/>
  <c r="A26" i="20"/>
  <c r="B26" i="27"/>
  <c r="A25" i="27"/>
  <c r="B26" i="35"/>
  <c r="A25" i="35"/>
  <c r="A26" i="34"/>
  <c r="B27" i="34"/>
  <c r="B26" i="33"/>
  <c r="A25" i="33"/>
  <c r="A25" i="32"/>
  <c r="B26" i="32"/>
  <c r="A26" i="31"/>
  <c r="B27" i="31"/>
  <c r="B26" i="30"/>
  <c r="A25" i="30"/>
  <c r="A26" i="29"/>
  <c r="B27" i="29"/>
  <c r="A25" i="28"/>
  <c r="B26" i="28"/>
  <c r="A26" i="26"/>
  <c r="B27" i="26"/>
  <c r="A26" i="25"/>
  <c r="B27" i="25"/>
  <c r="A27" i="23"/>
  <c r="B28" i="23"/>
  <c r="A26" i="22"/>
  <c r="B27" i="22"/>
  <c r="A25" i="21"/>
  <c r="B26" i="21"/>
  <c r="A26" i="24" l="1"/>
  <c r="B27" i="24"/>
  <c r="B27" i="27"/>
  <c r="A26" i="27"/>
  <c r="B28" i="20"/>
  <c r="A27" i="20"/>
  <c r="A26" i="19"/>
  <c r="B27" i="19"/>
  <c r="A26" i="35"/>
  <c r="B27" i="35"/>
  <c r="B28" i="34"/>
  <c r="A27" i="34"/>
  <c r="A26" i="33"/>
  <c r="B27" i="33"/>
  <c r="A26" i="32"/>
  <c r="B27" i="32"/>
  <c r="B28" i="31"/>
  <c r="A27" i="31"/>
  <c r="A26" i="30"/>
  <c r="B27" i="30"/>
  <c r="B28" i="29"/>
  <c r="A27" i="29"/>
  <c r="B27" i="28"/>
  <c r="A26" i="28"/>
  <c r="B28" i="26"/>
  <c r="A27" i="26"/>
  <c r="B28" i="25"/>
  <c r="A27" i="25"/>
  <c r="A28" i="23"/>
  <c r="B29" i="23"/>
  <c r="B28" i="22"/>
  <c r="A27" i="22"/>
  <c r="B27" i="21"/>
  <c r="A26" i="21"/>
  <c r="A27" i="24" l="1"/>
  <c r="B28" i="24"/>
  <c r="B28" i="19"/>
  <c r="A27" i="19"/>
  <c r="B29" i="20"/>
  <c r="A28" i="20"/>
  <c r="B28" i="27"/>
  <c r="A27" i="27"/>
  <c r="B28" i="35"/>
  <c r="A27" i="35"/>
  <c r="A28" i="34"/>
  <c r="B29" i="34"/>
  <c r="B28" i="33"/>
  <c r="A27" i="33"/>
  <c r="A27" i="32"/>
  <c r="B28" i="32"/>
  <c r="A28" i="31"/>
  <c r="B29" i="31"/>
  <c r="B28" i="30"/>
  <c r="A27" i="30"/>
  <c r="A28" i="29"/>
  <c r="B29" i="29"/>
  <c r="B28" i="28"/>
  <c r="A27" i="28"/>
  <c r="A28" i="26"/>
  <c r="B29" i="26"/>
  <c r="A28" i="25"/>
  <c r="B29" i="25"/>
  <c r="B30" i="23"/>
  <c r="A29" i="23"/>
  <c r="A28" i="22"/>
  <c r="B29" i="22"/>
  <c r="A27" i="21"/>
  <c r="B28" i="21"/>
  <c r="A28" i="24" l="1"/>
  <c r="B29" i="24"/>
  <c r="B29" i="27"/>
  <c r="A28" i="27"/>
  <c r="B30" i="20"/>
  <c r="A29" i="20"/>
  <c r="A28" i="19"/>
  <c r="B29" i="19"/>
  <c r="A28" i="35"/>
  <c r="B29" i="35"/>
  <c r="B30" i="34"/>
  <c r="A29" i="34"/>
  <c r="A28" i="33"/>
  <c r="B29" i="33"/>
  <c r="A28" i="32"/>
  <c r="B29" i="32"/>
  <c r="B30" i="31"/>
  <c r="A29" i="31"/>
  <c r="A28" i="30"/>
  <c r="B29" i="30"/>
  <c r="B30" i="29"/>
  <c r="A29" i="29"/>
  <c r="B29" i="28"/>
  <c r="A28" i="28"/>
  <c r="B30" i="26"/>
  <c r="A29" i="26"/>
  <c r="B30" i="25"/>
  <c r="A29" i="25"/>
  <c r="A30" i="23"/>
  <c r="B31" i="23"/>
  <c r="B30" i="22"/>
  <c r="A29" i="22"/>
  <c r="A28" i="21"/>
  <c r="B29" i="21"/>
  <c r="B30" i="24" l="1"/>
  <c r="A29" i="24"/>
  <c r="B30" i="19"/>
  <c r="A29" i="19"/>
  <c r="A30" i="20"/>
  <c r="B31" i="20"/>
  <c r="B30" i="27"/>
  <c r="A29" i="27"/>
  <c r="B30" i="35"/>
  <c r="A29" i="35"/>
  <c r="A30" i="34"/>
  <c r="B31" i="34"/>
  <c r="B30" i="33"/>
  <c r="A29" i="33"/>
  <c r="A29" i="32"/>
  <c r="B30" i="32"/>
  <c r="A30" i="31"/>
  <c r="B31" i="31"/>
  <c r="B30" i="30"/>
  <c r="A29" i="30"/>
  <c r="A30" i="29"/>
  <c r="B31" i="29"/>
  <c r="A29" i="28"/>
  <c r="B30" i="28"/>
  <c r="A30" i="26"/>
  <c r="B31" i="26"/>
  <c r="A30" i="25"/>
  <c r="B31" i="25"/>
  <c r="B32" i="23"/>
  <c r="A31" i="23"/>
  <c r="A30" i="22"/>
  <c r="B31" i="22"/>
  <c r="A29" i="21"/>
  <c r="B30" i="21"/>
  <c r="A30" i="24" l="1"/>
  <c r="B31" i="24"/>
  <c r="B31" i="27"/>
  <c r="A30" i="27"/>
  <c r="B32" i="20"/>
  <c r="A31" i="20"/>
  <c r="A30" i="19"/>
  <c r="B31" i="19"/>
  <c r="A30" i="35"/>
  <c r="B31" i="35"/>
  <c r="B32" i="34"/>
  <c r="A31" i="34"/>
  <c r="B31" i="33"/>
  <c r="A30" i="33"/>
  <c r="A30" i="32"/>
  <c r="B31" i="32"/>
  <c r="B32" i="31"/>
  <c r="A31" i="31"/>
  <c r="A30" i="30"/>
  <c r="B31" i="30"/>
  <c r="B32" i="29"/>
  <c r="A31" i="29"/>
  <c r="B31" i="28"/>
  <c r="A30" i="28"/>
  <c r="B32" i="26"/>
  <c r="A31" i="26"/>
  <c r="B32" i="25"/>
  <c r="A31" i="25"/>
  <c r="A32" i="23"/>
  <c r="B33" i="23"/>
  <c r="B32" i="22"/>
  <c r="A31" i="22"/>
  <c r="B31" i="21"/>
  <c r="A30" i="21"/>
  <c r="A31" i="24" l="1"/>
  <c r="B32" i="24"/>
  <c r="B32" i="19"/>
  <c r="A31" i="19"/>
  <c r="A32" i="20"/>
  <c r="B33" i="20"/>
  <c r="B32" i="27"/>
  <c r="A31" i="27"/>
  <c r="B32" i="35"/>
  <c r="A31" i="35"/>
  <c r="A32" i="34"/>
  <c r="B33" i="34"/>
  <c r="B32" i="33"/>
  <c r="A31" i="33"/>
  <c r="A31" i="32"/>
  <c r="B32" i="32"/>
  <c r="A32" i="31"/>
  <c r="B33" i="31"/>
  <c r="B32" i="30"/>
  <c r="A31" i="30"/>
  <c r="A32" i="29"/>
  <c r="B33" i="29"/>
  <c r="B32" i="28"/>
  <c r="A31" i="28"/>
  <c r="A32" i="26"/>
  <c r="B33" i="26"/>
  <c r="A32" i="25"/>
  <c r="B33" i="25"/>
  <c r="A33" i="23"/>
  <c r="B34" i="23"/>
  <c r="A32" i="22"/>
  <c r="B33" i="22"/>
  <c r="B32" i="21"/>
  <c r="A31" i="21"/>
  <c r="B33" i="24" l="1"/>
  <c r="A32" i="24"/>
  <c r="B33" i="27"/>
  <c r="A32" i="27"/>
  <c r="B34" i="20"/>
  <c r="A33" i="20"/>
  <c r="A32" i="19"/>
  <c r="B33" i="19"/>
  <c r="A32" i="35"/>
  <c r="B33" i="35"/>
  <c r="B34" i="34"/>
  <c r="A33" i="34"/>
  <c r="A32" i="33"/>
  <c r="B33" i="33"/>
  <c r="A32" i="32"/>
  <c r="B33" i="32"/>
  <c r="B34" i="31"/>
  <c r="A33" i="31"/>
  <c r="A32" i="30"/>
  <c r="B33" i="30"/>
  <c r="B34" i="29"/>
  <c r="A33" i="29"/>
  <c r="B33" i="28"/>
  <c r="A32" i="28"/>
  <c r="B34" i="26"/>
  <c r="A33" i="26"/>
  <c r="B34" i="25"/>
  <c r="A33" i="25"/>
  <c r="A34" i="23"/>
  <c r="B35" i="23"/>
  <c r="B34" i="22"/>
  <c r="A33" i="22"/>
  <c r="A32" i="21"/>
  <c r="B33" i="21"/>
  <c r="B34" i="24" l="1"/>
  <c r="A33" i="24"/>
  <c r="B34" i="19"/>
  <c r="A33" i="19"/>
  <c r="B35" i="20"/>
  <c r="A34" i="20"/>
  <c r="B34" i="27"/>
  <c r="A33" i="27"/>
  <c r="B34" i="35"/>
  <c r="A33" i="35"/>
  <c r="A34" i="34"/>
  <c r="B35" i="34"/>
  <c r="B34" i="33"/>
  <c r="A33" i="33"/>
  <c r="A33" i="32"/>
  <c r="B34" i="32"/>
  <c r="A34" i="31"/>
  <c r="B35" i="31"/>
  <c r="B34" i="30"/>
  <c r="A33" i="30"/>
  <c r="A34" i="29"/>
  <c r="B35" i="29"/>
  <c r="A33" i="28"/>
  <c r="B34" i="28"/>
  <c r="A34" i="26"/>
  <c r="B35" i="26"/>
  <c r="A34" i="25"/>
  <c r="B35" i="25"/>
  <c r="B36" i="23"/>
  <c r="A35" i="23"/>
  <c r="A34" i="22"/>
  <c r="B35" i="22"/>
  <c r="A33" i="21"/>
  <c r="B34" i="21"/>
  <c r="A34" i="24" l="1"/>
  <c r="B35" i="24"/>
  <c r="B35" i="27"/>
  <c r="A34" i="27"/>
  <c r="B36" i="20"/>
  <c r="A35" i="20"/>
  <c r="A34" i="19"/>
  <c r="B35" i="19"/>
  <c r="A34" i="35"/>
  <c r="B35" i="35"/>
  <c r="B36" i="34"/>
  <c r="A35" i="34"/>
  <c r="B35" i="33"/>
  <c r="A34" i="33"/>
  <c r="A34" i="32"/>
  <c r="B35" i="32"/>
  <c r="B36" i="31"/>
  <c r="A35" i="31"/>
  <c r="A34" i="30"/>
  <c r="B35" i="30"/>
  <c r="B36" i="29"/>
  <c r="A35" i="29"/>
  <c r="B35" i="28"/>
  <c r="A34" i="28"/>
  <c r="B36" i="26"/>
  <c r="A35" i="26"/>
  <c r="B36" i="25"/>
  <c r="A35" i="25"/>
  <c r="A36" i="23"/>
  <c r="B37" i="23"/>
  <c r="B36" i="22"/>
  <c r="A35" i="22"/>
  <c r="B35" i="21"/>
  <c r="A34" i="21"/>
  <c r="B36" i="24" l="1"/>
  <c r="A35" i="24"/>
  <c r="B36" i="19"/>
  <c r="A35" i="19"/>
  <c r="A36" i="20"/>
  <c r="B37" i="20"/>
  <c r="B36" i="27"/>
  <c r="A35" i="27"/>
  <c r="B36" i="35"/>
  <c r="A35" i="35"/>
  <c r="A36" i="34"/>
  <c r="B37" i="34"/>
  <c r="B36" i="33"/>
  <c r="A35" i="33"/>
  <c r="A35" i="32"/>
  <c r="B36" i="32"/>
  <c r="A36" i="31"/>
  <c r="B37" i="31"/>
  <c r="B36" i="30"/>
  <c r="A35" i="30"/>
  <c r="A36" i="29"/>
  <c r="B37" i="29"/>
  <c r="B36" i="28"/>
  <c r="A35" i="28"/>
  <c r="B37" i="26"/>
  <c r="A36" i="26"/>
  <c r="A36" i="25"/>
  <c r="B37" i="25"/>
  <c r="B38" i="23"/>
  <c r="A37" i="23"/>
  <c r="A36" i="22"/>
  <c r="B37" i="22"/>
  <c r="A35" i="21"/>
  <c r="B36" i="21"/>
  <c r="B37" i="24" l="1"/>
  <c r="A36" i="24"/>
  <c r="B37" i="27"/>
  <c r="A36" i="27"/>
  <c r="B38" i="20"/>
  <c r="A37" i="20"/>
  <c r="B37" i="19"/>
  <c r="A36" i="19"/>
  <c r="A36" i="35"/>
  <c r="B37" i="35"/>
  <c r="B38" i="34"/>
  <c r="A37" i="34"/>
  <c r="A36" i="33"/>
  <c r="B37" i="33"/>
  <c r="A36" i="32"/>
  <c r="B37" i="32"/>
  <c r="B38" i="31"/>
  <c r="A37" i="31"/>
  <c r="A36" i="30"/>
  <c r="B37" i="30"/>
  <c r="B38" i="29"/>
  <c r="A37" i="29"/>
  <c r="B37" i="28"/>
  <c r="A36" i="28"/>
  <c r="B38" i="26"/>
  <c r="A37" i="26"/>
  <c r="B38" i="25"/>
  <c r="A37" i="25"/>
  <c r="A38" i="23"/>
  <c r="B39" i="23"/>
  <c r="B38" i="22"/>
  <c r="A37" i="22"/>
  <c r="A36" i="21"/>
  <c r="B37" i="21"/>
  <c r="A37" i="24" l="1"/>
  <c r="B38" i="24"/>
  <c r="B38" i="19"/>
  <c r="A37" i="19"/>
  <c r="A38" i="20"/>
  <c r="B39" i="20"/>
  <c r="B38" i="27"/>
  <c r="A37" i="27"/>
  <c r="B38" i="35"/>
  <c r="A37" i="35"/>
  <c r="A38" i="34"/>
  <c r="B39" i="34"/>
  <c r="B38" i="33"/>
  <c r="A37" i="33"/>
  <c r="A37" i="32"/>
  <c r="B38" i="32"/>
  <c r="A38" i="31"/>
  <c r="B39" i="31"/>
  <c r="B38" i="30"/>
  <c r="A37" i="30"/>
  <c r="A38" i="29"/>
  <c r="B39" i="29"/>
  <c r="A37" i="28"/>
  <c r="B38" i="28"/>
  <c r="A38" i="26"/>
  <c r="B39" i="26"/>
  <c r="A38" i="25"/>
  <c r="B39" i="25"/>
  <c r="B40" i="23"/>
  <c r="A39" i="23"/>
  <c r="A38" i="22"/>
  <c r="B39" i="22"/>
  <c r="B38" i="21"/>
  <c r="A37" i="21"/>
  <c r="A38" i="24" l="1"/>
  <c r="B39" i="24"/>
  <c r="B39" i="27"/>
  <c r="A38" i="27"/>
  <c r="B40" i="20"/>
  <c r="A39" i="20"/>
  <c r="A38" i="19"/>
  <c r="B39" i="19"/>
  <c r="A38" i="35"/>
  <c r="B39" i="35"/>
  <c r="B40" i="34"/>
  <c r="A39" i="34"/>
  <c r="B39" i="33"/>
  <c r="A38" i="33"/>
  <c r="A38" i="32"/>
  <c r="B39" i="32"/>
  <c r="B40" i="31"/>
  <c r="A39" i="31"/>
  <c r="A38" i="30"/>
  <c r="B39" i="30"/>
  <c r="B40" i="29"/>
  <c r="A39" i="29"/>
  <c r="B39" i="28"/>
  <c r="A38" i="28"/>
  <c r="B40" i="26"/>
  <c r="A39" i="26"/>
  <c r="B40" i="25"/>
  <c r="A39" i="25"/>
  <c r="A40" i="23"/>
  <c r="B41" i="23"/>
  <c r="B40" i="22"/>
  <c r="A39" i="22"/>
  <c r="B39" i="21"/>
  <c r="A38" i="21"/>
  <c r="B40" i="24" l="1"/>
  <c r="A39" i="24"/>
  <c r="B40" i="19"/>
  <c r="A39" i="19"/>
  <c r="B41" i="20"/>
  <c r="A40" i="20"/>
  <c r="B40" i="27"/>
  <c r="A39" i="27"/>
  <c r="B40" i="35"/>
  <c r="A39" i="35"/>
  <c r="A40" i="34"/>
  <c r="B41" i="34"/>
  <c r="B40" i="33"/>
  <c r="A39" i="33"/>
  <c r="A39" i="32"/>
  <c r="B40" i="32"/>
  <c r="A40" i="31"/>
  <c r="B41" i="31"/>
  <c r="B40" i="30"/>
  <c r="A39" i="30"/>
  <c r="A40" i="29"/>
  <c r="B41" i="29"/>
  <c r="B40" i="28"/>
  <c r="A39" i="28"/>
  <c r="A40" i="26"/>
  <c r="B41" i="26"/>
  <c r="A40" i="25"/>
  <c r="B41" i="25"/>
  <c r="B42" i="23"/>
  <c r="A41" i="23"/>
  <c r="A40" i="22"/>
  <c r="B41" i="22"/>
  <c r="A39" i="21"/>
  <c r="B40" i="21"/>
  <c r="B41" i="24" l="1"/>
  <c r="A40" i="24"/>
  <c r="B41" i="27"/>
  <c r="A40" i="27"/>
  <c r="B42" i="20"/>
  <c r="A41" i="20"/>
  <c r="B41" i="19"/>
  <c r="A40" i="19"/>
  <c r="A40" i="35"/>
  <c r="B41" i="35"/>
  <c r="B42" i="34"/>
  <c r="A41" i="34"/>
  <c r="A40" i="33"/>
  <c r="B41" i="33"/>
  <c r="A40" i="32"/>
  <c r="B41" i="32"/>
  <c r="B42" i="31"/>
  <c r="A41" i="31"/>
  <c r="A40" i="30"/>
  <c r="B41" i="30"/>
  <c r="B42" i="29"/>
  <c r="A41" i="29"/>
  <c r="B41" i="28"/>
  <c r="A40" i="28"/>
  <c r="B42" i="26"/>
  <c r="A41" i="26"/>
  <c r="B42" i="25"/>
  <c r="A41" i="25"/>
  <c r="A42" i="23"/>
  <c r="B43" i="23"/>
  <c r="B42" i="22"/>
  <c r="A41" i="22"/>
  <c r="A40" i="21"/>
  <c r="B41" i="21"/>
  <c r="B42" i="24" l="1"/>
  <c r="A41" i="24"/>
  <c r="B42" i="19"/>
  <c r="A41" i="19"/>
  <c r="A42" i="20"/>
  <c r="B43" i="20"/>
  <c r="B42" i="27"/>
  <c r="A41" i="27"/>
  <c r="B42" i="35"/>
  <c r="A41" i="35"/>
  <c r="A42" i="34"/>
  <c r="B43" i="34"/>
  <c r="B42" i="33"/>
  <c r="A41" i="33"/>
  <c r="A41" i="32"/>
  <c r="B42" i="32"/>
  <c r="A42" i="31"/>
  <c r="B43" i="31"/>
  <c r="B42" i="30"/>
  <c r="A41" i="30"/>
  <c r="A42" i="29"/>
  <c r="B43" i="29"/>
  <c r="B42" i="28"/>
  <c r="A41" i="28"/>
  <c r="A42" i="26"/>
  <c r="B43" i="26"/>
  <c r="A42" i="25"/>
  <c r="B43" i="25"/>
  <c r="B44" i="23"/>
  <c r="A43" i="23"/>
  <c r="A42" i="22"/>
  <c r="B43" i="22"/>
  <c r="A41" i="21"/>
  <c r="B42" i="21"/>
  <c r="A42" i="24" l="1"/>
  <c r="B43" i="24"/>
  <c r="B43" i="27"/>
  <c r="A42" i="27"/>
  <c r="B44" i="20"/>
  <c r="A43" i="20"/>
  <c r="B43" i="19"/>
  <c r="A42" i="19"/>
  <c r="A42" i="35"/>
  <c r="B43" i="35"/>
  <c r="B44" i="34"/>
  <c r="A43" i="34"/>
  <c r="B43" i="33"/>
  <c r="A42" i="33"/>
  <c r="A42" i="32"/>
  <c r="B43" i="32"/>
  <c r="B44" i="31"/>
  <c r="A43" i="31"/>
  <c r="A42" i="30"/>
  <c r="B43" i="30"/>
  <c r="B44" i="29"/>
  <c r="A43" i="29"/>
  <c r="B43" i="28"/>
  <c r="A42" i="28"/>
  <c r="B44" i="26"/>
  <c r="A43" i="26"/>
  <c r="B44" i="25"/>
  <c r="A43" i="25"/>
  <c r="A44" i="23"/>
  <c r="B45" i="23"/>
  <c r="B44" i="22"/>
  <c r="A43" i="22"/>
  <c r="B43" i="21"/>
  <c r="A42" i="21"/>
  <c r="A43" i="24" l="1"/>
  <c r="B44" i="24"/>
  <c r="B44" i="19"/>
  <c r="A43" i="19"/>
  <c r="B45" i="20"/>
  <c r="A44" i="20"/>
  <c r="B44" i="27"/>
  <c r="A43" i="27"/>
  <c r="B44" i="35"/>
  <c r="A43" i="35"/>
  <c r="A44" i="34"/>
  <c r="B45" i="34"/>
  <c r="B44" i="33"/>
  <c r="A43" i="33"/>
  <c r="A43" i="32"/>
  <c r="B44" i="32"/>
  <c r="A44" i="31"/>
  <c r="B45" i="31"/>
  <c r="B44" i="30"/>
  <c r="A43" i="30"/>
  <c r="A44" i="29"/>
  <c r="B45" i="29"/>
  <c r="A43" i="28"/>
  <c r="B44" i="28"/>
  <c r="A44" i="26"/>
  <c r="B45" i="26"/>
  <c r="A44" i="25"/>
  <c r="B45" i="25"/>
  <c r="B46" i="23"/>
  <c r="A45" i="23"/>
  <c r="A44" i="22"/>
  <c r="B45" i="22"/>
  <c r="B44" i="21"/>
  <c r="A43" i="21"/>
  <c r="B45" i="24" l="1"/>
  <c r="A44" i="24"/>
  <c r="B45" i="27"/>
  <c r="A44" i="27"/>
  <c r="A45" i="20"/>
  <c r="B46" i="20"/>
  <c r="B45" i="19"/>
  <c r="A44" i="19"/>
  <c r="A44" i="35"/>
  <c r="B45" i="35"/>
  <c r="B46" i="34"/>
  <c r="A45" i="34"/>
  <c r="A44" i="33"/>
  <c r="B45" i="33"/>
  <c r="A44" i="32"/>
  <c r="B45" i="32"/>
  <c r="B46" i="31"/>
  <c r="A45" i="31"/>
  <c r="A44" i="30"/>
  <c r="B45" i="30"/>
  <c r="B46" i="29"/>
  <c r="A45" i="29"/>
  <c r="B45" i="28"/>
  <c r="A44" i="28"/>
  <c r="B46" i="26"/>
  <c r="A45" i="26"/>
  <c r="B46" i="25"/>
  <c r="A45" i="25"/>
  <c r="A46" i="23"/>
  <c r="B47" i="23"/>
  <c r="B46" i="22"/>
  <c r="A45" i="22"/>
  <c r="A44" i="21"/>
  <c r="B45" i="21"/>
  <c r="A45" i="24" l="1"/>
  <c r="B46" i="24"/>
  <c r="B46" i="19"/>
  <c r="A45" i="19"/>
  <c r="B47" i="20"/>
  <c r="A46" i="20"/>
  <c r="B46" i="27"/>
  <c r="A45" i="27"/>
  <c r="B46" i="35"/>
  <c r="A45" i="35"/>
  <c r="A46" i="34"/>
  <c r="B47" i="34"/>
  <c r="B46" i="33"/>
  <c r="A45" i="33"/>
  <c r="A45" i="32"/>
  <c r="B46" i="32"/>
  <c r="A46" i="31"/>
  <c r="B47" i="31"/>
  <c r="B46" i="30"/>
  <c r="A45" i="30"/>
  <c r="A46" i="29"/>
  <c r="B47" i="29"/>
  <c r="B46" i="28"/>
  <c r="A45" i="28"/>
  <c r="B47" i="26"/>
  <c r="A46" i="26"/>
  <c r="A46" i="25"/>
  <c r="B47" i="25"/>
  <c r="B48" i="23"/>
  <c r="A47" i="23"/>
  <c r="A46" i="22"/>
  <c r="B47" i="22"/>
  <c r="A45" i="21"/>
  <c r="B46" i="21"/>
  <c r="A46" i="24" l="1"/>
  <c r="B47" i="24"/>
  <c r="B47" i="27"/>
  <c r="A46" i="27"/>
  <c r="B48" i="20"/>
  <c r="A47" i="20"/>
  <c r="B47" i="19"/>
  <c r="A46" i="19"/>
  <c r="A46" i="35"/>
  <c r="B47" i="35"/>
  <c r="B48" i="34"/>
  <c r="A47" i="34"/>
  <c r="B47" i="33"/>
  <c r="A46" i="33"/>
  <c r="A46" i="32"/>
  <c r="B47" i="32"/>
  <c r="B48" i="31"/>
  <c r="A47" i="31"/>
  <c r="A46" i="30"/>
  <c r="B47" i="30"/>
  <c r="B48" i="29"/>
  <c r="A47" i="29"/>
  <c r="B47" i="28"/>
  <c r="A46" i="28"/>
  <c r="B48" i="26"/>
  <c r="A47" i="26"/>
  <c r="B48" i="25"/>
  <c r="A47" i="25"/>
  <c r="A48" i="23"/>
  <c r="B49" i="23"/>
  <c r="B48" i="22"/>
  <c r="A47" i="22"/>
  <c r="B47" i="21"/>
  <c r="A46" i="21"/>
  <c r="A47" i="24" l="1"/>
  <c r="B48" i="24"/>
  <c r="B48" i="19"/>
  <c r="A47" i="19"/>
  <c r="A48" i="20"/>
  <c r="B49" i="20"/>
  <c r="B48" i="27"/>
  <c r="A47" i="27"/>
  <c r="B48" i="35"/>
  <c r="A47" i="35"/>
  <c r="A48" i="34"/>
  <c r="B49" i="34"/>
  <c r="B48" i="33"/>
  <c r="A47" i="33"/>
  <c r="A47" i="32"/>
  <c r="B48" i="32"/>
  <c r="A48" i="31"/>
  <c r="B49" i="31"/>
  <c r="B48" i="30"/>
  <c r="A47" i="30"/>
  <c r="A48" i="29"/>
  <c r="B49" i="29"/>
  <c r="A47" i="28"/>
  <c r="B48" i="28"/>
  <c r="A48" i="26"/>
  <c r="B49" i="26"/>
  <c r="A48" i="25"/>
  <c r="B49" i="25"/>
  <c r="B50" i="23"/>
  <c r="A49" i="23"/>
  <c r="A48" i="22"/>
  <c r="B49" i="22"/>
  <c r="A47" i="21"/>
  <c r="B48" i="21"/>
  <c r="A48" i="24" l="1"/>
  <c r="B49" i="24"/>
  <c r="B49" i="27"/>
  <c r="A48" i="27"/>
  <c r="B50" i="20"/>
  <c r="A49" i="20"/>
  <c r="A48" i="19"/>
  <c r="B49" i="19"/>
  <c r="A48" i="35"/>
  <c r="B49" i="35"/>
  <c r="B50" i="34"/>
  <c r="A49" i="34"/>
  <c r="A48" i="33"/>
  <c r="B49" i="33"/>
  <c r="A48" i="32"/>
  <c r="B49" i="32"/>
  <c r="B50" i="31"/>
  <c r="A49" i="31"/>
  <c r="A48" i="30"/>
  <c r="B49" i="30"/>
  <c r="B50" i="29"/>
  <c r="A49" i="29"/>
  <c r="B49" i="28"/>
  <c r="A48" i="28"/>
  <c r="B50" i="26"/>
  <c r="A49" i="26"/>
  <c r="B50" i="25"/>
  <c r="A49" i="25"/>
  <c r="A50" i="23"/>
  <c r="B51" i="23"/>
  <c r="B50" i="22"/>
  <c r="A49" i="22"/>
  <c r="A48" i="21"/>
  <c r="B49" i="21"/>
  <c r="B50" i="24" l="1"/>
  <c r="A49" i="24"/>
  <c r="A49" i="19"/>
  <c r="B50" i="19"/>
  <c r="A50" i="20"/>
  <c r="B51" i="20"/>
  <c r="B50" i="27"/>
  <c r="A49" i="27"/>
  <c r="B50" i="35"/>
  <c r="A49" i="35"/>
  <c r="A50" i="34"/>
  <c r="B51" i="34"/>
  <c r="B50" i="33"/>
  <c r="A49" i="33"/>
  <c r="A49" i="32"/>
  <c r="B50" i="32"/>
  <c r="A50" i="31"/>
  <c r="B51" i="31"/>
  <c r="B50" i="30"/>
  <c r="A49" i="30"/>
  <c r="A50" i="29"/>
  <c r="B51" i="29"/>
  <c r="B50" i="28"/>
  <c r="A49" i="28"/>
  <c r="A50" i="26"/>
  <c r="B51" i="26"/>
  <c r="A50" i="25"/>
  <c r="B51" i="25"/>
  <c r="B52" i="23"/>
  <c r="A51" i="23"/>
  <c r="A50" i="22"/>
  <c r="B51" i="22"/>
  <c r="B50" i="21"/>
  <c r="A49" i="21"/>
  <c r="A50" i="24" l="1"/>
  <c r="B51" i="24"/>
  <c r="B51" i="27"/>
  <c r="A50" i="27"/>
  <c r="B52" i="20"/>
  <c r="A51" i="20"/>
  <c r="B51" i="19"/>
  <c r="A50" i="19"/>
  <c r="A50" i="35"/>
  <c r="B51" i="35"/>
  <c r="B52" i="34"/>
  <c r="A51" i="34"/>
  <c r="B51" i="33"/>
  <c r="A50" i="33"/>
  <c r="A50" i="32"/>
  <c r="B51" i="32"/>
  <c r="B52" i="31"/>
  <c r="A51" i="31"/>
  <c r="A50" i="30"/>
  <c r="B51" i="30"/>
  <c r="B52" i="29"/>
  <c r="A51" i="29"/>
  <c r="B51" i="28"/>
  <c r="A50" i="28"/>
  <c r="B52" i="26"/>
  <c r="A51" i="26"/>
  <c r="B52" i="25"/>
  <c r="A51" i="25"/>
  <c r="A52" i="23"/>
  <c r="B53" i="23"/>
  <c r="B52" i="22"/>
  <c r="A51" i="22"/>
  <c r="B51" i="21"/>
  <c r="A50" i="21"/>
  <c r="A51" i="24" l="1"/>
  <c r="B52" i="24"/>
  <c r="B52" i="19"/>
  <c r="A51" i="19"/>
  <c r="B53" i="20"/>
  <c r="A52" i="20"/>
  <c r="B52" i="27"/>
  <c r="A51" i="27"/>
  <c r="B52" i="35"/>
  <c r="A51" i="35"/>
  <c r="A52" i="34"/>
  <c r="B53" i="34"/>
  <c r="B52" i="33"/>
  <c r="A51" i="33"/>
  <c r="A51" i="32"/>
  <c r="B52" i="32"/>
  <c r="A52" i="31"/>
  <c r="B53" i="31"/>
  <c r="B52" i="30"/>
  <c r="A51" i="30"/>
  <c r="A52" i="29"/>
  <c r="B53" i="29"/>
  <c r="A51" i="28"/>
  <c r="B52" i="28"/>
  <c r="A52" i="26"/>
  <c r="B53" i="26"/>
  <c r="A52" i="25"/>
  <c r="B53" i="25"/>
  <c r="B54" i="23"/>
  <c r="A53" i="23"/>
  <c r="A52" i="22"/>
  <c r="B53" i="22"/>
  <c r="A51" i="21"/>
  <c r="B52" i="21"/>
  <c r="A52" i="24" l="1"/>
  <c r="B53" i="24"/>
  <c r="B53" i="27"/>
  <c r="A52" i="27"/>
  <c r="B54" i="20"/>
  <c r="A53" i="20"/>
  <c r="B53" i="19"/>
  <c r="A52" i="19"/>
  <c r="A52" i="35"/>
  <c r="B53" i="35"/>
  <c r="B54" i="34"/>
  <c r="A53" i="34"/>
  <c r="A52" i="33"/>
  <c r="B53" i="33"/>
  <c r="A52" i="32"/>
  <c r="B53" i="32"/>
  <c r="B54" i="31"/>
  <c r="A53" i="31"/>
  <c r="A52" i="30"/>
  <c r="B53" i="30"/>
  <c r="B54" i="29"/>
  <c r="A53" i="29"/>
  <c r="B53" i="28"/>
  <c r="A52" i="28"/>
  <c r="B54" i="26"/>
  <c r="A53" i="26"/>
  <c r="B54" i="25"/>
  <c r="A53" i="25"/>
  <c r="A54" i="23"/>
  <c r="B55" i="23"/>
  <c r="B54" i="22"/>
  <c r="A53" i="22"/>
  <c r="A52" i="21"/>
  <c r="B53" i="21"/>
  <c r="A53" i="24" l="1"/>
  <c r="B54" i="24"/>
  <c r="B54" i="19"/>
  <c r="A53" i="19"/>
  <c r="A54" i="20"/>
  <c r="B55" i="20"/>
  <c r="B54" i="27"/>
  <c r="A53" i="27"/>
  <c r="B54" i="35"/>
  <c r="A53" i="35"/>
  <c r="A54" i="34"/>
  <c r="B55" i="34"/>
  <c r="B54" i="33"/>
  <c r="A53" i="33"/>
  <c r="A53" i="32"/>
  <c r="B54" i="32"/>
  <c r="A54" i="31"/>
  <c r="B55" i="31"/>
  <c r="B54" i="30"/>
  <c r="A53" i="30"/>
  <c r="A54" i="29"/>
  <c r="B55" i="29"/>
  <c r="B54" i="28"/>
  <c r="A53" i="28"/>
  <c r="A54" i="26"/>
  <c r="B55" i="26"/>
  <c r="A54" i="25"/>
  <c r="B55" i="25"/>
  <c r="B56" i="23"/>
  <c r="A55" i="23"/>
  <c r="A54" i="22"/>
  <c r="B55" i="22"/>
  <c r="A53" i="21"/>
  <c r="B54" i="21"/>
  <c r="A54" i="24" l="1"/>
  <c r="B55" i="24"/>
  <c r="B55" i="27"/>
  <c r="A54" i="27"/>
  <c r="B56" i="20"/>
  <c r="A55" i="20"/>
  <c r="B55" i="19"/>
  <c r="A54" i="19"/>
  <c r="A54" i="35"/>
  <c r="B55" i="35"/>
  <c r="B56" i="34"/>
  <c r="A55" i="34"/>
  <c r="B55" i="33"/>
  <c r="A54" i="33"/>
  <c r="A54" i="32"/>
  <c r="B55" i="32"/>
  <c r="B56" i="31"/>
  <c r="A55" i="31"/>
  <c r="A54" i="30"/>
  <c r="B55" i="30"/>
  <c r="B56" i="29"/>
  <c r="A55" i="29"/>
  <c r="B55" i="28"/>
  <c r="A54" i="28"/>
  <c r="B56" i="26"/>
  <c r="A55" i="26"/>
  <c r="B56" i="25"/>
  <c r="A55" i="25"/>
  <c r="A56" i="23"/>
  <c r="B57" i="23"/>
  <c r="B56" i="22"/>
  <c r="A55" i="22"/>
  <c r="B55" i="21"/>
  <c r="A54" i="21"/>
  <c r="A55" i="24" l="1"/>
  <c r="B56" i="24"/>
  <c r="B56" i="19"/>
  <c r="A55" i="19"/>
  <c r="B57" i="20"/>
  <c r="A56" i="20"/>
  <c r="B56" i="27"/>
  <c r="A55" i="27"/>
  <c r="B56" i="35"/>
  <c r="A55" i="35"/>
  <c r="A56" i="34"/>
  <c r="B57" i="34"/>
  <c r="B56" i="33"/>
  <c r="A55" i="33"/>
  <c r="A55" i="32"/>
  <c r="B56" i="32"/>
  <c r="A56" i="31"/>
  <c r="B57" i="31"/>
  <c r="B56" i="30"/>
  <c r="A55" i="30"/>
  <c r="A56" i="29"/>
  <c r="B57" i="29"/>
  <c r="A55" i="28"/>
  <c r="B56" i="28"/>
  <c r="A56" i="26"/>
  <c r="B57" i="26"/>
  <c r="A56" i="25"/>
  <c r="B57" i="25"/>
  <c r="B58" i="23"/>
  <c r="A57" i="23"/>
  <c r="A56" i="22"/>
  <c r="B57" i="22"/>
  <c r="B56" i="21"/>
  <c r="A55" i="21"/>
  <c r="A56" i="24" l="1"/>
  <c r="B57" i="24"/>
  <c r="B57" i="27"/>
  <c r="A56" i="27"/>
  <c r="B58" i="20"/>
  <c r="A57" i="20"/>
  <c r="B57" i="19"/>
  <c r="A56" i="19"/>
  <c r="A56" i="35"/>
  <c r="B57" i="35"/>
  <c r="B58" i="34"/>
  <c r="A57" i="34"/>
  <c r="A56" i="33"/>
  <c r="B57" i="33"/>
  <c r="A56" i="32"/>
  <c r="B57" i="32"/>
  <c r="B58" i="31"/>
  <c r="A57" i="31"/>
  <c r="A56" i="30"/>
  <c r="B57" i="30"/>
  <c r="B58" i="29"/>
  <c r="A57" i="29"/>
  <c r="B57" i="28"/>
  <c r="A56" i="28"/>
  <c r="B58" i="26"/>
  <c r="A57" i="26"/>
  <c r="B58" i="25"/>
  <c r="A57" i="25"/>
  <c r="A58" i="23"/>
  <c r="B59" i="23"/>
  <c r="B58" i="22"/>
  <c r="A57" i="22"/>
  <c r="A56" i="21"/>
  <c r="B57" i="21"/>
  <c r="B58" i="24" l="1"/>
  <c r="A57" i="24"/>
  <c r="B58" i="19"/>
  <c r="A57" i="19"/>
  <c r="B59" i="20"/>
  <c r="A58" i="20"/>
  <c r="B58" i="27"/>
  <c r="A57" i="27"/>
  <c r="B58" i="35"/>
  <c r="A57" i="35"/>
  <c r="A58" i="34"/>
  <c r="B59" i="34"/>
  <c r="B58" i="33"/>
  <c r="A57" i="33"/>
  <c r="A57" i="32"/>
  <c r="B58" i="32"/>
  <c r="A58" i="31"/>
  <c r="B59" i="31"/>
  <c r="B58" i="30"/>
  <c r="A57" i="30"/>
  <c r="A58" i="29"/>
  <c r="B59" i="29"/>
  <c r="B58" i="28"/>
  <c r="A57" i="28"/>
  <c r="A58" i="26"/>
  <c r="B59" i="26"/>
  <c r="A58" i="25"/>
  <c r="B59" i="25"/>
  <c r="B60" i="23"/>
  <c r="A59" i="23"/>
  <c r="A58" i="22"/>
  <c r="B59" i="22"/>
  <c r="A57" i="21"/>
  <c r="B58" i="21"/>
  <c r="A58" i="24" l="1"/>
  <c r="B59" i="24"/>
  <c r="B59" i="27"/>
  <c r="A58" i="27"/>
  <c r="B60" i="20"/>
  <c r="A59" i="20"/>
  <c r="B59" i="19"/>
  <c r="A58" i="19"/>
  <c r="A58" i="35"/>
  <c r="B59" i="35"/>
  <c r="B60" i="34"/>
  <c r="A59" i="34"/>
  <c r="B59" i="33"/>
  <c r="A58" i="33"/>
  <c r="A58" i="32"/>
  <c r="B59" i="32"/>
  <c r="B60" i="31"/>
  <c r="A59" i="31"/>
  <c r="A58" i="30"/>
  <c r="B59" i="30"/>
  <c r="B60" i="29"/>
  <c r="A59" i="29"/>
  <c r="B59" i="28"/>
  <c r="A58" i="28"/>
  <c r="B60" i="26"/>
  <c r="A59" i="26"/>
  <c r="B60" i="25"/>
  <c r="A59" i="25"/>
  <c r="A60" i="23"/>
  <c r="B61" i="23"/>
  <c r="B60" i="22"/>
  <c r="A59" i="22"/>
  <c r="B59" i="21"/>
  <c r="A58" i="21"/>
  <c r="A59" i="24" l="1"/>
  <c r="B60" i="24"/>
  <c r="B60" i="19"/>
  <c r="A59" i="19"/>
  <c r="B61" i="20"/>
  <c r="A60" i="20"/>
  <c r="B60" i="27"/>
  <c r="A59" i="27"/>
  <c r="B60" i="35"/>
  <c r="A59" i="35"/>
  <c r="A60" i="34"/>
  <c r="B61" i="34"/>
  <c r="B60" i="33"/>
  <c r="A59" i="33"/>
  <c r="A59" i="32"/>
  <c r="B60" i="32"/>
  <c r="A60" i="31"/>
  <c r="B61" i="31"/>
  <c r="B60" i="30"/>
  <c r="A59" i="30"/>
  <c r="A60" i="29"/>
  <c r="B61" i="29"/>
  <c r="A59" i="28"/>
  <c r="B60" i="28"/>
  <c r="A60" i="26"/>
  <c r="B61" i="26"/>
  <c r="A60" i="25"/>
  <c r="B61" i="25"/>
  <c r="B62" i="23"/>
  <c r="A61" i="23"/>
  <c r="A60" i="22"/>
  <c r="B61" i="22"/>
  <c r="A59" i="21"/>
  <c r="B60" i="21"/>
  <c r="B61" i="24" l="1"/>
  <c r="A60" i="24"/>
  <c r="B61" i="27"/>
  <c r="A60" i="27"/>
  <c r="B62" i="20"/>
  <c r="A61" i="20"/>
  <c r="A60" i="19"/>
  <c r="B61" i="19"/>
  <c r="A60" i="35"/>
  <c r="B61" i="35"/>
  <c r="B62" i="34"/>
  <c r="A61" i="34"/>
  <c r="B61" i="33"/>
  <c r="A60" i="33"/>
  <c r="A60" i="32"/>
  <c r="B61" i="32"/>
  <c r="B62" i="31"/>
  <c r="A61" i="31"/>
  <c r="A60" i="30"/>
  <c r="B61" i="30"/>
  <c r="B62" i="29"/>
  <c r="A61" i="29"/>
  <c r="B61" i="28"/>
  <c r="A60" i="28"/>
  <c r="B62" i="26"/>
  <c r="A61" i="26"/>
  <c r="B62" i="25"/>
  <c r="A61" i="25"/>
  <c r="A62" i="23"/>
  <c r="B63" i="23"/>
  <c r="B62" i="22"/>
  <c r="A61" i="22"/>
  <c r="A60" i="21"/>
  <c r="B61" i="21"/>
  <c r="B62" i="24" l="1"/>
  <c r="A61" i="24"/>
  <c r="B62" i="19"/>
  <c r="A61" i="19"/>
  <c r="B63" i="20"/>
  <c r="A62" i="20"/>
  <c r="B62" i="27"/>
  <c r="A61" i="27"/>
  <c r="B62" i="35"/>
  <c r="A61" i="35"/>
  <c r="A62" i="34"/>
  <c r="B63" i="34"/>
  <c r="B62" i="33"/>
  <c r="A61" i="33"/>
  <c r="A61" i="32"/>
  <c r="B62" i="32"/>
  <c r="A62" i="31"/>
  <c r="B63" i="31"/>
  <c r="B62" i="30"/>
  <c r="A61" i="30"/>
  <c r="A62" i="29"/>
  <c r="B63" i="29"/>
  <c r="B62" i="28"/>
  <c r="A61" i="28"/>
  <c r="A62" i="26"/>
  <c r="B63" i="26"/>
  <c r="A62" i="25"/>
  <c r="B63" i="25"/>
  <c r="B64" i="23"/>
  <c r="A63" i="23"/>
  <c r="A62" i="22"/>
  <c r="B63" i="22"/>
  <c r="B62" i="21"/>
  <c r="A61" i="21"/>
  <c r="A62" i="24" l="1"/>
  <c r="B63" i="24"/>
  <c r="B63" i="27"/>
  <c r="A62" i="27"/>
  <c r="A63" i="20"/>
  <c r="B64" i="20"/>
  <c r="B63" i="19"/>
  <c r="A62" i="19"/>
  <c r="A62" i="35"/>
  <c r="B63" i="35"/>
  <c r="B64" i="34"/>
  <c r="A63" i="34"/>
  <c r="A62" i="33"/>
  <c r="B63" i="33"/>
  <c r="A62" i="32"/>
  <c r="B63" i="32"/>
  <c r="B64" i="31"/>
  <c r="A63" i="31"/>
  <c r="A62" i="30"/>
  <c r="B63" i="30"/>
  <c r="B64" i="29"/>
  <c r="A63" i="29"/>
  <c r="B63" i="28"/>
  <c r="A62" i="28"/>
  <c r="B64" i="26"/>
  <c r="A63" i="26"/>
  <c r="B64" i="25"/>
  <c r="A63" i="25"/>
  <c r="A64" i="23"/>
  <c r="B65" i="23"/>
  <c r="B64" i="22"/>
  <c r="A63" i="22"/>
  <c r="B63" i="21"/>
  <c r="A62" i="21"/>
  <c r="A63" i="24" l="1"/>
  <c r="B64" i="24"/>
  <c r="B64" i="19"/>
  <c r="A63" i="19"/>
  <c r="B65" i="20"/>
  <c r="A64" i="20"/>
  <c r="B64" i="27"/>
  <c r="A63" i="27"/>
  <c r="B64" i="35"/>
  <c r="A63" i="35"/>
  <c r="A64" i="34"/>
  <c r="B65" i="34"/>
  <c r="B64" i="33"/>
  <c r="A63" i="33"/>
  <c r="A63" i="32"/>
  <c r="B64" i="32"/>
  <c r="A64" i="31"/>
  <c r="B65" i="31"/>
  <c r="B64" i="30"/>
  <c r="A63" i="30"/>
  <c r="A64" i="29"/>
  <c r="B65" i="29"/>
  <c r="A63" i="28"/>
  <c r="B64" i="28"/>
  <c r="A64" i="26"/>
  <c r="B65" i="26"/>
  <c r="A64" i="25"/>
  <c r="B65" i="25"/>
  <c r="B66" i="23"/>
  <c r="A65" i="23"/>
  <c r="A64" i="22"/>
  <c r="B65" i="22"/>
  <c r="A63" i="21"/>
  <c r="B64" i="21"/>
  <c r="B65" i="24" l="1"/>
  <c r="A64" i="24"/>
  <c r="B65" i="27"/>
  <c r="A64" i="27"/>
  <c r="B66" i="20"/>
  <c r="A65" i="20"/>
  <c r="B65" i="19"/>
  <c r="A64" i="19"/>
  <c r="A64" i="35"/>
  <c r="B65" i="35"/>
  <c r="B66" i="34"/>
  <c r="A65" i="34"/>
  <c r="B65" i="33"/>
  <c r="A64" i="33"/>
  <c r="A64" i="32"/>
  <c r="B65" i="32"/>
  <c r="B66" i="31"/>
  <c r="A65" i="31"/>
  <c r="A64" i="30"/>
  <c r="B65" i="30"/>
  <c r="B66" i="29"/>
  <c r="A65" i="29"/>
  <c r="B65" i="28"/>
  <c r="A64" i="28"/>
  <c r="B66" i="26"/>
  <c r="A65" i="26"/>
  <c r="B66" i="25"/>
  <c r="A65" i="25"/>
  <c r="A66" i="23"/>
  <c r="B67" i="23"/>
  <c r="B66" i="22"/>
  <c r="A65" i="22"/>
  <c r="A64" i="21"/>
  <c r="B65" i="21"/>
  <c r="A65" i="24" l="1"/>
  <c r="B66" i="24"/>
  <c r="B66" i="19"/>
  <c r="A65" i="19"/>
  <c r="B67" i="20"/>
  <c r="A66" i="20"/>
  <c r="B66" i="27"/>
  <c r="A65" i="27"/>
  <c r="B66" i="35"/>
  <c r="A65" i="35"/>
  <c r="A66" i="34"/>
  <c r="B67" i="34"/>
  <c r="B66" i="33"/>
  <c r="A65" i="33"/>
  <c r="A65" i="32"/>
  <c r="B66" i="32"/>
  <c r="A66" i="31"/>
  <c r="B67" i="31"/>
  <c r="B66" i="30"/>
  <c r="A65" i="30"/>
  <c r="A66" i="29"/>
  <c r="B67" i="29"/>
  <c r="B66" i="28"/>
  <c r="A65" i="28"/>
  <c r="A66" i="26"/>
  <c r="B67" i="26"/>
  <c r="A66" i="25"/>
  <c r="B67" i="25"/>
  <c r="B68" i="23"/>
  <c r="A67" i="23"/>
  <c r="A66" i="22"/>
  <c r="B67" i="22"/>
  <c r="A65" i="21"/>
  <c r="B66" i="21"/>
  <c r="A66" i="24" l="1"/>
  <c r="B67" i="24"/>
  <c r="B67" i="27"/>
  <c r="A66" i="27"/>
  <c r="B68" i="20"/>
  <c r="A67" i="20"/>
  <c r="B67" i="19"/>
  <c r="A66" i="19"/>
  <c r="A66" i="35"/>
  <c r="B67" i="35"/>
  <c r="B68" i="34"/>
  <c r="A67" i="34"/>
  <c r="B67" i="33"/>
  <c r="A66" i="33"/>
  <c r="A66" i="32"/>
  <c r="B67" i="32"/>
  <c r="B68" i="31"/>
  <c r="A67" i="31"/>
  <c r="A66" i="30"/>
  <c r="B67" i="30"/>
  <c r="B68" i="29"/>
  <c r="A67" i="29"/>
  <c r="B67" i="28"/>
  <c r="A66" i="28"/>
  <c r="B68" i="26"/>
  <c r="A67" i="26"/>
  <c r="B68" i="25"/>
  <c r="A67" i="25"/>
  <c r="A68" i="23"/>
  <c r="B69" i="23"/>
  <c r="B68" i="22"/>
  <c r="A67" i="22"/>
  <c r="B67" i="21"/>
  <c r="A66" i="21"/>
  <c r="A67" i="24" l="1"/>
  <c r="B68" i="24"/>
  <c r="B68" i="19"/>
  <c r="A67" i="19"/>
  <c r="A68" i="20"/>
  <c r="B69" i="20"/>
  <c r="B68" i="27"/>
  <c r="A67" i="27"/>
  <c r="B68" i="35"/>
  <c r="A67" i="35"/>
  <c r="A68" i="34"/>
  <c r="B69" i="34"/>
  <c r="B68" i="33"/>
  <c r="A67" i="33"/>
  <c r="A67" i="32"/>
  <c r="B68" i="32"/>
  <c r="A68" i="31"/>
  <c r="B69" i="31"/>
  <c r="B68" i="30"/>
  <c r="A67" i="30"/>
  <c r="A68" i="29"/>
  <c r="B69" i="29"/>
  <c r="A67" i="28"/>
  <c r="B68" i="28"/>
  <c r="A68" i="26"/>
  <c r="B69" i="26"/>
  <c r="A68" i="25"/>
  <c r="B69" i="25"/>
  <c r="B70" i="23"/>
  <c r="A69" i="23"/>
  <c r="A68" i="22"/>
  <c r="B69" i="22"/>
  <c r="B68" i="21"/>
  <c r="A67" i="21"/>
  <c r="A68" i="24" l="1"/>
  <c r="B69" i="24"/>
  <c r="B69" i="27"/>
  <c r="A68" i="27"/>
  <c r="B70" i="20"/>
  <c r="A69" i="20"/>
  <c r="B69" i="19"/>
  <c r="A68" i="19"/>
  <c r="A68" i="35"/>
  <c r="B69" i="35"/>
  <c r="B70" i="34"/>
  <c r="A69" i="34"/>
  <c r="A68" i="33"/>
  <c r="B69" i="33"/>
  <c r="A68" i="32"/>
  <c r="B69" i="32"/>
  <c r="B70" i="31"/>
  <c r="A69" i="31"/>
  <c r="A68" i="30"/>
  <c r="B69" i="30"/>
  <c r="B70" i="29"/>
  <c r="A69" i="29"/>
  <c r="B69" i="28"/>
  <c r="A68" i="28"/>
  <c r="B70" i="26"/>
  <c r="A69" i="26"/>
  <c r="B70" i="25"/>
  <c r="A69" i="25"/>
  <c r="A70" i="23"/>
  <c r="B71" i="23"/>
  <c r="B70" i="22"/>
  <c r="A69" i="22"/>
  <c r="A68" i="21"/>
  <c r="B69" i="21"/>
  <c r="B70" i="24" l="1"/>
  <c r="A69" i="24"/>
  <c r="B70" i="19"/>
  <c r="A69" i="19"/>
  <c r="B71" i="20"/>
  <c r="A70" i="20"/>
  <c r="B70" i="27"/>
  <c r="A69" i="27"/>
  <c r="B70" i="35"/>
  <c r="A69" i="35"/>
  <c r="A70" i="34"/>
  <c r="B71" i="34"/>
  <c r="B70" i="33"/>
  <c r="A69" i="33"/>
  <c r="A69" i="32"/>
  <c r="B70" i="32"/>
  <c r="A70" i="31"/>
  <c r="B71" i="31"/>
  <c r="B70" i="30"/>
  <c r="A69" i="30"/>
  <c r="A70" i="29"/>
  <c r="B71" i="29"/>
  <c r="B70" i="28"/>
  <c r="A69" i="28"/>
  <c r="A70" i="26"/>
  <c r="B71" i="26"/>
  <c r="A70" i="25"/>
  <c r="B71" i="25"/>
  <c r="B72" i="23"/>
  <c r="A71" i="23"/>
  <c r="A70" i="22"/>
  <c r="B71" i="22"/>
  <c r="A69" i="21"/>
  <c r="B70" i="21"/>
  <c r="B71" i="24" l="1"/>
  <c r="A70" i="24"/>
  <c r="B71" i="27"/>
  <c r="A70" i="27"/>
  <c r="B72" i="20"/>
  <c r="A71" i="20"/>
  <c r="B71" i="19"/>
  <c r="A70" i="19"/>
  <c r="A70" i="35"/>
  <c r="B71" i="35"/>
  <c r="B72" i="34"/>
  <c r="A71" i="34"/>
  <c r="B71" i="33"/>
  <c r="A70" i="33"/>
  <c r="A70" i="32"/>
  <c r="B71" i="32"/>
  <c r="B72" i="31"/>
  <c r="A71" i="31"/>
  <c r="A70" i="30"/>
  <c r="B71" i="30"/>
  <c r="B72" i="29"/>
  <c r="A71" i="29"/>
  <c r="B71" i="28"/>
  <c r="A70" i="28"/>
  <c r="B72" i="26"/>
  <c r="A71" i="26"/>
  <c r="B72" i="25"/>
  <c r="A71" i="25"/>
  <c r="A72" i="23"/>
  <c r="B73" i="23"/>
  <c r="B72" i="22"/>
  <c r="A71" i="22"/>
  <c r="B71" i="21"/>
  <c r="A70" i="21"/>
  <c r="A71" i="24" l="1"/>
  <c r="B72" i="24"/>
  <c r="A71" i="19"/>
  <c r="B72" i="19"/>
  <c r="B73" i="20"/>
  <c r="A72" i="20"/>
  <c r="B72" i="27"/>
  <c r="A71" i="27"/>
  <c r="B72" i="35"/>
  <c r="A71" i="35"/>
  <c r="A72" i="34"/>
  <c r="B73" i="34"/>
  <c r="B72" i="33"/>
  <c r="A71" i="33"/>
  <c r="A71" i="32"/>
  <c r="B72" i="32"/>
  <c r="A72" i="31"/>
  <c r="B73" i="31"/>
  <c r="B72" i="30"/>
  <c r="A71" i="30"/>
  <c r="A72" i="29"/>
  <c r="B73" i="29"/>
  <c r="A71" i="28"/>
  <c r="B72" i="28"/>
  <c r="A72" i="26"/>
  <c r="B73" i="26"/>
  <c r="A72" i="25"/>
  <c r="B73" i="25"/>
  <c r="B74" i="23"/>
  <c r="A73" i="23"/>
  <c r="A72" i="22"/>
  <c r="B73" i="22"/>
  <c r="A71" i="21"/>
  <c r="B72" i="21"/>
  <c r="B73" i="24" l="1"/>
  <c r="A72" i="24"/>
  <c r="B73" i="27"/>
  <c r="A72" i="27"/>
  <c r="B74" i="20"/>
  <c r="A73" i="20"/>
  <c r="A72" i="19"/>
  <c r="B73" i="19"/>
  <c r="A72" i="35"/>
  <c r="B73" i="35"/>
  <c r="B74" i="34"/>
  <c r="A73" i="34"/>
  <c r="A72" i="33"/>
  <c r="B73" i="33"/>
  <c r="A72" i="32"/>
  <c r="B73" i="32"/>
  <c r="B74" i="31"/>
  <c r="A73" i="31"/>
  <c r="A72" i="30"/>
  <c r="B73" i="30"/>
  <c r="B74" i="29"/>
  <c r="A73" i="29"/>
  <c r="B73" i="28"/>
  <c r="A72" i="28"/>
  <c r="B74" i="26"/>
  <c r="A73" i="26"/>
  <c r="B74" i="25"/>
  <c r="A73" i="25"/>
  <c r="A74" i="23"/>
  <c r="B75" i="23"/>
  <c r="B74" i="22"/>
  <c r="A73" i="22"/>
  <c r="A72" i="21"/>
  <c r="B73" i="21"/>
  <c r="B74" i="24" l="1"/>
  <c r="A73" i="24"/>
  <c r="B75" i="20"/>
  <c r="A74" i="20"/>
  <c r="B74" i="19"/>
  <c r="A73" i="19"/>
  <c r="B74" i="27"/>
  <c r="A73" i="27"/>
  <c r="B74" i="35"/>
  <c r="A73" i="35"/>
  <c r="A74" i="34"/>
  <c r="B75" i="34"/>
  <c r="B74" i="33"/>
  <c r="A73" i="33"/>
  <c r="A73" i="32"/>
  <c r="B74" i="32"/>
  <c r="A74" i="31"/>
  <c r="B75" i="31"/>
  <c r="B74" i="30"/>
  <c r="A73" i="30"/>
  <c r="A74" i="29"/>
  <c r="B75" i="29"/>
  <c r="B74" i="28"/>
  <c r="A73" i="28"/>
  <c r="A74" i="26"/>
  <c r="B75" i="26"/>
  <c r="A74" i="25"/>
  <c r="B75" i="25"/>
  <c r="B76" i="23"/>
  <c r="A75" i="23"/>
  <c r="A74" i="22"/>
  <c r="B75" i="22"/>
  <c r="B74" i="21"/>
  <c r="A73" i="21"/>
  <c r="A74" i="24" l="1"/>
  <c r="B75" i="24"/>
  <c r="B75" i="27"/>
  <c r="A74" i="27"/>
  <c r="B75" i="19"/>
  <c r="A74" i="19"/>
  <c r="B76" i="20"/>
  <c r="A75" i="20"/>
  <c r="A74" i="35"/>
  <c r="B75" i="35"/>
  <c r="B76" i="34"/>
  <c r="A75" i="34"/>
  <c r="B75" i="33"/>
  <c r="A74" i="33"/>
  <c r="A74" i="32"/>
  <c r="B75" i="32"/>
  <c r="B76" i="31"/>
  <c r="A75" i="31"/>
  <c r="A74" i="30"/>
  <c r="B75" i="30"/>
  <c r="B76" i="29"/>
  <c r="A75" i="29"/>
  <c r="B75" i="28"/>
  <c r="A74" i="28"/>
  <c r="B76" i="26"/>
  <c r="A75" i="26"/>
  <c r="B76" i="25"/>
  <c r="A75" i="25"/>
  <c r="A76" i="23"/>
  <c r="B77" i="23"/>
  <c r="B76" i="22"/>
  <c r="A75" i="22"/>
  <c r="B75" i="21"/>
  <c r="A74" i="21"/>
  <c r="A75" i="24" l="1"/>
  <c r="B76" i="24"/>
  <c r="A76" i="20"/>
  <c r="B77" i="20"/>
  <c r="B76" i="19"/>
  <c r="A75" i="19"/>
  <c r="B76" i="27"/>
  <c r="A75" i="27"/>
  <c r="B76" i="35"/>
  <c r="A75" i="35"/>
  <c r="A76" i="34"/>
  <c r="B77" i="34"/>
  <c r="B76" i="33"/>
  <c r="A75" i="33"/>
  <c r="A75" i="32"/>
  <c r="B76" i="32"/>
  <c r="A76" i="31"/>
  <c r="B77" i="31"/>
  <c r="B76" i="30"/>
  <c r="A75" i="30"/>
  <c r="A76" i="29"/>
  <c r="B77" i="29"/>
  <c r="A75" i="28"/>
  <c r="B76" i="28"/>
  <c r="A76" i="26"/>
  <c r="B77" i="26"/>
  <c r="A76" i="25"/>
  <c r="B77" i="25"/>
  <c r="B78" i="23"/>
  <c r="A77" i="23"/>
  <c r="A76" i="22"/>
  <c r="B77" i="22"/>
  <c r="A75" i="21"/>
  <c r="B76" i="21"/>
  <c r="A76" i="24" l="1"/>
  <c r="B77" i="24"/>
  <c r="B77" i="27"/>
  <c r="A76" i="27"/>
  <c r="A76" i="19"/>
  <c r="B77" i="19"/>
  <c r="B78" i="20"/>
  <c r="A77" i="20"/>
  <c r="A76" i="35"/>
  <c r="B77" i="35"/>
  <c r="B78" i="34"/>
  <c r="A77" i="34"/>
  <c r="A76" i="33"/>
  <c r="B77" i="33"/>
  <c r="A76" i="32"/>
  <c r="B77" i="32"/>
  <c r="B78" i="31"/>
  <c r="A77" i="31"/>
  <c r="A76" i="30"/>
  <c r="B77" i="30"/>
  <c r="B78" i="29"/>
  <c r="A77" i="29"/>
  <c r="B77" i="28"/>
  <c r="A76" i="28"/>
  <c r="B78" i="26"/>
  <c r="A77" i="26"/>
  <c r="B78" i="25"/>
  <c r="A77" i="25"/>
  <c r="A78" i="23"/>
  <c r="B79" i="23"/>
  <c r="B78" i="22"/>
  <c r="A77" i="22"/>
  <c r="A76" i="21"/>
  <c r="B77" i="21"/>
  <c r="B78" i="24" l="1"/>
  <c r="A77" i="24"/>
  <c r="B79" i="20"/>
  <c r="A78" i="20"/>
  <c r="B78" i="19"/>
  <c r="A77" i="19"/>
  <c r="B78" i="27"/>
  <c r="A77" i="27"/>
  <c r="B78" i="35"/>
  <c r="A77" i="35"/>
  <c r="A78" i="34"/>
  <c r="B79" i="34"/>
  <c r="B78" i="33"/>
  <c r="A77" i="33"/>
  <c r="A77" i="32"/>
  <c r="B78" i="32"/>
  <c r="A78" i="31"/>
  <c r="B79" i="31"/>
  <c r="B78" i="30"/>
  <c r="A77" i="30"/>
  <c r="A78" i="29"/>
  <c r="B79" i="29"/>
  <c r="A77" i="28"/>
  <c r="B78" i="28"/>
  <c r="A78" i="26"/>
  <c r="B79" i="26"/>
  <c r="A78" i="25"/>
  <c r="B79" i="25"/>
  <c r="B80" i="23"/>
  <c r="A79" i="23"/>
  <c r="A78" i="22"/>
  <c r="B79" i="22"/>
  <c r="B78" i="21"/>
  <c r="A77" i="21"/>
  <c r="A78" i="24" l="1"/>
  <c r="B79" i="24"/>
  <c r="B79" i="27"/>
  <c r="A78" i="27"/>
  <c r="B79" i="19"/>
  <c r="A78" i="19"/>
  <c r="B80" i="20"/>
  <c r="A79" i="20"/>
  <c r="A78" i="35"/>
  <c r="B79" i="35"/>
  <c r="B80" i="34"/>
  <c r="A79" i="34"/>
  <c r="B79" i="33"/>
  <c r="A78" i="33"/>
  <c r="A78" i="32"/>
  <c r="B79" i="32"/>
  <c r="B80" i="31"/>
  <c r="A79" i="31"/>
  <c r="A78" i="30"/>
  <c r="B79" i="30"/>
  <c r="B80" i="29"/>
  <c r="A79" i="29"/>
  <c r="B79" i="28"/>
  <c r="A78" i="28"/>
  <c r="B80" i="26"/>
  <c r="A79" i="26"/>
  <c r="B80" i="25"/>
  <c r="A79" i="25"/>
  <c r="A80" i="23"/>
  <c r="B81" i="23"/>
  <c r="B80" i="22"/>
  <c r="A79" i="22"/>
  <c r="B79" i="21"/>
  <c r="A78" i="21"/>
  <c r="B80" i="24" l="1"/>
  <c r="A79" i="24"/>
  <c r="B81" i="20"/>
  <c r="A80" i="20"/>
  <c r="B80" i="19"/>
  <c r="A79" i="19"/>
  <c r="B80" i="27"/>
  <c r="A79" i="27"/>
  <c r="B80" i="35"/>
  <c r="A79" i="35"/>
  <c r="A80" i="34"/>
  <c r="B81" i="34"/>
  <c r="B80" i="33"/>
  <c r="A79" i="33"/>
  <c r="A79" i="32"/>
  <c r="B80" i="32"/>
  <c r="A80" i="31"/>
  <c r="B81" i="31"/>
  <c r="B80" i="30"/>
  <c r="A79" i="30"/>
  <c r="A80" i="29"/>
  <c r="B81" i="29"/>
  <c r="B80" i="28"/>
  <c r="A79" i="28"/>
  <c r="A80" i="26"/>
  <c r="B81" i="26"/>
  <c r="A80" i="25"/>
  <c r="B81" i="25"/>
  <c r="B82" i="23"/>
  <c r="A81" i="23"/>
  <c r="A80" i="22"/>
  <c r="B81" i="22"/>
  <c r="A79" i="21"/>
  <c r="B80" i="21"/>
  <c r="A80" i="24" l="1"/>
  <c r="B81" i="24"/>
  <c r="B81" i="27"/>
  <c r="A80" i="27"/>
  <c r="B81" i="19"/>
  <c r="A80" i="19"/>
  <c r="A81" i="20"/>
  <c r="B82" i="20"/>
  <c r="A80" i="35"/>
  <c r="B81" i="35"/>
  <c r="B82" i="34"/>
  <c r="A81" i="34"/>
  <c r="A80" i="33"/>
  <c r="B81" i="33"/>
  <c r="A80" i="32"/>
  <c r="B81" i="32"/>
  <c r="B82" i="31"/>
  <c r="A81" i="31"/>
  <c r="A80" i="30"/>
  <c r="B81" i="30"/>
  <c r="B82" i="29"/>
  <c r="A81" i="29"/>
  <c r="B81" i="28"/>
  <c r="A80" i="28"/>
  <c r="B82" i="26"/>
  <c r="A81" i="26"/>
  <c r="B82" i="25"/>
  <c r="A81" i="25"/>
  <c r="A82" i="23"/>
  <c r="B83" i="23"/>
  <c r="B82" i="22"/>
  <c r="A81" i="22"/>
  <c r="A80" i="21"/>
  <c r="B81" i="21"/>
  <c r="B82" i="24" l="1"/>
  <c r="A81" i="24"/>
  <c r="B83" i="20"/>
  <c r="A82" i="20"/>
  <c r="B82" i="19"/>
  <c r="A81" i="19"/>
  <c r="B82" i="27"/>
  <c r="A81" i="27"/>
  <c r="B82" i="35"/>
  <c r="A81" i="35"/>
  <c r="A82" i="34"/>
  <c r="B83" i="34"/>
  <c r="B82" i="33"/>
  <c r="A81" i="33"/>
  <c r="A81" i="32"/>
  <c r="B82" i="32"/>
  <c r="A82" i="31"/>
  <c r="B83" i="31"/>
  <c r="B82" i="30"/>
  <c r="A81" i="30"/>
  <c r="A82" i="29"/>
  <c r="B83" i="29"/>
  <c r="A81" i="28"/>
  <c r="B82" i="28"/>
  <c r="A82" i="26"/>
  <c r="B83" i="26"/>
  <c r="A82" i="25"/>
  <c r="B83" i="25"/>
  <c r="B84" i="23"/>
  <c r="A83" i="23"/>
  <c r="A82" i="22"/>
  <c r="B83" i="22"/>
  <c r="A81" i="21"/>
  <c r="B82" i="21"/>
  <c r="A82" i="24" l="1"/>
  <c r="B83" i="24"/>
  <c r="B83" i="27"/>
  <c r="A82" i="27"/>
  <c r="A82" i="19"/>
  <c r="B83" i="19"/>
  <c r="B84" i="20"/>
  <c r="A83" i="20"/>
  <c r="A82" i="35"/>
  <c r="B83" i="35"/>
  <c r="B84" i="34"/>
  <c r="A83" i="34"/>
  <c r="B83" i="33"/>
  <c r="A82" i="33"/>
  <c r="A82" i="32"/>
  <c r="B83" i="32"/>
  <c r="B84" i="31"/>
  <c r="A83" i="31"/>
  <c r="A82" i="30"/>
  <c r="B83" i="30"/>
  <c r="B84" i="29"/>
  <c r="A83" i="29"/>
  <c r="B83" i="28"/>
  <c r="A82" i="28"/>
  <c r="B84" i="26"/>
  <c r="A83" i="26"/>
  <c r="B84" i="25"/>
  <c r="A83" i="25"/>
  <c r="A84" i="23"/>
  <c r="B85" i="23"/>
  <c r="B84" i="22"/>
  <c r="A83" i="22"/>
  <c r="B83" i="21"/>
  <c r="A82" i="21"/>
  <c r="A83" i="24" l="1"/>
  <c r="B84" i="24"/>
  <c r="B85" i="20"/>
  <c r="A84" i="20"/>
  <c r="B84" i="19"/>
  <c r="A83" i="19"/>
  <c r="B84" i="27"/>
  <c r="A83" i="27"/>
  <c r="B84" i="35"/>
  <c r="A83" i="35"/>
  <c r="A84" i="34"/>
  <c r="B85" i="34"/>
  <c r="B84" i="33"/>
  <c r="A83" i="33"/>
  <c r="A83" i="32"/>
  <c r="B84" i="32"/>
  <c r="A84" i="31"/>
  <c r="B85" i="31"/>
  <c r="B84" i="30"/>
  <c r="A83" i="30"/>
  <c r="A84" i="29"/>
  <c r="B85" i="29"/>
  <c r="B84" i="28"/>
  <c r="A83" i="28"/>
  <c r="A84" i="26"/>
  <c r="B85" i="26"/>
  <c r="A84" i="25"/>
  <c r="B85" i="25"/>
  <c r="B86" i="23"/>
  <c r="A85" i="23"/>
  <c r="A84" i="22"/>
  <c r="B85" i="22"/>
  <c r="B84" i="21"/>
  <c r="A83" i="21"/>
  <c r="A84" i="24" l="1"/>
  <c r="B85" i="24"/>
  <c r="B85" i="27"/>
  <c r="A84" i="27"/>
  <c r="A84" i="19"/>
  <c r="B85" i="19"/>
  <c r="B86" i="20"/>
  <c r="A85" i="20"/>
  <c r="A84" i="35"/>
  <c r="B85" i="35"/>
  <c r="B86" i="34"/>
  <c r="A85" i="34"/>
  <c r="A84" i="33"/>
  <c r="B85" i="33"/>
  <c r="A84" i="32"/>
  <c r="B85" i="32"/>
  <c r="B86" i="31"/>
  <c r="A85" i="31"/>
  <c r="A84" i="30"/>
  <c r="B85" i="30"/>
  <c r="B86" i="29"/>
  <c r="A85" i="29"/>
  <c r="B85" i="28"/>
  <c r="A84" i="28"/>
  <c r="B86" i="26"/>
  <c r="A85" i="26"/>
  <c r="B86" i="25"/>
  <c r="A85" i="25"/>
  <c r="A86" i="23"/>
  <c r="B87" i="23"/>
  <c r="B86" i="22"/>
  <c r="A85" i="22"/>
  <c r="A84" i="21"/>
  <c r="B85" i="21"/>
  <c r="B86" i="24" l="1"/>
  <c r="A85" i="24"/>
  <c r="B87" i="20"/>
  <c r="A86" i="20"/>
  <c r="A85" i="19"/>
  <c r="B86" i="19"/>
  <c r="B86" i="27"/>
  <c r="A85" i="27"/>
  <c r="B86" i="35"/>
  <c r="A85" i="35"/>
  <c r="A86" i="34"/>
  <c r="B87" i="34"/>
  <c r="B86" i="33"/>
  <c r="A85" i="33"/>
  <c r="A85" i="32"/>
  <c r="B86" i="32"/>
  <c r="A86" i="31"/>
  <c r="B87" i="31"/>
  <c r="B86" i="30"/>
  <c r="A85" i="30"/>
  <c r="A86" i="29"/>
  <c r="B87" i="29"/>
  <c r="A85" i="28"/>
  <c r="B86" i="28"/>
  <c r="A86" i="26"/>
  <c r="B87" i="26"/>
  <c r="A86" i="25"/>
  <c r="B87" i="25"/>
  <c r="B88" i="23"/>
  <c r="A87" i="23"/>
  <c r="A86" i="22"/>
  <c r="B87" i="22"/>
  <c r="A85" i="21"/>
  <c r="B86" i="21"/>
  <c r="A86" i="24" l="1"/>
  <c r="B87" i="24"/>
  <c r="B87" i="27"/>
  <c r="A86" i="27"/>
  <c r="A86" i="19"/>
  <c r="B87" i="19"/>
  <c r="B88" i="20"/>
  <c r="A87" i="20"/>
  <c r="A86" i="35"/>
  <c r="B87" i="35"/>
  <c r="B88" i="34"/>
  <c r="A87" i="34"/>
  <c r="B87" i="33"/>
  <c r="A86" i="33"/>
  <c r="A86" i="32"/>
  <c r="B87" i="32"/>
  <c r="B88" i="31"/>
  <c r="A87" i="31"/>
  <c r="A86" i="30"/>
  <c r="B87" i="30"/>
  <c r="B88" i="29"/>
  <c r="A87" i="29"/>
  <c r="B87" i="28"/>
  <c r="A86" i="28"/>
  <c r="B88" i="26"/>
  <c r="A87" i="26"/>
  <c r="B88" i="25"/>
  <c r="A87" i="25"/>
  <c r="A88" i="23"/>
  <c r="B89" i="23"/>
  <c r="B88" i="22"/>
  <c r="A87" i="22"/>
  <c r="B87" i="21"/>
  <c r="A86" i="21"/>
  <c r="A87" i="24" l="1"/>
  <c r="B88" i="24"/>
  <c r="A88" i="20"/>
  <c r="B89" i="20"/>
  <c r="B88" i="19"/>
  <c r="A87" i="19"/>
  <c r="B88" i="27"/>
  <c r="A87" i="27"/>
  <c r="B88" i="35"/>
  <c r="A87" i="35"/>
  <c r="A88" i="34"/>
  <c r="B89" i="34"/>
  <c r="B88" i="33"/>
  <c r="A87" i="33"/>
  <c r="A87" i="32"/>
  <c r="B88" i="32"/>
  <c r="A88" i="31"/>
  <c r="B89" i="31"/>
  <c r="B88" i="30"/>
  <c r="A87" i="30"/>
  <c r="A88" i="29"/>
  <c r="B89" i="29"/>
  <c r="B88" i="28"/>
  <c r="A87" i="28"/>
  <c r="A88" i="26"/>
  <c r="B89" i="26"/>
  <c r="A88" i="25"/>
  <c r="B89" i="25"/>
  <c r="B90" i="23"/>
  <c r="A89" i="23"/>
  <c r="A88" i="22"/>
  <c r="B89" i="22"/>
  <c r="B88" i="21"/>
  <c r="A87" i="21"/>
  <c r="A88" i="24" l="1"/>
  <c r="B89" i="24"/>
  <c r="B89" i="27"/>
  <c r="A88" i="27"/>
  <c r="B89" i="19"/>
  <c r="A88" i="19"/>
  <c r="B90" i="20"/>
  <c r="A89" i="20"/>
  <c r="A88" i="35"/>
  <c r="B89" i="35"/>
  <c r="B90" i="34"/>
  <c r="A89" i="34"/>
  <c r="A88" i="33"/>
  <c r="B89" i="33"/>
  <c r="A88" i="32"/>
  <c r="B89" i="32"/>
  <c r="B90" i="31"/>
  <c r="A89" i="31"/>
  <c r="A88" i="30"/>
  <c r="B89" i="30"/>
  <c r="B90" i="29"/>
  <c r="A89" i="29"/>
  <c r="B89" i="28"/>
  <c r="A88" i="28"/>
  <c r="B90" i="26"/>
  <c r="A89" i="26"/>
  <c r="B90" i="25"/>
  <c r="A89" i="25"/>
  <c r="A90" i="23"/>
  <c r="B91" i="23"/>
  <c r="B90" i="22"/>
  <c r="A89" i="22"/>
  <c r="A88" i="21"/>
  <c r="B89" i="21"/>
  <c r="B90" i="24" l="1"/>
  <c r="A89" i="24"/>
  <c r="B91" i="20"/>
  <c r="A90" i="20"/>
  <c r="A89" i="19"/>
  <c r="B90" i="19"/>
  <c r="B90" i="27"/>
  <c r="A89" i="27"/>
  <c r="B90" i="35"/>
  <c r="A89" i="35"/>
  <c r="A90" i="34"/>
  <c r="B91" i="34"/>
  <c r="B90" i="33"/>
  <c r="A89" i="33"/>
  <c r="A89" i="32"/>
  <c r="B90" i="32"/>
  <c r="A90" i="31"/>
  <c r="B91" i="31"/>
  <c r="B90" i="30"/>
  <c r="A89" i="30"/>
  <c r="A90" i="29"/>
  <c r="B91" i="29"/>
  <c r="A89" i="28"/>
  <c r="B90" i="28"/>
  <c r="A90" i="26"/>
  <c r="B91" i="26"/>
  <c r="A90" i="25"/>
  <c r="B91" i="25"/>
  <c r="B92" i="23"/>
  <c r="A91" i="23"/>
  <c r="A90" i="22"/>
  <c r="B91" i="22"/>
  <c r="A89" i="21"/>
  <c r="B90" i="21"/>
  <c r="A90" i="24" l="1"/>
  <c r="B91" i="24"/>
  <c r="B91" i="27"/>
  <c r="A90" i="27"/>
  <c r="A90" i="19"/>
  <c r="B91" i="19"/>
  <c r="B92" i="20"/>
  <c r="A91" i="20"/>
  <c r="A90" i="35"/>
  <c r="B91" i="35"/>
  <c r="B92" i="34"/>
  <c r="A91" i="34"/>
  <c r="B91" i="33"/>
  <c r="A90" i="33"/>
  <c r="A90" i="32"/>
  <c r="B91" i="32"/>
  <c r="B92" i="31"/>
  <c r="A91" i="31"/>
  <c r="A90" i="30"/>
  <c r="B91" i="30"/>
  <c r="B92" i="29"/>
  <c r="A91" i="29"/>
  <c r="B91" i="28"/>
  <c r="A90" i="28"/>
  <c r="B92" i="26"/>
  <c r="A91" i="26"/>
  <c r="B92" i="25"/>
  <c r="A91" i="25"/>
  <c r="A92" i="23"/>
  <c r="B93" i="23"/>
  <c r="B92" i="22"/>
  <c r="A91" i="22"/>
  <c r="B91" i="21"/>
  <c r="A90" i="21"/>
  <c r="A91" i="24" l="1"/>
  <c r="B92" i="24"/>
  <c r="B93" i="20"/>
  <c r="A92" i="20"/>
  <c r="A91" i="19"/>
  <c r="B92" i="19"/>
  <c r="B92" i="27"/>
  <c r="A91" i="27"/>
  <c r="B92" i="35"/>
  <c r="A91" i="35"/>
  <c r="A92" i="34"/>
  <c r="B93" i="34"/>
  <c r="B92" i="33"/>
  <c r="A91" i="33"/>
  <c r="A91" i="32"/>
  <c r="B92" i="32"/>
  <c r="A92" i="31"/>
  <c r="B93" i="31"/>
  <c r="B92" i="30"/>
  <c r="A91" i="30"/>
  <c r="A92" i="29"/>
  <c r="B93" i="29"/>
  <c r="B92" i="28"/>
  <c r="A91" i="28"/>
  <c r="A92" i="26"/>
  <c r="B93" i="26"/>
  <c r="A92" i="25"/>
  <c r="B93" i="25"/>
  <c r="B94" i="23"/>
  <c r="A93" i="23"/>
  <c r="A92" i="22"/>
  <c r="B93" i="22"/>
  <c r="B92" i="21"/>
  <c r="A91" i="21"/>
  <c r="A92" i="24" l="1"/>
  <c r="B93" i="24"/>
  <c r="B93" i="27"/>
  <c r="A92" i="27"/>
  <c r="B93" i="19"/>
  <c r="A92" i="19"/>
  <c r="B94" i="20"/>
  <c r="A93" i="20"/>
  <c r="A92" i="35"/>
  <c r="B93" i="35"/>
  <c r="B94" i="34"/>
  <c r="A93" i="34"/>
  <c r="A92" i="33"/>
  <c r="B93" i="33"/>
  <c r="A92" i="32"/>
  <c r="B93" i="32"/>
  <c r="B94" i="31"/>
  <c r="A93" i="31"/>
  <c r="A92" i="30"/>
  <c r="B93" i="30"/>
  <c r="B94" i="29"/>
  <c r="A93" i="29"/>
  <c r="B93" i="28"/>
  <c r="A92" i="28"/>
  <c r="B94" i="26"/>
  <c r="A93" i="26"/>
  <c r="B94" i="25"/>
  <c r="A93" i="25"/>
  <c r="A94" i="23"/>
  <c r="B95" i="23"/>
  <c r="B94" i="22"/>
  <c r="A93" i="22"/>
  <c r="A92" i="21"/>
  <c r="B93" i="21"/>
  <c r="A93" i="24" l="1"/>
  <c r="B94" i="24"/>
  <c r="B95" i="20"/>
  <c r="A94" i="20"/>
  <c r="B94" i="19"/>
  <c r="A93" i="19"/>
  <c r="B94" i="27"/>
  <c r="A93" i="27"/>
  <c r="B94" i="35"/>
  <c r="A93" i="35"/>
  <c r="A94" i="34"/>
  <c r="B95" i="34"/>
  <c r="B94" i="33"/>
  <c r="A93" i="33"/>
  <c r="A93" i="32"/>
  <c r="B94" i="32"/>
  <c r="A94" i="31"/>
  <c r="B95" i="31"/>
  <c r="B94" i="30"/>
  <c r="A93" i="30"/>
  <c r="A94" i="29"/>
  <c r="B95" i="29"/>
  <c r="A93" i="28"/>
  <c r="B94" i="28"/>
  <c r="A94" i="26"/>
  <c r="B95" i="26"/>
  <c r="A94" i="25"/>
  <c r="B95" i="25"/>
  <c r="B96" i="23"/>
  <c r="A95" i="23"/>
  <c r="A94" i="22"/>
  <c r="B95" i="22"/>
  <c r="B94" i="21"/>
  <c r="A93" i="21"/>
  <c r="A94" i="24" l="1"/>
  <c r="B95" i="24"/>
  <c r="B95" i="27"/>
  <c r="A94" i="27"/>
  <c r="B95" i="19"/>
  <c r="A94" i="19"/>
  <c r="B96" i="20"/>
  <c r="A95" i="20"/>
  <c r="A94" i="35"/>
  <c r="B95" i="35"/>
  <c r="B96" i="34"/>
  <c r="A95" i="34"/>
  <c r="B95" i="33"/>
  <c r="A94" i="33"/>
  <c r="A94" i="32"/>
  <c r="B95" i="32"/>
  <c r="B96" i="31"/>
  <c r="A95" i="31"/>
  <c r="A94" i="30"/>
  <c r="B95" i="30"/>
  <c r="B96" i="29"/>
  <c r="A95" i="29"/>
  <c r="B95" i="28"/>
  <c r="A94" i="28"/>
  <c r="B96" i="26"/>
  <c r="A95" i="26"/>
  <c r="B96" i="25"/>
  <c r="A95" i="25"/>
  <c r="A96" i="23"/>
  <c r="B97" i="23"/>
  <c r="B96" i="22"/>
  <c r="A95" i="22"/>
  <c r="B95" i="21"/>
  <c r="A94" i="21"/>
  <c r="A95" i="24" l="1"/>
  <c r="B96" i="24"/>
  <c r="B97" i="20"/>
  <c r="A96" i="20"/>
  <c r="B96" i="19"/>
  <c r="A95" i="19"/>
  <c r="B96" i="27"/>
  <c r="A95" i="27"/>
  <c r="B96" i="35"/>
  <c r="A95" i="35"/>
  <c r="A96" i="34"/>
  <c r="B97" i="34"/>
  <c r="B96" i="33"/>
  <c r="A95" i="33"/>
  <c r="A95" i="32"/>
  <c r="B96" i="32"/>
  <c r="A96" i="31"/>
  <c r="B97" i="31"/>
  <c r="B96" i="30"/>
  <c r="A95" i="30"/>
  <c r="A96" i="29"/>
  <c r="B97" i="29"/>
  <c r="B96" i="28"/>
  <c r="A95" i="28"/>
  <c r="A96" i="26"/>
  <c r="B97" i="26"/>
  <c r="A96" i="25"/>
  <c r="B97" i="25"/>
  <c r="B98" i="23"/>
  <c r="A97" i="23"/>
  <c r="A96" i="22"/>
  <c r="B97" i="22"/>
  <c r="B96" i="21"/>
  <c r="A95" i="21"/>
  <c r="B97" i="24" l="1"/>
  <c r="A96" i="24"/>
  <c r="B97" i="27"/>
  <c r="A96" i="27"/>
  <c r="B97" i="19"/>
  <c r="A96" i="19"/>
  <c r="B98" i="20"/>
  <c r="A97" i="20"/>
  <c r="A96" i="35"/>
  <c r="B97" i="35"/>
  <c r="B98" i="34"/>
  <c r="A97" i="34"/>
  <c r="A96" i="33"/>
  <c r="B97" i="33"/>
  <c r="A96" i="32"/>
  <c r="B97" i="32"/>
  <c r="B98" i="31"/>
  <c r="A97" i="31"/>
  <c r="A96" i="30"/>
  <c r="B97" i="30"/>
  <c r="B98" i="29"/>
  <c r="A97" i="29"/>
  <c r="B97" i="28"/>
  <c r="A96" i="28"/>
  <c r="B98" i="26"/>
  <c r="A97" i="26"/>
  <c r="B98" i="25"/>
  <c r="A97" i="25"/>
  <c r="A98" i="23"/>
  <c r="B99" i="23"/>
  <c r="B98" i="22"/>
  <c r="A97" i="22"/>
  <c r="A96" i="21"/>
  <c r="B97" i="21"/>
  <c r="B98" i="24" l="1"/>
  <c r="A97" i="24"/>
  <c r="B99" i="20"/>
  <c r="A98" i="20"/>
  <c r="B98" i="19"/>
  <c r="A97" i="19"/>
  <c r="B98" i="27"/>
  <c r="A97" i="27"/>
  <c r="B98" i="35"/>
  <c r="A97" i="35"/>
  <c r="A98" i="34"/>
  <c r="B99" i="34"/>
  <c r="B98" i="33"/>
  <c r="A97" i="33"/>
  <c r="A97" i="32"/>
  <c r="B98" i="32"/>
  <c r="A98" i="31"/>
  <c r="B99" i="31"/>
  <c r="B98" i="30"/>
  <c r="A97" i="30"/>
  <c r="A98" i="29"/>
  <c r="B99" i="29"/>
  <c r="A97" i="28"/>
  <c r="B98" i="28"/>
  <c r="A98" i="26"/>
  <c r="B99" i="26"/>
  <c r="A98" i="25"/>
  <c r="B99" i="25"/>
  <c r="B100" i="23"/>
  <c r="A99" i="23"/>
  <c r="A98" i="22"/>
  <c r="B99" i="22"/>
  <c r="A97" i="21"/>
  <c r="B98" i="21"/>
  <c r="B99" i="24" l="1"/>
  <c r="A98" i="24"/>
  <c r="B99" i="27"/>
  <c r="A98" i="27"/>
  <c r="A98" i="19"/>
  <c r="B99" i="19"/>
  <c r="B100" i="20"/>
  <c r="A99" i="20"/>
  <c r="A98" i="35"/>
  <c r="B99" i="35"/>
  <c r="B100" i="34"/>
  <c r="A99" i="34"/>
  <c r="B99" i="33"/>
  <c r="A98" i="33"/>
  <c r="A98" i="32"/>
  <c r="B99" i="32"/>
  <c r="B100" i="31"/>
  <c r="A99" i="31"/>
  <c r="A98" i="30"/>
  <c r="B99" i="30"/>
  <c r="B100" i="29"/>
  <c r="A99" i="29"/>
  <c r="B99" i="28"/>
  <c r="A98" i="28"/>
  <c r="B100" i="26"/>
  <c r="A99" i="26"/>
  <c r="B100" i="25"/>
  <c r="A99" i="25"/>
  <c r="A100" i="23"/>
  <c r="B101" i="23"/>
  <c r="B100" i="22"/>
  <c r="A99" i="22"/>
  <c r="B99" i="21"/>
  <c r="A98" i="21"/>
  <c r="A99" i="24" l="1"/>
  <c r="B100" i="24"/>
  <c r="B101" i="20"/>
  <c r="A100" i="20"/>
  <c r="B100" i="19"/>
  <c r="A99" i="19"/>
  <c r="B100" i="27"/>
  <c r="A99" i="27"/>
  <c r="K6" i="18"/>
  <c r="B100" i="35"/>
  <c r="A99" i="35"/>
  <c r="A100" i="34"/>
  <c r="B101" i="34"/>
  <c r="B100" i="33"/>
  <c r="A99" i="33"/>
  <c r="A99" i="32"/>
  <c r="B100" i="32"/>
  <c r="A100" i="31"/>
  <c r="B101" i="31"/>
  <c r="B100" i="30"/>
  <c r="A99" i="30"/>
  <c r="A100" i="29"/>
  <c r="B101" i="29"/>
  <c r="B100" i="28"/>
  <c r="A99" i="28"/>
  <c r="A100" i="26"/>
  <c r="B101" i="26"/>
  <c r="A100" i="25"/>
  <c r="B101" i="25"/>
  <c r="B102" i="23"/>
  <c r="A101" i="23"/>
  <c r="A100" i="22"/>
  <c r="B101" i="22"/>
  <c r="B100" i="21"/>
  <c r="A99" i="21"/>
  <c r="K5" i="18"/>
  <c r="A100" i="24" l="1"/>
  <c r="B101" i="24"/>
  <c r="B101" i="27"/>
  <c r="A100" i="27"/>
  <c r="A100" i="19"/>
  <c r="B101" i="19"/>
  <c r="A101" i="20"/>
  <c r="B102" i="20"/>
  <c r="A100" i="35"/>
  <c r="B101" i="35"/>
  <c r="B102" i="34"/>
  <c r="A101" i="34"/>
  <c r="A100" i="33"/>
  <c r="B101" i="33"/>
  <c r="A100" i="32"/>
  <c r="B101" i="32"/>
  <c r="B102" i="31"/>
  <c r="A101" i="31"/>
  <c r="A100" i="30"/>
  <c r="B101" i="30"/>
  <c r="B102" i="29"/>
  <c r="A101" i="29"/>
  <c r="B101" i="28"/>
  <c r="A100" i="28"/>
  <c r="B102" i="26"/>
  <c r="A101" i="26"/>
  <c r="B102" i="25"/>
  <c r="A101" i="25"/>
  <c r="A102" i="23"/>
  <c r="B103" i="23"/>
  <c r="B102" i="22"/>
  <c r="A101" i="22"/>
  <c r="A100" i="21"/>
  <c r="B101" i="21"/>
  <c r="B102" i="24" l="1"/>
  <c r="A101" i="24"/>
  <c r="B103" i="20"/>
  <c r="A102" i="20"/>
  <c r="B102" i="19"/>
  <c r="A101" i="19"/>
  <c r="B102" i="27"/>
  <c r="A101" i="27"/>
  <c r="B102" i="35"/>
  <c r="A101" i="35"/>
  <c r="A102" i="34"/>
  <c r="B103" i="34"/>
  <c r="B102" i="33"/>
  <c r="A101" i="33"/>
  <c r="A101" i="32"/>
  <c r="B102" i="32"/>
  <c r="A102" i="31"/>
  <c r="B103" i="31"/>
  <c r="B102" i="30"/>
  <c r="A101" i="30"/>
  <c r="A102" i="29"/>
  <c r="B103" i="29"/>
  <c r="A101" i="28"/>
  <c r="B102" i="28"/>
  <c r="A102" i="26"/>
  <c r="B103" i="26"/>
  <c r="A102" i="25"/>
  <c r="B103" i="25"/>
  <c r="B104" i="23"/>
  <c r="A103" i="23"/>
  <c r="A102" i="22"/>
  <c r="B103" i="22"/>
  <c r="B102" i="21"/>
  <c r="A101" i="21"/>
  <c r="B103" i="24" l="1"/>
  <c r="A102" i="24"/>
  <c r="B103" i="27"/>
  <c r="A102" i="27"/>
  <c r="B103" i="19"/>
  <c r="A102" i="19"/>
  <c r="B104" i="20"/>
  <c r="A103" i="20"/>
  <c r="A102" i="35"/>
  <c r="B103" i="35"/>
  <c r="B104" i="34"/>
  <c r="A103" i="34"/>
  <c r="B103" i="33"/>
  <c r="A102" i="33"/>
  <c r="A102" i="32"/>
  <c r="B103" i="32"/>
  <c r="B104" i="31"/>
  <c r="A103" i="31"/>
  <c r="A102" i="30"/>
  <c r="B103" i="30"/>
  <c r="B104" i="29"/>
  <c r="A103" i="29"/>
  <c r="B103" i="28"/>
  <c r="A102" i="28"/>
  <c r="B104" i="26"/>
  <c r="A103" i="26"/>
  <c r="B104" i="25"/>
  <c r="A103" i="25"/>
  <c r="A104" i="23"/>
  <c r="D2" i="23"/>
  <c r="B104" i="22"/>
  <c r="A103" i="22"/>
  <c r="B103" i="21"/>
  <c r="A102" i="21"/>
  <c r="D2" i="18"/>
  <c r="A103" i="24" l="1"/>
  <c r="B104" i="24"/>
  <c r="K5" i="20"/>
  <c r="D2" i="20"/>
  <c r="A104" i="20"/>
  <c r="B104" i="19"/>
  <c r="A103" i="19"/>
  <c r="D2" i="19"/>
  <c r="B104" i="27"/>
  <c r="A104" i="27" s="1"/>
  <c r="A103" i="27"/>
  <c r="B104" i="35"/>
  <c r="A103" i="35"/>
  <c r="A104" i="34"/>
  <c r="D2" i="34"/>
  <c r="B104" i="33"/>
  <c r="A103" i="33"/>
  <c r="A103" i="32"/>
  <c r="B104" i="32"/>
  <c r="A104" i="31"/>
  <c r="D2" i="31"/>
  <c r="B104" i="30"/>
  <c r="A103" i="30"/>
  <c r="A104" i="29"/>
  <c r="D2" i="29"/>
  <c r="B104" i="28"/>
  <c r="A103" i="28"/>
  <c r="D2" i="27"/>
  <c r="A104" i="26"/>
  <c r="D2" i="26"/>
  <c r="A104" i="25"/>
  <c r="D2" i="25"/>
  <c r="A104" i="22"/>
  <c r="D2" i="22"/>
  <c r="B104" i="21"/>
  <c r="A103" i="21"/>
  <c r="D2" i="24" l="1"/>
  <c r="A104" i="24"/>
  <c r="A104" i="19"/>
  <c r="K6" i="20"/>
  <c r="A104" i="35"/>
  <c r="D2" i="35"/>
  <c r="A104" i="33"/>
  <c r="D2" i="33"/>
  <c r="A104" i="32"/>
  <c r="D2" i="32"/>
  <c r="A104" i="30"/>
  <c r="D2" i="30"/>
  <c r="A104" i="28"/>
  <c r="D2" i="28"/>
  <c r="A104" i="21"/>
  <c r="D2" i="21"/>
  <c r="K6" i="19" l="1"/>
  <c r="K5" i="19"/>
  <c r="K6" i="21"/>
  <c r="K5" i="21"/>
</calcChain>
</file>

<file path=xl/sharedStrings.xml><?xml version="1.0" encoding="utf-8"?>
<sst xmlns="http://schemas.openxmlformats.org/spreadsheetml/2006/main" count="223" uniqueCount="103">
  <si>
    <t>Euro STOXX 50</t>
  </si>
  <si>
    <t>Risk Free Rate</t>
  </si>
  <si>
    <t>Swiss Market Index</t>
  </si>
  <si>
    <t>FTSE 100</t>
  </si>
  <si>
    <t>Iniial Level</t>
  </si>
  <si>
    <t>Strike (% of Initial Level)</t>
  </si>
  <si>
    <t>No. of paths</t>
  </si>
  <si>
    <t>Valuation Date</t>
  </si>
  <si>
    <t>Current Price</t>
  </si>
  <si>
    <t>Future Payout Dates</t>
  </si>
  <si>
    <t>Maturity Date</t>
  </si>
  <si>
    <t>Time to maturity</t>
  </si>
  <si>
    <t>no. of trading days from valuation date</t>
  </si>
  <si>
    <t>Payout Observation Date</t>
  </si>
  <si>
    <t>Payout Threshold</t>
  </si>
  <si>
    <t>no. of trading days from now</t>
  </si>
  <si>
    <t>Trigger Observation Dates</t>
  </si>
  <si>
    <t>Denomination</t>
  </si>
  <si>
    <t>Trigger Redemption Date</t>
  </si>
  <si>
    <t>US risk free rate</t>
  </si>
  <si>
    <t>Payout Amount</t>
  </si>
  <si>
    <t>Initial Volatilty V1(0)</t>
  </si>
  <si>
    <t>Initial Volatilty V2(0)</t>
  </si>
  <si>
    <t>Initial Volatilty V3(0)</t>
  </si>
  <si>
    <t>Correlation Matrix for Asset Dynamics</t>
  </si>
  <si>
    <t>Original matrix</t>
  </si>
  <si>
    <t>Lower triangular matrix</t>
  </si>
  <si>
    <t>Theta_star(1)</t>
  </si>
  <si>
    <t>Kappa_star(1)</t>
  </si>
  <si>
    <t>Sigma_v(1)</t>
  </si>
  <si>
    <t>Theta_star(2)</t>
  </si>
  <si>
    <t>Kappa_star(2)</t>
  </si>
  <si>
    <t>Sigma_v(2)</t>
  </si>
  <si>
    <t>Theta_star(3)</t>
  </si>
  <si>
    <t>Kappa_star(3)</t>
  </si>
  <si>
    <t>Sigma_v(3)</t>
  </si>
  <si>
    <t>Correlation (Exchange Rate/Index), rho_SE</t>
  </si>
  <si>
    <t>Correlation (Index/Stochastic Volatility), rho_SV</t>
  </si>
  <si>
    <t>Volatility (FX), sigma_f(1)</t>
  </si>
  <si>
    <t>Volatility (FX), sigma_f(2)</t>
  </si>
  <si>
    <t>Volatility (FX), sigma_f(3)</t>
  </si>
  <si>
    <t>Assume 253 trading days a year, 9 hours of trade per day</t>
  </si>
  <si>
    <t>Philosophy for parameter sensitivity testing</t>
  </si>
  <si>
    <t>Purpose: To observe the effect of slight changes in parameters on the model calculated derivative price</t>
  </si>
  <si>
    <t>2. Only small changes in parameters are considered</t>
  </si>
  <si>
    <t>Algorithm:</t>
  </si>
  <si>
    <t>1. Generate a set of random numbers</t>
  </si>
  <si>
    <t>2. Adjust the parameter to be tested, calculate the derivative price with the random numbers generated in step 1</t>
  </si>
  <si>
    <t>3. Further adjust the parameters to be tested, then repeat step 2</t>
  </si>
  <si>
    <t>4. The % change in stock price is calculated to observe the effect</t>
  </si>
  <si>
    <t>Note:</t>
  </si>
  <si>
    <t>This analysis does not serve as an estimation to option Greeks like delta, vega etc. because the payoff function of our product is unlikely to be a continuous method.</t>
  </si>
  <si>
    <t>1. Only one variable is changed in each test, other variables are kept constant, with values as stated as in the parameter page and cholesky decomposition page</t>
  </si>
  <si>
    <t>Current S1</t>
  </si>
  <si>
    <t>no. of tests</t>
  </si>
  <si>
    <t>Summary</t>
  </si>
  <si>
    <t>S1</t>
  </si>
  <si>
    <t>Derivative Price</t>
  </si>
  <si>
    <t>S3</t>
  </si>
  <si>
    <t>% Change</t>
  </si>
  <si>
    <t>N/A</t>
  </si>
  <si>
    <t>S2</t>
  </si>
  <si>
    <t>8811.6</t>
  </si>
  <si>
    <t>8812.6</t>
  </si>
  <si>
    <t>8813.6</t>
  </si>
  <si>
    <t>6999.9</t>
  </si>
  <si>
    <t>7000.9</t>
  </si>
  <si>
    <t>7001.9</t>
  </si>
  <si>
    <t>Sigma v1</t>
  </si>
  <si>
    <t>Current S2</t>
  </si>
  <si>
    <t>Current S3</t>
  </si>
  <si>
    <t>Current v1(0)</t>
  </si>
  <si>
    <t>v1(0)</t>
  </si>
  <si>
    <t>Current v2(0)</t>
  </si>
  <si>
    <t>v2(0)</t>
  </si>
  <si>
    <t>Current v3(0)</t>
  </si>
  <si>
    <t>v3(0)</t>
  </si>
  <si>
    <t>Current sigma v1</t>
  </si>
  <si>
    <t>Current sigma v2</t>
  </si>
  <si>
    <t>Sigma v2</t>
  </si>
  <si>
    <t>Current sigma v3</t>
  </si>
  <si>
    <t>Sigma v3</t>
  </si>
  <si>
    <t>Current theta 1</t>
  </si>
  <si>
    <t xml:space="preserve">theta 1 </t>
  </si>
  <si>
    <t>Current theta 2</t>
  </si>
  <si>
    <t>theta 2</t>
  </si>
  <si>
    <t>theta 3</t>
  </si>
  <si>
    <t>Current theta 3</t>
  </si>
  <si>
    <t>Current kappa 1</t>
  </si>
  <si>
    <t>kappa 1</t>
  </si>
  <si>
    <t>Current kappa 2</t>
  </si>
  <si>
    <t>kappa 2</t>
  </si>
  <si>
    <t>Current kappa 3</t>
  </si>
  <si>
    <t>kappa 3</t>
  </si>
  <si>
    <t>Current r1</t>
  </si>
  <si>
    <t>r1</t>
  </si>
  <si>
    <t>Current r2</t>
  </si>
  <si>
    <t>r2</t>
  </si>
  <si>
    <t>Current r3</t>
  </si>
  <si>
    <t>r3</t>
  </si>
  <si>
    <t>3160</t>
  </si>
  <si>
    <t>3159</t>
  </si>
  <si>
    <t>3161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</si>
</sst>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000%"/>
    <numFmt numFmtId="165" formatCode="0.00000%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2" fontId="0" fillId="2" borderId="0" xfId="0" applyNumberFormat="1" applyFill="1"/>
    <xf numFmtId="2" fontId="0" fillId="3" borderId="0" xfId="0" applyNumberFormat="1" applyFill="1"/>
    <xf numFmtId="2" fontId="0" fillId="4" borderId="0" xfId="0" applyNumberFormat="1" applyFill="1"/>
    <xf numFmtId="0" fontId="0" fillId="5" borderId="0" xfId="0" applyFill="1"/>
    <xf numFmtId="49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166" fontId="0" fillId="0" borderId="0" xfId="0" applyNumberFormat="1"/>
    <xf numFmtId="10" fontId="0" fillId="0" borderId="0" xfId="1" applyNumberFormat="1" applyFont="1"/>
    <xf numFmtId="2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3</xdr:row>
          <xdr:rowOff>47625</xdr:rowOff>
        </xdr:from>
        <xdr:to>
          <xdr:col>6</xdr:col>
          <xdr:colOff>190500</xdr:colOff>
          <xdr:row>4</xdr:row>
          <xdr:rowOff>171450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3</xdr:row>
          <xdr:rowOff>47625</xdr:rowOff>
        </xdr:from>
        <xdr:to>
          <xdr:col>6</xdr:col>
          <xdr:colOff>190500</xdr:colOff>
          <xdr:row>4</xdr:row>
          <xdr:rowOff>171450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3</xdr:row>
          <xdr:rowOff>47625</xdr:rowOff>
        </xdr:from>
        <xdr:to>
          <xdr:col>6</xdr:col>
          <xdr:colOff>190500</xdr:colOff>
          <xdr:row>4</xdr:row>
          <xdr:rowOff>171450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7</xdr:row>
          <xdr:rowOff>123825</xdr:rowOff>
        </xdr:from>
        <xdr:to>
          <xdr:col>7</xdr:col>
          <xdr:colOff>133350</xdr:colOff>
          <xdr:row>10</xdr:row>
          <xdr:rowOff>19050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7</xdr:row>
          <xdr:rowOff>123825</xdr:rowOff>
        </xdr:from>
        <xdr:to>
          <xdr:col>7</xdr:col>
          <xdr:colOff>133350</xdr:colOff>
          <xdr:row>10</xdr:row>
          <xdr:rowOff>19050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7</xdr:row>
          <xdr:rowOff>123825</xdr:rowOff>
        </xdr:from>
        <xdr:to>
          <xdr:col>7</xdr:col>
          <xdr:colOff>133350</xdr:colOff>
          <xdr:row>10</xdr:row>
          <xdr:rowOff>19050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7</xdr:row>
          <xdr:rowOff>123825</xdr:rowOff>
        </xdr:from>
        <xdr:to>
          <xdr:col>7</xdr:col>
          <xdr:colOff>133350</xdr:colOff>
          <xdr:row>10</xdr:row>
          <xdr:rowOff>19050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7</xdr:row>
          <xdr:rowOff>123825</xdr:rowOff>
        </xdr:from>
        <xdr:to>
          <xdr:col>7</xdr:col>
          <xdr:colOff>133350</xdr:colOff>
          <xdr:row>10</xdr:row>
          <xdr:rowOff>19050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7</xdr:row>
          <xdr:rowOff>123825</xdr:rowOff>
        </xdr:from>
        <xdr:to>
          <xdr:col>7</xdr:col>
          <xdr:colOff>133350</xdr:colOff>
          <xdr:row>10</xdr:row>
          <xdr:rowOff>19050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3</xdr:row>
          <xdr:rowOff>47625</xdr:rowOff>
        </xdr:from>
        <xdr:to>
          <xdr:col>6</xdr:col>
          <xdr:colOff>190500</xdr:colOff>
          <xdr:row>4</xdr:row>
          <xdr:rowOff>171450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3</xdr:row>
          <xdr:rowOff>47625</xdr:rowOff>
        </xdr:from>
        <xdr:to>
          <xdr:col>6</xdr:col>
          <xdr:colOff>190500</xdr:colOff>
          <xdr:row>4</xdr:row>
          <xdr:rowOff>171450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3</xdr:row>
          <xdr:rowOff>47625</xdr:rowOff>
        </xdr:from>
        <xdr:to>
          <xdr:col>6</xdr:col>
          <xdr:colOff>190500</xdr:colOff>
          <xdr:row>4</xdr:row>
          <xdr:rowOff>171450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3</xdr:row>
          <xdr:rowOff>47625</xdr:rowOff>
        </xdr:from>
        <xdr:to>
          <xdr:col>6</xdr:col>
          <xdr:colOff>190500</xdr:colOff>
          <xdr:row>4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3</xdr:row>
          <xdr:rowOff>47625</xdr:rowOff>
        </xdr:from>
        <xdr:to>
          <xdr:col>6</xdr:col>
          <xdr:colOff>190500</xdr:colOff>
          <xdr:row>4</xdr:row>
          <xdr:rowOff>171450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3</xdr:row>
          <xdr:rowOff>47625</xdr:rowOff>
        </xdr:from>
        <xdr:to>
          <xdr:col>6</xdr:col>
          <xdr:colOff>190500</xdr:colOff>
          <xdr:row>4</xdr:row>
          <xdr:rowOff>171450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5</xdr:row>
          <xdr:rowOff>142875</xdr:rowOff>
        </xdr:from>
        <xdr:to>
          <xdr:col>5</xdr:col>
          <xdr:colOff>304800</xdr:colOff>
          <xdr:row>8</xdr:row>
          <xdr:rowOff>47625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5</xdr:row>
          <xdr:rowOff>142875</xdr:rowOff>
        </xdr:from>
        <xdr:to>
          <xdr:col>5</xdr:col>
          <xdr:colOff>304800</xdr:colOff>
          <xdr:row>8</xdr:row>
          <xdr:rowOff>47625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5</xdr:row>
          <xdr:rowOff>142875</xdr:rowOff>
        </xdr:from>
        <xdr:to>
          <xdr:col>5</xdr:col>
          <xdr:colOff>304800</xdr:colOff>
          <xdr:row>8</xdr:row>
          <xdr:rowOff>47625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5</xdr:row>
          <xdr:rowOff>142875</xdr:rowOff>
        </xdr:from>
        <xdr:to>
          <xdr:col>5</xdr:col>
          <xdr:colOff>304800</xdr:colOff>
          <xdr:row>8</xdr:row>
          <xdr:rowOff>47625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5</xdr:row>
          <xdr:rowOff>142875</xdr:rowOff>
        </xdr:from>
        <xdr:to>
          <xdr:col>5</xdr:col>
          <xdr:colOff>304800</xdr:colOff>
          <xdr:row>8</xdr:row>
          <xdr:rowOff>47625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1155063972/Documents/Black%20Scholes_Parameter_Sensitivit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 me"/>
      <sheetName val="Parameter Page"/>
      <sheetName val="Changes in S1"/>
      <sheetName val="Changes in S2"/>
      <sheetName val="Changes in S3"/>
      <sheetName val="Changes in sigma_S1"/>
      <sheetName val="Changes_in_sigma_S2"/>
      <sheetName val="Changes_in_sigma_S3"/>
      <sheetName val="Changes in r(1)"/>
      <sheetName val="Changes in r(2)"/>
      <sheetName val="changes in r(3)"/>
      <sheetName val="Black Scholes_Parameter_Sensiti"/>
    </sheetNames>
    <definedNames>
      <definedName name="Sheet9.black_scholes_sensitivity_in_r1"/>
    </definedNames>
    <sheetDataSet>
      <sheetData sheetId="0" refreshError="1"/>
      <sheetData sheetId="1"/>
      <sheetData sheetId="2">
        <row r="4">
          <cell r="C4">
            <v>987.00843323850359</v>
          </cell>
        </row>
      </sheetData>
      <sheetData sheetId="3" refreshError="1"/>
      <sheetData sheetId="4" refreshError="1"/>
      <sheetData sheetId="5">
        <row r="4">
          <cell r="C4">
            <v>994.38593433101187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3"/>
  <sheetViews>
    <sheetView workbookViewId="0">
      <selection activeCell="I1" sqref="I1"/>
    </sheetView>
  </sheetViews>
  <sheetFormatPr defaultRowHeight="15" x14ac:dyDescent="0.25"/>
  <sheetData>
    <row r="1" spans="1:1" x14ac:dyDescent="0.25">
      <c r="A1" t="s">
        <v>42</v>
      </c>
    </row>
    <row r="2" spans="1:1" x14ac:dyDescent="0.25">
      <c r="A2" t="s">
        <v>43</v>
      </c>
    </row>
    <row r="3" spans="1:1" x14ac:dyDescent="0.25">
      <c r="A3" t="s">
        <v>52</v>
      </c>
    </row>
    <row r="4" spans="1:1" x14ac:dyDescent="0.25">
      <c r="A4" t="s">
        <v>44</v>
      </c>
    </row>
    <row r="6" spans="1:1" x14ac:dyDescent="0.25">
      <c r="A6" t="s">
        <v>45</v>
      </c>
    </row>
    <row r="7" spans="1:1" x14ac:dyDescent="0.25">
      <c r="A7" t="s">
        <v>46</v>
      </c>
    </row>
    <row r="8" spans="1:1" x14ac:dyDescent="0.25">
      <c r="A8" t="s">
        <v>47</v>
      </c>
    </row>
    <row r="9" spans="1:1" x14ac:dyDescent="0.25">
      <c r="A9" t="s">
        <v>48</v>
      </c>
    </row>
    <row r="10" spans="1:1" x14ac:dyDescent="0.25">
      <c r="A10" t="s">
        <v>49</v>
      </c>
    </row>
    <row r="12" spans="1:1" x14ac:dyDescent="0.25">
      <c r="A12" t="s">
        <v>50</v>
      </c>
    </row>
    <row r="13" spans="1:1" x14ac:dyDescent="0.25">
      <c r="A13" t="s">
        <v>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3"/>
  <sheetViews>
    <sheetView topLeftCell="F1" workbookViewId="0">
      <selection activeCell="K20" sqref="K20"/>
    </sheetView>
  </sheetViews>
  <sheetFormatPr defaultRowHeight="15" x14ac:dyDescent="0.25"/>
  <cols>
    <col min="1" max="1" width="44.5703125" bestFit="1" customWidth="1"/>
    <col min="4" max="4" width="44.5703125" bestFit="1" customWidth="1"/>
    <col min="5" max="5" width="10.7109375" bestFit="1" customWidth="1"/>
    <col min="6" max="6" width="15.85546875" bestFit="1" customWidth="1"/>
    <col min="7" max="7" width="44.5703125" bestFit="1" customWidth="1"/>
    <col min="8" max="8" width="15.140625" bestFit="1" customWidth="1"/>
    <col min="11" max="11" width="23.42578125" bestFit="1" customWidth="1"/>
    <col min="12" max="12" width="26.85546875" customWidth="1"/>
    <col min="13" max="13" width="16.5703125" bestFit="1" customWidth="1"/>
    <col min="14" max="14" width="19.140625" bestFit="1" customWidth="1"/>
    <col min="15" max="15" width="26.85546875" customWidth="1"/>
    <col min="16" max="16" width="14.85546875" bestFit="1" customWidth="1"/>
    <col min="17" max="17" width="24.28515625" bestFit="1" customWidth="1"/>
    <col min="18" max="18" width="36" bestFit="1" customWidth="1"/>
    <col min="19" max="19" width="23.5703125" bestFit="1" customWidth="1"/>
    <col min="20" max="20" width="26.85546875" bestFit="1" customWidth="1"/>
  </cols>
  <sheetData>
    <row r="1" spans="1:20" x14ac:dyDescent="0.25">
      <c r="A1" t="s">
        <v>6</v>
      </c>
      <c r="B1">
        <v>10000</v>
      </c>
      <c r="D1" t="s">
        <v>7</v>
      </c>
      <c r="E1" s="1">
        <v>43423</v>
      </c>
      <c r="G1" t="s">
        <v>41</v>
      </c>
      <c r="K1" t="s">
        <v>13</v>
      </c>
      <c r="L1" t="s">
        <v>15</v>
      </c>
      <c r="M1" t="s">
        <v>14</v>
      </c>
      <c r="N1" t="s">
        <v>9</v>
      </c>
      <c r="O1" t="s">
        <v>15</v>
      </c>
      <c r="P1" t="s">
        <v>20</v>
      </c>
      <c r="Q1" t="s">
        <v>16</v>
      </c>
      <c r="R1" t="s">
        <v>12</v>
      </c>
      <c r="S1" t="s">
        <v>18</v>
      </c>
      <c r="T1" t="s">
        <v>15</v>
      </c>
    </row>
    <row r="2" spans="1:20" x14ac:dyDescent="0.25">
      <c r="A2" t="s">
        <v>17</v>
      </c>
      <c r="B2">
        <v>1000</v>
      </c>
      <c r="D2" t="s">
        <v>10</v>
      </c>
      <c r="E2" s="1">
        <v>44130</v>
      </c>
      <c r="F2" t="s">
        <v>11</v>
      </c>
      <c r="G2">
        <f>NETWORKDAYS(E1,E2)</f>
        <v>506</v>
      </c>
      <c r="H2" t="s">
        <v>19</v>
      </c>
      <c r="I2">
        <v>2.5000000000000001E-2</v>
      </c>
      <c r="K2" s="1">
        <v>43486</v>
      </c>
      <c r="L2" s="2">
        <f>NETWORKDAYS($E$1,K2)</f>
        <v>46</v>
      </c>
      <c r="M2">
        <v>0.75</v>
      </c>
      <c r="N2" s="1">
        <v>43489</v>
      </c>
      <c r="O2">
        <f>NETWORKDAYS($E$1,N2)</f>
        <v>49</v>
      </c>
      <c r="P2">
        <f>0.052/4</f>
        <v>1.2999999999999999E-2</v>
      </c>
      <c r="Q2" s="1">
        <v>43486</v>
      </c>
      <c r="R2">
        <f>NETWORKDAYS($E$1,Q2)</f>
        <v>46</v>
      </c>
      <c r="S2" s="1">
        <v>43489</v>
      </c>
      <c r="T2">
        <f>NETWORKDAYS($E$1,S2)</f>
        <v>49</v>
      </c>
    </row>
    <row r="3" spans="1:20" x14ac:dyDescent="0.25">
      <c r="A3" t="s">
        <v>0</v>
      </c>
      <c r="D3" t="s">
        <v>2</v>
      </c>
      <c r="G3" t="s">
        <v>3</v>
      </c>
      <c r="K3" s="1">
        <v>43572</v>
      </c>
      <c r="L3" s="2">
        <f t="shared" ref="L3:L9" si="0">NETWORKDAYS($E$1,K3)</f>
        <v>108</v>
      </c>
      <c r="M3">
        <f>$M$2</f>
        <v>0.75</v>
      </c>
      <c r="N3" s="1">
        <v>43579</v>
      </c>
      <c r="O3">
        <f t="shared" ref="O3:O9" si="1">NETWORKDAYS($E$1,N3)</f>
        <v>113</v>
      </c>
      <c r="P3">
        <f>$P$2</f>
        <v>1.2999999999999999E-2</v>
      </c>
      <c r="Q3" s="1">
        <v>43572</v>
      </c>
      <c r="R3">
        <f t="shared" ref="R3:R8" si="2">NETWORKDAYS($E$1,Q3)</f>
        <v>108</v>
      </c>
      <c r="S3" s="1">
        <v>43579</v>
      </c>
      <c r="T3">
        <f t="shared" ref="T3:T8" si="3">NETWORKDAYS($E$1,S3)</f>
        <v>113</v>
      </c>
    </row>
    <row r="4" spans="1:20" x14ac:dyDescent="0.25">
      <c r="A4" t="s">
        <v>21</v>
      </c>
      <c r="B4">
        <v>2.1817099999999999E-2</v>
      </c>
      <c r="D4" t="s">
        <v>22</v>
      </c>
      <c r="E4">
        <v>3.0805300000000001E-2</v>
      </c>
      <c r="G4" t="s">
        <v>23</v>
      </c>
      <c r="H4">
        <v>3.3747199999999998E-2</v>
      </c>
      <c r="K4" s="1">
        <v>43665</v>
      </c>
      <c r="L4" s="2">
        <f t="shared" si="0"/>
        <v>175</v>
      </c>
      <c r="M4">
        <f t="shared" ref="M4:M9" si="4">$M$2</f>
        <v>0.75</v>
      </c>
      <c r="N4" s="1">
        <v>43670</v>
      </c>
      <c r="O4">
        <f t="shared" si="1"/>
        <v>178</v>
      </c>
      <c r="P4">
        <f t="shared" ref="P4:P9" si="5">$P$2</f>
        <v>1.2999999999999999E-2</v>
      </c>
      <c r="Q4" s="1">
        <v>43665</v>
      </c>
      <c r="R4">
        <f t="shared" si="2"/>
        <v>175</v>
      </c>
      <c r="S4" s="1">
        <v>43670</v>
      </c>
      <c r="T4">
        <f t="shared" si="3"/>
        <v>178</v>
      </c>
    </row>
    <row r="5" spans="1:20" x14ac:dyDescent="0.25">
      <c r="A5" t="s">
        <v>1</v>
      </c>
      <c r="B5">
        <v>-6.1900000000000002E-3</v>
      </c>
      <c r="D5" t="s">
        <v>1</v>
      </c>
      <c r="E5">
        <v>-7.3499999999999998E-3</v>
      </c>
      <c r="G5" t="s">
        <v>1</v>
      </c>
      <c r="H5" s="12">
        <v>6.9300000000000004E-3</v>
      </c>
      <c r="K5" s="1">
        <v>43759</v>
      </c>
      <c r="L5" s="2">
        <f t="shared" si="0"/>
        <v>241</v>
      </c>
      <c r="M5">
        <f t="shared" si="4"/>
        <v>0.75</v>
      </c>
      <c r="N5" s="1">
        <v>43762</v>
      </c>
      <c r="O5">
        <f t="shared" si="1"/>
        <v>244</v>
      </c>
      <c r="P5">
        <f t="shared" si="5"/>
        <v>1.2999999999999999E-2</v>
      </c>
      <c r="Q5" s="1">
        <v>43759</v>
      </c>
      <c r="R5">
        <f t="shared" si="2"/>
        <v>241</v>
      </c>
      <c r="S5" s="1">
        <v>43762</v>
      </c>
      <c r="T5">
        <f t="shared" si="3"/>
        <v>244</v>
      </c>
    </row>
    <row r="6" spans="1:20" x14ac:dyDescent="0.25">
      <c r="A6" s="8"/>
      <c r="B6" s="8"/>
      <c r="C6" s="8"/>
      <c r="D6" s="8"/>
      <c r="E6" s="8"/>
      <c r="F6" s="8"/>
      <c r="G6" s="8"/>
      <c r="H6" s="8"/>
      <c r="K6" s="1">
        <v>43851</v>
      </c>
      <c r="L6" s="2">
        <f t="shared" si="0"/>
        <v>307</v>
      </c>
      <c r="M6">
        <f t="shared" si="4"/>
        <v>0.75</v>
      </c>
      <c r="N6" s="1">
        <v>43854</v>
      </c>
      <c r="O6">
        <f t="shared" si="1"/>
        <v>310</v>
      </c>
      <c r="P6">
        <f t="shared" si="5"/>
        <v>1.2999999999999999E-2</v>
      </c>
      <c r="Q6" s="1">
        <v>43851</v>
      </c>
      <c r="R6">
        <f t="shared" si="2"/>
        <v>307</v>
      </c>
      <c r="S6" s="1">
        <v>43854</v>
      </c>
      <c r="T6">
        <f t="shared" si="3"/>
        <v>310</v>
      </c>
    </row>
    <row r="7" spans="1:20" x14ac:dyDescent="0.25">
      <c r="A7" t="s">
        <v>38</v>
      </c>
      <c r="B7">
        <v>7.6999999999999999E-2</v>
      </c>
      <c r="D7" t="s">
        <v>39</v>
      </c>
      <c r="E7">
        <v>6.7192547109866385E-2</v>
      </c>
      <c r="G7" t="s">
        <v>40</v>
      </c>
      <c r="H7">
        <v>0.13450000000000001</v>
      </c>
      <c r="K7" s="1">
        <v>43942</v>
      </c>
      <c r="L7" s="2">
        <f t="shared" si="0"/>
        <v>372</v>
      </c>
      <c r="M7">
        <f t="shared" si="4"/>
        <v>0.75</v>
      </c>
      <c r="N7" s="1">
        <v>43945</v>
      </c>
      <c r="O7">
        <f t="shared" si="1"/>
        <v>375</v>
      </c>
      <c r="P7">
        <f t="shared" si="5"/>
        <v>1.2999999999999999E-2</v>
      </c>
      <c r="Q7" s="1">
        <v>43942</v>
      </c>
      <c r="R7">
        <f t="shared" si="2"/>
        <v>372</v>
      </c>
      <c r="S7" s="1">
        <v>43945</v>
      </c>
      <c r="T7">
        <f t="shared" si="3"/>
        <v>375</v>
      </c>
    </row>
    <row r="8" spans="1:20" x14ac:dyDescent="0.25">
      <c r="A8" t="s">
        <v>4</v>
      </c>
      <c r="B8">
        <v>3607.77</v>
      </c>
      <c r="D8" t="s">
        <v>4</v>
      </c>
      <c r="E8">
        <v>9269.86</v>
      </c>
      <c r="G8" t="s">
        <v>4</v>
      </c>
      <c r="H8">
        <v>7516.17</v>
      </c>
      <c r="K8" s="1">
        <v>44033</v>
      </c>
      <c r="L8" s="2">
        <f t="shared" si="0"/>
        <v>437</v>
      </c>
      <c r="M8">
        <f t="shared" si="4"/>
        <v>0.75</v>
      </c>
      <c r="N8" s="1">
        <v>44036</v>
      </c>
      <c r="O8">
        <f t="shared" si="1"/>
        <v>440</v>
      </c>
      <c r="P8">
        <f t="shared" si="5"/>
        <v>1.2999999999999999E-2</v>
      </c>
      <c r="Q8" s="1">
        <v>44033</v>
      </c>
      <c r="R8">
        <f t="shared" si="2"/>
        <v>437</v>
      </c>
      <c r="S8" s="1">
        <v>44036</v>
      </c>
      <c r="T8">
        <f t="shared" si="3"/>
        <v>440</v>
      </c>
    </row>
    <row r="9" spans="1:20" x14ac:dyDescent="0.25">
      <c r="A9" t="s">
        <v>5</v>
      </c>
      <c r="B9" s="2">
        <v>0.75</v>
      </c>
      <c r="D9" t="s">
        <v>5</v>
      </c>
      <c r="E9" s="2">
        <v>0.75</v>
      </c>
      <c r="G9" t="s">
        <v>5</v>
      </c>
      <c r="H9" s="2">
        <v>0.75</v>
      </c>
      <c r="K9" s="1">
        <v>44125</v>
      </c>
      <c r="L9" s="2">
        <f t="shared" si="0"/>
        <v>503</v>
      </c>
      <c r="M9">
        <f t="shared" si="4"/>
        <v>0.75</v>
      </c>
      <c r="N9" s="1">
        <v>44130</v>
      </c>
      <c r="O9">
        <f t="shared" si="1"/>
        <v>506</v>
      </c>
      <c r="P9">
        <f t="shared" si="5"/>
        <v>1.2999999999999999E-2</v>
      </c>
    </row>
    <row r="10" spans="1:20" x14ac:dyDescent="0.25">
      <c r="A10" t="s">
        <v>8</v>
      </c>
      <c r="B10">
        <v>3160.33</v>
      </c>
      <c r="D10" t="s">
        <v>8</v>
      </c>
      <c r="E10">
        <v>8812.61</v>
      </c>
      <c r="G10" t="s">
        <v>8</v>
      </c>
      <c r="H10">
        <v>7000.89</v>
      </c>
    </row>
    <row r="11" spans="1:20" x14ac:dyDescent="0.25">
      <c r="A11" t="s">
        <v>36</v>
      </c>
      <c r="B11">
        <v>0.10701490448714517</v>
      </c>
      <c r="D11" t="s">
        <v>36</v>
      </c>
      <c r="E11">
        <v>0.25439896626112007</v>
      </c>
      <c r="G11" t="s">
        <v>36</v>
      </c>
      <c r="H11">
        <v>0.28147541896719003</v>
      </c>
      <c r="L11">
        <f>L3-L2</f>
        <v>62</v>
      </c>
    </row>
    <row r="12" spans="1:20" x14ac:dyDescent="0.25">
      <c r="A12" t="s">
        <v>37</v>
      </c>
      <c r="B12">
        <v>-0.40504800000000002</v>
      </c>
      <c r="D12" t="s">
        <v>37</v>
      </c>
      <c r="E12">
        <v>-0.22908100000000001</v>
      </c>
      <c r="G12" t="s">
        <v>37</v>
      </c>
      <c r="H12">
        <v>-0.43225400000000003</v>
      </c>
      <c r="L12">
        <f t="shared" ref="L12:L17" si="6">L4-L3</f>
        <v>67</v>
      </c>
    </row>
    <row r="13" spans="1:20" x14ac:dyDescent="0.25">
      <c r="A13" t="s">
        <v>27</v>
      </c>
      <c r="B13">
        <v>7.4549199999999996E-2</v>
      </c>
      <c r="D13" t="s">
        <v>30</v>
      </c>
      <c r="E13">
        <v>6.5443699999999994E-2</v>
      </c>
      <c r="G13" t="s">
        <v>33</v>
      </c>
      <c r="H13">
        <v>0.10424799999999999</v>
      </c>
      <c r="L13">
        <f t="shared" si="6"/>
        <v>66</v>
      </c>
    </row>
    <row r="14" spans="1:20" x14ac:dyDescent="0.25">
      <c r="A14" t="s">
        <v>28</v>
      </c>
      <c r="B14">
        <v>0.36347699999999999</v>
      </c>
      <c r="D14" t="s">
        <v>31</v>
      </c>
      <c r="E14">
        <v>0.53538699999999995</v>
      </c>
      <c r="G14" t="s">
        <v>34</v>
      </c>
      <c r="H14">
        <v>0.48508600000000002</v>
      </c>
      <c r="L14">
        <f t="shared" si="6"/>
        <v>66</v>
      </c>
    </row>
    <row r="15" spans="1:20" x14ac:dyDescent="0.25">
      <c r="A15" t="s">
        <v>29</v>
      </c>
      <c r="B15">
        <v>0.53065300000000004</v>
      </c>
      <c r="D15" t="s">
        <v>32</v>
      </c>
      <c r="E15">
        <v>0.99936100000000005</v>
      </c>
      <c r="G15" t="s">
        <v>35</v>
      </c>
      <c r="H15">
        <v>0.99679300000000004</v>
      </c>
      <c r="L15">
        <f t="shared" si="6"/>
        <v>65</v>
      </c>
    </row>
    <row r="16" spans="1:20" x14ac:dyDescent="0.25">
      <c r="A16" t="s">
        <v>24</v>
      </c>
      <c r="D16">
        <f>0.75*B8</f>
        <v>2705.8274999999999</v>
      </c>
      <c r="L16">
        <f t="shared" si="6"/>
        <v>65</v>
      </c>
    </row>
    <row r="17" spans="1:12" x14ac:dyDescent="0.25">
      <c r="B17">
        <v>1</v>
      </c>
      <c r="C17">
        <v>2</v>
      </c>
      <c r="D17">
        <v>3</v>
      </c>
      <c r="E17">
        <v>4</v>
      </c>
      <c r="F17">
        <v>5</v>
      </c>
      <c r="G17">
        <v>6</v>
      </c>
      <c r="L17">
        <f t="shared" si="6"/>
        <v>66</v>
      </c>
    </row>
    <row r="18" spans="1:12" x14ac:dyDescent="0.25">
      <c r="A18">
        <v>1</v>
      </c>
      <c r="B18" s="3">
        <v>1</v>
      </c>
      <c r="C18" s="3">
        <f>B19</f>
        <v>0.78724433855904363</v>
      </c>
      <c r="D18" s="3">
        <f>B20</f>
        <v>0.7405238138088448</v>
      </c>
      <c r="E18" s="3">
        <f>B21</f>
        <v>-0.40504800000000002</v>
      </c>
      <c r="F18" s="3">
        <f>B22</f>
        <v>-0.18034272032144427</v>
      </c>
      <c r="G18" s="3">
        <f>B23</f>
        <v>-0.32009438061412843</v>
      </c>
    </row>
    <row r="19" spans="1:12" x14ac:dyDescent="0.25">
      <c r="A19">
        <v>2</v>
      </c>
      <c r="B19" s="6">
        <v>0.78724433855904363</v>
      </c>
      <c r="C19" s="3">
        <v>1</v>
      </c>
      <c r="D19" s="3">
        <f>C20</f>
        <v>0.70553809898358433</v>
      </c>
      <c r="E19" s="3">
        <f>C21</f>
        <v>-0.31887174484466352</v>
      </c>
      <c r="F19" s="3">
        <f>C22</f>
        <v>-0.22908100000000001</v>
      </c>
      <c r="G19" s="3">
        <f>C23</f>
        <v>-0.30497166543805027</v>
      </c>
    </row>
    <row r="20" spans="1:12" x14ac:dyDescent="0.25">
      <c r="A20">
        <v>3</v>
      </c>
      <c r="B20" s="6">
        <v>0.7405238138088448</v>
      </c>
      <c r="C20" s="6">
        <v>0.70553809898358433</v>
      </c>
      <c r="D20" s="4">
        <v>1</v>
      </c>
      <c r="E20" s="3">
        <f>D21</f>
        <v>-0.29994768973564501</v>
      </c>
      <c r="F20" s="3">
        <f>D22</f>
        <v>-0.16162537325325849</v>
      </c>
      <c r="G20" s="3">
        <f>D23</f>
        <v>-0.43225400000000003</v>
      </c>
    </row>
    <row r="21" spans="1:12" x14ac:dyDescent="0.25">
      <c r="A21">
        <v>4</v>
      </c>
      <c r="B21" s="7">
        <f>B12</f>
        <v>-0.40504800000000002</v>
      </c>
      <c r="C21" s="5">
        <f>B21*C18</f>
        <v>-0.31887174484466352</v>
      </c>
      <c r="D21" s="5">
        <f>B21*D18</f>
        <v>-0.29994768973564501</v>
      </c>
      <c r="E21" s="3">
        <v>1</v>
      </c>
      <c r="F21" s="3">
        <f>E22</f>
        <v>7.3047458180760361E-2</v>
      </c>
      <c r="G21" s="3">
        <f>E23</f>
        <v>0.12965358867899149</v>
      </c>
    </row>
    <row r="22" spans="1:12" x14ac:dyDescent="0.25">
      <c r="A22">
        <v>5</v>
      </c>
      <c r="B22" s="5">
        <f>B19*C22</f>
        <v>-0.18034272032144427</v>
      </c>
      <c r="C22" s="7">
        <f>E12</f>
        <v>-0.22908100000000001</v>
      </c>
      <c r="D22" s="5">
        <f>C22*C20</f>
        <v>-0.16162537325325849</v>
      </c>
      <c r="E22" s="5">
        <f>C22*B19*B21</f>
        <v>7.3047458180760361E-2</v>
      </c>
      <c r="F22" s="3">
        <v>1</v>
      </c>
      <c r="G22" s="3">
        <f>F23</f>
        <v>6.9863214090213996E-2</v>
      </c>
    </row>
    <row r="23" spans="1:12" x14ac:dyDescent="0.25">
      <c r="A23">
        <v>6</v>
      </c>
      <c r="B23" s="5">
        <f>B20*D23</f>
        <v>-0.32009438061412843</v>
      </c>
      <c r="C23" s="5">
        <f>D23*C20</f>
        <v>-0.30497166543805027</v>
      </c>
      <c r="D23" s="7">
        <f>H12</f>
        <v>-0.43225400000000003</v>
      </c>
      <c r="E23" s="5">
        <f>D23*B20*B21</f>
        <v>0.12965358867899149</v>
      </c>
      <c r="F23" s="5">
        <f>D23*C20*C22</f>
        <v>6.9863214090213996E-2</v>
      </c>
      <c r="G23" s="3">
        <v>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6"/>
  <sheetViews>
    <sheetView workbookViewId="0">
      <selection activeCell="F14" sqref="F14"/>
    </sheetView>
  </sheetViews>
  <sheetFormatPr defaultRowHeight="15" x14ac:dyDescent="0.25"/>
  <sheetData>
    <row r="1" spans="1:6" x14ac:dyDescent="0.25">
      <c r="A1" t="s">
        <v>25</v>
      </c>
    </row>
    <row r="2" spans="1:6" x14ac:dyDescent="0.25">
      <c r="A2" s="3">
        <f>'Parameter Page'!B18</f>
        <v>1</v>
      </c>
      <c r="B2" s="3">
        <f>'Parameter Page'!C18</f>
        <v>0.78724433855904363</v>
      </c>
      <c r="C2" s="3">
        <f>'Parameter Page'!D18</f>
        <v>0.7405238138088448</v>
      </c>
      <c r="D2" s="3">
        <f>'Parameter Page'!E18</f>
        <v>-0.40504800000000002</v>
      </c>
      <c r="E2" s="3">
        <f>'Parameter Page'!F18</f>
        <v>-0.18034272032144427</v>
      </c>
      <c r="F2" s="3">
        <f>'Parameter Page'!G18</f>
        <v>-0.32009438061412843</v>
      </c>
    </row>
    <row r="3" spans="1:6" x14ac:dyDescent="0.25">
      <c r="A3" s="3">
        <f>'Parameter Page'!B19</f>
        <v>0.78724433855904363</v>
      </c>
      <c r="B3" s="3">
        <f>'Parameter Page'!C19</f>
        <v>1</v>
      </c>
      <c r="C3" s="3">
        <f>'Parameter Page'!D19</f>
        <v>0.70553809898358433</v>
      </c>
      <c r="D3" s="3">
        <f>'Parameter Page'!E19</f>
        <v>-0.31887174484466352</v>
      </c>
      <c r="E3" s="3">
        <f>'Parameter Page'!F19</f>
        <v>-0.22908100000000001</v>
      </c>
      <c r="F3" s="3">
        <f>'Parameter Page'!G19</f>
        <v>-0.30497166543805027</v>
      </c>
    </row>
    <row r="4" spans="1:6" x14ac:dyDescent="0.25">
      <c r="A4" s="3">
        <f>'Parameter Page'!B20</f>
        <v>0.7405238138088448</v>
      </c>
      <c r="B4" s="3">
        <f>'Parameter Page'!C20</f>
        <v>0.70553809898358433</v>
      </c>
      <c r="C4" s="3">
        <f>'Parameter Page'!D20</f>
        <v>1</v>
      </c>
      <c r="D4" s="3">
        <f>'Parameter Page'!E20</f>
        <v>-0.29994768973564501</v>
      </c>
      <c r="E4" s="3">
        <f>'Parameter Page'!F20</f>
        <v>-0.16162537325325849</v>
      </c>
      <c r="F4" s="3">
        <f>'Parameter Page'!G20</f>
        <v>-0.43225400000000003</v>
      </c>
    </row>
    <row r="5" spans="1:6" x14ac:dyDescent="0.25">
      <c r="A5" s="3">
        <f>'Parameter Page'!B21</f>
        <v>-0.40504800000000002</v>
      </c>
      <c r="B5" s="3">
        <f>'Parameter Page'!C21</f>
        <v>-0.31887174484466352</v>
      </c>
      <c r="C5" s="3">
        <f>'Parameter Page'!D21</f>
        <v>-0.29994768973564501</v>
      </c>
      <c r="D5" s="3">
        <f>'Parameter Page'!E21</f>
        <v>1</v>
      </c>
      <c r="E5" s="3">
        <f>'Parameter Page'!F21</f>
        <v>7.3047458180760361E-2</v>
      </c>
      <c r="F5" s="3">
        <f>'Parameter Page'!G21</f>
        <v>0.12965358867899149</v>
      </c>
    </row>
    <row r="6" spans="1:6" x14ac:dyDescent="0.25">
      <c r="A6" s="3">
        <f>'Parameter Page'!B22</f>
        <v>-0.18034272032144427</v>
      </c>
      <c r="B6" s="3">
        <f>'Parameter Page'!C22</f>
        <v>-0.22908100000000001</v>
      </c>
      <c r="C6" s="3">
        <f>'Parameter Page'!D22</f>
        <v>-0.16162537325325849</v>
      </c>
      <c r="D6" s="3">
        <f>'Parameter Page'!E22</f>
        <v>7.3047458180760361E-2</v>
      </c>
      <c r="E6" s="3">
        <f>'Parameter Page'!F22</f>
        <v>1</v>
      </c>
      <c r="F6" s="3">
        <f>'Parameter Page'!G22</f>
        <v>6.9863214090213996E-2</v>
      </c>
    </row>
    <row r="7" spans="1:6" x14ac:dyDescent="0.25">
      <c r="A7" s="3">
        <f>'Parameter Page'!B23</f>
        <v>-0.32009438061412843</v>
      </c>
      <c r="B7" s="3">
        <f>'Parameter Page'!C23</f>
        <v>-0.30497166543805027</v>
      </c>
      <c r="C7" s="3">
        <f>'Parameter Page'!D23</f>
        <v>-0.43225400000000003</v>
      </c>
      <c r="D7" s="3">
        <f>'Parameter Page'!E23</f>
        <v>0.12965358867899149</v>
      </c>
      <c r="E7" s="3">
        <f>'Parameter Page'!F23</f>
        <v>6.9863214090213996E-2</v>
      </c>
      <c r="F7" s="3">
        <f>'Parameter Page'!G23</f>
        <v>1</v>
      </c>
    </row>
    <row r="9" spans="1:6" x14ac:dyDescent="0.25">
      <c r="A9" t="s">
        <v>26</v>
      </c>
    </row>
    <row r="10" spans="1:6" x14ac:dyDescent="0.25">
      <c r="A10">
        <f>SQRT(A2)</f>
        <v>1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25">
      <c r="A11">
        <f>A3/A10</f>
        <v>0.78724433855904363</v>
      </c>
      <c r="B11">
        <f>SQRT(B3-POWER(A11,2))</f>
        <v>0.61664118529882017</v>
      </c>
      <c r="C11">
        <v>0</v>
      </c>
      <c r="D11">
        <v>0</v>
      </c>
      <c r="E11">
        <v>0</v>
      </c>
      <c r="F11">
        <v>0</v>
      </c>
    </row>
    <row r="12" spans="1:6" x14ac:dyDescent="0.25">
      <c r="A12">
        <f>A4/$A$10</f>
        <v>0.7405238138088448</v>
      </c>
      <c r="B12">
        <f>(B4-A12*$A$11)/$B$11</f>
        <v>0.19876213577110613</v>
      </c>
      <c r="C12">
        <f>SQRT(C4-POWER(A12,2)-POWER(B12,2))</f>
        <v>0.64196424710860012</v>
      </c>
      <c r="D12">
        <v>0</v>
      </c>
      <c r="E12">
        <v>0</v>
      </c>
      <c r="F12">
        <v>0</v>
      </c>
    </row>
    <row r="13" spans="1:6" x14ac:dyDescent="0.25">
      <c r="A13">
        <f t="shared" ref="A13:A15" si="0">A5/$A$10</f>
        <v>-0.40504800000000002</v>
      </c>
      <c r="B13">
        <f>(B5-A13*$A$11)/$B$11</f>
        <v>0</v>
      </c>
      <c r="C13" s="3">
        <f>(C5-A13*$A$12-B13*$B$12)/$C$12</f>
        <v>0</v>
      </c>
      <c r="D13">
        <f>SQRT(D5-POWER(A13,2)-POWER(B13,2)-POWER(C13,2))</f>
        <v>0.91429542145632559</v>
      </c>
      <c r="E13">
        <v>0</v>
      </c>
      <c r="F13">
        <v>0</v>
      </c>
    </row>
    <row r="14" spans="1:6" x14ac:dyDescent="0.25">
      <c r="A14">
        <f t="shared" si="0"/>
        <v>-0.18034272032144427</v>
      </c>
      <c r="B14">
        <f>(B6-A14*$A$11)/$B$11</f>
        <v>-0.14126077936943904</v>
      </c>
      <c r="C14" s="3">
        <f t="shared" ref="C14:C15" si="1">(C6-A14*$A$12-B14*$B$12)/$C$12</f>
        <v>-5.4044239497448104E-18</v>
      </c>
      <c r="D14">
        <f>(D6-A14*$A$13-B14*$B$13-C14*$C$13)/$D$13</f>
        <v>0</v>
      </c>
      <c r="E14">
        <f>SQRT(E6-POWER(A14,2)-POWER(B14,2)-POWER(C14,2)-POWER(D14,2))</f>
        <v>0.97340736356316926</v>
      </c>
      <c r="F14">
        <v>0</v>
      </c>
    </row>
    <row r="15" spans="1:6" x14ac:dyDescent="0.25">
      <c r="A15">
        <f t="shared" si="0"/>
        <v>-0.32009438061412843</v>
      </c>
      <c r="B15">
        <f>(B7-A15*$A$11)/$B$11</f>
        <v>-8.5915728235603728E-2</v>
      </c>
      <c r="C15" s="3">
        <f t="shared" si="1"/>
        <v>-0.27749161366968078</v>
      </c>
      <c r="D15">
        <f>(D7-A15*$A$13-B15*$B$13-C15*$C$13)/$D$13</f>
        <v>0</v>
      </c>
      <c r="E15">
        <f>(E7-SUMPRODUCT(A15:D15,A14:D14))/E14</f>
        <v>0</v>
      </c>
      <c r="F15">
        <f>SQRT(F7-SUMPRODUCT(A15:E15,A15:E15))</f>
        <v>0.90175189463843108</v>
      </c>
    </row>
    <row r="16" spans="1:6" x14ac:dyDescent="0.25">
      <c r="C16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104"/>
  <sheetViews>
    <sheetView workbookViewId="0">
      <selection activeCell="I4" sqref="I4"/>
    </sheetView>
  </sheetViews>
  <sheetFormatPr defaultRowHeight="15" x14ac:dyDescent="0.25"/>
  <cols>
    <col min="2" max="2" width="10.140625" bestFit="1" customWidth="1"/>
    <col min="3" max="3" width="15.140625" bestFit="1" customWidth="1"/>
    <col min="4" max="4" width="12" bestFit="1" customWidth="1"/>
  </cols>
  <sheetData>
    <row r="1" spans="1:11" x14ac:dyDescent="0.25">
      <c r="B1" t="s">
        <v>53</v>
      </c>
      <c r="C1">
        <f>'Parameter Page'!B10</f>
        <v>3160.33</v>
      </c>
      <c r="E1">
        <f>TRUNC(C1,0)-5</f>
        <v>3155</v>
      </c>
      <c r="F1">
        <f>ROUND(C1,0)+5</f>
        <v>3165</v>
      </c>
    </row>
    <row r="2" spans="1:11" x14ac:dyDescent="0.25">
      <c r="C2" t="s">
        <v>54</v>
      </c>
      <c r="D2">
        <f>COUNT(B4:B104)</f>
        <v>11</v>
      </c>
      <c r="J2" t="s">
        <v>55</v>
      </c>
    </row>
    <row r="3" spans="1:11" x14ac:dyDescent="0.25">
      <c r="B3" t="s">
        <v>56</v>
      </c>
      <c r="C3" t="s">
        <v>57</v>
      </c>
      <c r="I3" t="s">
        <v>58</v>
      </c>
      <c r="J3" t="s">
        <v>57</v>
      </c>
      <c r="K3" t="s">
        <v>59</v>
      </c>
    </row>
    <row r="4" spans="1:11" x14ac:dyDescent="0.25">
      <c r="A4" t="str">
        <f>TEXT(B4,"0000")</f>
        <v>3155</v>
      </c>
      <c r="B4">
        <f>E1</f>
        <v>3155</v>
      </c>
      <c r="C4">
        <v>880.86243897826478</v>
      </c>
      <c r="I4" s="9" t="s">
        <v>101</v>
      </c>
      <c r="J4">
        <v>813.16812555795775</v>
      </c>
      <c r="K4" t="s">
        <v>60</v>
      </c>
    </row>
    <row r="5" spans="1:11" x14ac:dyDescent="0.25">
      <c r="A5" t="str">
        <f t="shared" ref="A5:A14" si="0">TEXT(B5,"0000")</f>
        <v>3156</v>
      </c>
      <c r="B5">
        <f>B4+1</f>
        <v>3156</v>
      </c>
      <c r="C5">
        <v>880.92917194773429</v>
      </c>
      <c r="D5" s="10"/>
      <c r="I5" s="9" t="s">
        <v>100</v>
      </c>
      <c r="J5">
        <v>813.24239723059259</v>
      </c>
      <c r="K5" s="11">
        <f>(J5-J4)/J4</f>
        <v>9.1336182888224402E-5</v>
      </c>
    </row>
    <row r="6" spans="1:11" x14ac:dyDescent="0.25">
      <c r="A6" t="str">
        <f t="shared" si="0"/>
        <v>3157</v>
      </c>
      <c r="B6">
        <f>B5+1</f>
        <v>3157</v>
      </c>
      <c r="C6">
        <v>880.99005541858867</v>
      </c>
      <c r="D6" s="10"/>
      <c r="I6" s="9" t="s">
        <v>102</v>
      </c>
      <c r="J6">
        <v>813.33173046186312</v>
      </c>
      <c r="K6" s="11">
        <f>(J6-J5)/J5</f>
        <v>1.0984822185211224E-4</v>
      </c>
    </row>
    <row r="7" spans="1:11" x14ac:dyDescent="0.25">
      <c r="A7" t="str">
        <f t="shared" si="0"/>
        <v>3158</v>
      </c>
      <c r="B7">
        <f t="shared" ref="B7:B14" si="1">B6+1</f>
        <v>3158</v>
      </c>
      <c r="C7">
        <v>880.99893074676163</v>
      </c>
      <c r="D7" s="10"/>
    </row>
    <row r="8" spans="1:11" x14ac:dyDescent="0.25">
      <c r="A8" t="str">
        <f t="shared" si="0"/>
        <v>3159</v>
      </c>
      <c r="B8">
        <f t="shared" si="1"/>
        <v>3159</v>
      </c>
      <c r="C8">
        <v>880.99924776388355</v>
      </c>
      <c r="D8" s="10"/>
    </row>
    <row r="9" spans="1:11" x14ac:dyDescent="0.25">
      <c r="A9" t="str">
        <f t="shared" si="0"/>
        <v>3160</v>
      </c>
      <c r="B9">
        <f t="shared" si="1"/>
        <v>3160</v>
      </c>
      <c r="C9">
        <v>881.07467421920057</v>
      </c>
      <c r="D9" s="10"/>
    </row>
    <row r="10" spans="1:11" x14ac:dyDescent="0.25">
      <c r="A10" t="str">
        <f t="shared" si="0"/>
        <v>3161</v>
      </c>
      <c r="B10">
        <f t="shared" si="1"/>
        <v>3161</v>
      </c>
      <c r="C10">
        <v>881.11561678860437</v>
      </c>
      <c r="D10" s="10"/>
    </row>
    <row r="11" spans="1:11" x14ac:dyDescent="0.25">
      <c r="A11" t="str">
        <f t="shared" si="0"/>
        <v>3162</v>
      </c>
      <c r="B11">
        <f t="shared" si="1"/>
        <v>3162</v>
      </c>
      <c r="C11">
        <v>881.15968596986272</v>
      </c>
      <c r="D11" s="10"/>
    </row>
    <row r="12" spans="1:11" x14ac:dyDescent="0.25">
      <c r="A12" t="str">
        <f t="shared" si="0"/>
        <v>3163</v>
      </c>
      <c r="B12">
        <f t="shared" si="1"/>
        <v>3163</v>
      </c>
      <c r="C12">
        <v>881.18955728771948</v>
      </c>
      <c r="D12" s="10"/>
    </row>
    <row r="13" spans="1:11" x14ac:dyDescent="0.25">
      <c r="A13" t="str">
        <f t="shared" si="0"/>
        <v>3164</v>
      </c>
      <c r="B13">
        <f t="shared" si="1"/>
        <v>3164</v>
      </c>
      <c r="C13">
        <v>881.26985635797678</v>
      </c>
      <c r="D13" s="10"/>
    </row>
    <row r="14" spans="1:11" x14ac:dyDescent="0.25">
      <c r="A14" t="str">
        <f t="shared" si="0"/>
        <v>3165</v>
      </c>
      <c r="B14">
        <f t="shared" si="1"/>
        <v>3165</v>
      </c>
      <c r="C14">
        <v>881.35384325678137</v>
      </c>
      <c r="D14" s="10"/>
    </row>
    <row r="15" spans="1:11" x14ac:dyDescent="0.25">
      <c r="D15" s="10"/>
    </row>
    <row r="16" spans="1:11" x14ac:dyDescent="0.25">
      <c r="D16" s="10"/>
    </row>
    <row r="17" spans="4:4" x14ac:dyDescent="0.25">
      <c r="D17" s="10"/>
    </row>
    <row r="18" spans="4:4" x14ac:dyDescent="0.25">
      <c r="D18" s="10"/>
    </row>
    <row r="19" spans="4:4" x14ac:dyDescent="0.25">
      <c r="D19" s="10"/>
    </row>
    <row r="20" spans="4:4" x14ac:dyDescent="0.25">
      <c r="D20" s="10"/>
    </row>
    <row r="21" spans="4:4" x14ac:dyDescent="0.25">
      <c r="D21" s="10"/>
    </row>
    <row r="22" spans="4:4" x14ac:dyDescent="0.25">
      <c r="D22" s="10"/>
    </row>
    <row r="23" spans="4:4" x14ac:dyDescent="0.25">
      <c r="D23" s="10"/>
    </row>
    <row r="24" spans="4:4" x14ac:dyDescent="0.25">
      <c r="D24" s="10"/>
    </row>
    <row r="25" spans="4:4" x14ac:dyDescent="0.25">
      <c r="D25" s="10"/>
    </row>
    <row r="26" spans="4:4" x14ac:dyDescent="0.25">
      <c r="D26" s="10"/>
    </row>
    <row r="27" spans="4:4" x14ac:dyDescent="0.25">
      <c r="D27" s="10"/>
    </row>
    <row r="28" spans="4:4" x14ac:dyDescent="0.25">
      <c r="D28" s="10"/>
    </row>
    <row r="29" spans="4:4" x14ac:dyDescent="0.25">
      <c r="D29" s="10"/>
    </row>
    <row r="30" spans="4:4" x14ac:dyDescent="0.25">
      <c r="D30" s="10"/>
    </row>
    <row r="31" spans="4:4" x14ac:dyDescent="0.25">
      <c r="D31" s="10"/>
    </row>
    <row r="32" spans="4:4" x14ac:dyDescent="0.25">
      <c r="D32" s="10"/>
    </row>
    <row r="33" spans="4:4" x14ac:dyDescent="0.25">
      <c r="D33" s="10"/>
    </row>
    <row r="34" spans="4:4" x14ac:dyDescent="0.25">
      <c r="D34" s="10"/>
    </row>
    <row r="35" spans="4:4" x14ac:dyDescent="0.25">
      <c r="D35" s="10"/>
    </row>
    <row r="36" spans="4:4" x14ac:dyDescent="0.25">
      <c r="D36" s="10"/>
    </row>
    <row r="37" spans="4:4" x14ac:dyDescent="0.25">
      <c r="D37" s="10"/>
    </row>
    <row r="38" spans="4:4" x14ac:dyDescent="0.25">
      <c r="D38" s="10"/>
    </row>
    <row r="39" spans="4:4" x14ac:dyDescent="0.25">
      <c r="D39" s="10"/>
    </row>
    <row r="40" spans="4:4" x14ac:dyDescent="0.25">
      <c r="D40" s="10"/>
    </row>
    <row r="41" spans="4:4" x14ac:dyDescent="0.25">
      <c r="D41" s="10"/>
    </row>
    <row r="42" spans="4:4" x14ac:dyDescent="0.25">
      <c r="D42" s="10"/>
    </row>
    <row r="43" spans="4:4" x14ac:dyDescent="0.25">
      <c r="D43" s="10"/>
    </row>
    <row r="44" spans="4:4" x14ac:dyDescent="0.25">
      <c r="D44" s="10"/>
    </row>
    <row r="45" spans="4:4" x14ac:dyDescent="0.25">
      <c r="D45" s="10"/>
    </row>
    <row r="46" spans="4:4" x14ac:dyDescent="0.25">
      <c r="D46" s="10"/>
    </row>
    <row r="47" spans="4:4" x14ac:dyDescent="0.25">
      <c r="D47" s="10"/>
    </row>
    <row r="48" spans="4:4" x14ac:dyDescent="0.25">
      <c r="D48" s="10"/>
    </row>
    <row r="49" spans="4:4" x14ac:dyDescent="0.25">
      <c r="D49" s="10"/>
    </row>
    <row r="50" spans="4:4" x14ac:dyDescent="0.25">
      <c r="D50" s="10"/>
    </row>
    <row r="51" spans="4:4" x14ac:dyDescent="0.25">
      <c r="D51" s="10"/>
    </row>
    <row r="52" spans="4:4" x14ac:dyDescent="0.25">
      <c r="D52" s="10"/>
    </row>
    <row r="53" spans="4:4" x14ac:dyDescent="0.25">
      <c r="D53" s="10"/>
    </row>
    <row r="54" spans="4:4" x14ac:dyDescent="0.25">
      <c r="D54" s="10"/>
    </row>
    <row r="55" spans="4:4" x14ac:dyDescent="0.25">
      <c r="D55" s="10"/>
    </row>
    <row r="56" spans="4:4" x14ac:dyDescent="0.25">
      <c r="D56" s="10"/>
    </row>
    <row r="57" spans="4:4" x14ac:dyDescent="0.25">
      <c r="D57" s="10"/>
    </row>
    <row r="58" spans="4:4" x14ac:dyDescent="0.25">
      <c r="D58" s="10"/>
    </row>
    <row r="59" spans="4:4" x14ac:dyDescent="0.25">
      <c r="D59" s="10"/>
    </row>
    <row r="60" spans="4:4" x14ac:dyDescent="0.25">
      <c r="D60" s="10"/>
    </row>
    <row r="61" spans="4:4" x14ac:dyDescent="0.25">
      <c r="D61" s="10"/>
    </row>
    <row r="62" spans="4:4" x14ac:dyDescent="0.25">
      <c r="D62" s="10"/>
    </row>
    <row r="63" spans="4:4" x14ac:dyDescent="0.25">
      <c r="D63" s="10"/>
    </row>
    <row r="64" spans="4:4" x14ac:dyDescent="0.25">
      <c r="D64" s="10"/>
    </row>
    <row r="65" spans="4:4" x14ac:dyDescent="0.25">
      <c r="D65" s="10"/>
    </row>
    <row r="66" spans="4:4" x14ac:dyDescent="0.25">
      <c r="D66" s="10"/>
    </row>
    <row r="67" spans="4:4" x14ac:dyDescent="0.25">
      <c r="D67" s="10"/>
    </row>
    <row r="68" spans="4:4" x14ac:dyDescent="0.25">
      <c r="D68" s="10"/>
    </row>
    <row r="69" spans="4:4" x14ac:dyDescent="0.25">
      <c r="D69" s="10"/>
    </row>
    <row r="70" spans="4:4" x14ac:dyDescent="0.25">
      <c r="D70" s="10"/>
    </row>
    <row r="71" spans="4:4" x14ac:dyDescent="0.25">
      <c r="D71" s="10"/>
    </row>
    <row r="72" spans="4:4" x14ac:dyDescent="0.25">
      <c r="D72" s="10"/>
    </row>
    <row r="73" spans="4:4" x14ac:dyDescent="0.25">
      <c r="D73" s="10"/>
    </row>
    <row r="74" spans="4:4" x14ac:dyDescent="0.25">
      <c r="D74" s="10"/>
    </row>
    <row r="75" spans="4:4" x14ac:dyDescent="0.25">
      <c r="D75" s="10"/>
    </row>
    <row r="76" spans="4:4" x14ac:dyDescent="0.25">
      <c r="D76" s="10"/>
    </row>
    <row r="77" spans="4:4" x14ac:dyDescent="0.25">
      <c r="D77" s="10"/>
    </row>
    <row r="78" spans="4:4" x14ac:dyDescent="0.25">
      <c r="D78" s="10"/>
    </row>
    <row r="79" spans="4:4" x14ac:dyDescent="0.25">
      <c r="D79" s="10"/>
    </row>
    <row r="80" spans="4:4" x14ac:dyDescent="0.25">
      <c r="D80" s="10"/>
    </row>
    <row r="81" spans="4:4" x14ac:dyDescent="0.25">
      <c r="D81" s="10"/>
    </row>
    <row r="82" spans="4:4" x14ac:dyDescent="0.25">
      <c r="D82" s="10"/>
    </row>
    <row r="83" spans="4:4" x14ac:dyDescent="0.25">
      <c r="D83" s="10"/>
    </row>
    <row r="84" spans="4:4" x14ac:dyDescent="0.25">
      <c r="D84" s="10"/>
    </row>
    <row r="85" spans="4:4" x14ac:dyDescent="0.25">
      <c r="D85" s="10"/>
    </row>
    <row r="86" spans="4:4" x14ac:dyDescent="0.25">
      <c r="D86" s="10"/>
    </row>
    <row r="87" spans="4:4" x14ac:dyDescent="0.25">
      <c r="D87" s="10"/>
    </row>
    <row r="88" spans="4:4" x14ac:dyDescent="0.25">
      <c r="D88" s="10"/>
    </row>
    <row r="89" spans="4:4" x14ac:dyDescent="0.25">
      <c r="D89" s="10"/>
    </row>
    <row r="90" spans="4:4" x14ac:dyDescent="0.25">
      <c r="D90" s="10"/>
    </row>
    <row r="91" spans="4:4" x14ac:dyDescent="0.25">
      <c r="D91" s="10"/>
    </row>
    <row r="92" spans="4:4" x14ac:dyDescent="0.25">
      <c r="D92" s="10"/>
    </row>
    <row r="93" spans="4:4" x14ac:dyDescent="0.25">
      <c r="D93" s="10"/>
    </row>
    <row r="94" spans="4:4" x14ac:dyDescent="0.25">
      <c r="D94" s="10"/>
    </row>
    <row r="95" spans="4:4" x14ac:dyDescent="0.25">
      <c r="D95" s="10"/>
    </row>
    <row r="96" spans="4:4" x14ac:dyDescent="0.25">
      <c r="D96" s="10"/>
    </row>
    <row r="97" spans="4:4" x14ac:dyDescent="0.25">
      <c r="D97" s="10"/>
    </row>
    <row r="98" spans="4:4" x14ac:dyDescent="0.25">
      <c r="D98" s="10"/>
    </row>
    <row r="99" spans="4:4" x14ac:dyDescent="0.25">
      <c r="D99" s="10"/>
    </row>
    <row r="100" spans="4:4" x14ac:dyDescent="0.25">
      <c r="D100" s="10"/>
    </row>
    <row r="101" spans="4:4" x14ac:dyDescent="0.25">
      <c r="D101" s="10"/>
    </row>
    <row r="102" spans="4:4" x14ac:dyDescent="0.25">
      <c r="D102" s="10"/>
    </row>
    <row r="103" spans="4:4" x14ac:dyDescent="0.25">
      <c r="D103" s="10"/>
    </row>
    <row r="104" spans="4:4" x14ac:dyDescent="0.25">
      <c r="D104" s="1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eet3.heston_change_s1">
                <anchor moveWithCells="1" sizeWithCells="1">
                  <from>
                    <xdr:col>4</xdr:col>
                    <xdr:colOff>333375</xdr:colOff>
                    <xdr:row>3</xdr:row>
                    <xdr:rowOff>47625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04"/>
  <sheetViews>
    <sheetView workbookViewId="0">
      <selection activeCell="J12" sqref="J12"/>
    </sheetView>
  </sheetViews>
  <sheetFormatPr defaultRowHeight="15" x14ac:dyDescent="0.25"/>
  <cols>
    <col min="2" max="2" width="10.140625" bestFit="1" customWidth="1"/>
    <col min="3" max="3" width="15.140625" bestFit="1" customWidth="1"/>
    <col min="4" max="4" width="12" bestFit="1" customWidth="1"/>
  </cols>
  <sheetData>
    <row r="1" spans="1:11" x14ac:dyDescent="0.25">
      <c r="B1" t="s">
        <v>69</v>
      </c>
      <c r="C1">
        <f>'Parameter Page'!E10</f>
        <v>8812.61</v>
      </c>
      <c r="E1">
        <f>TRUNC(C1,0)-5</f>
        <v>8807</v>
      </c>
      <c r="F1">
        <f>TRUNC(C1,0)+5</f>
        <v>8817</v>
      </c>
    </row>
    <row r="2" spans="1:11" x14ac:dyDescent="0.25">
      <c r="C2" t="s">
        <v>54</v>
      </c>
      <c r="D2">
        <f>COUNT(B4:B104)</f>
        <v>101</v>
      </c>
      <c r="J2" t="s">
        <v>55</v>
      </c>
    </row>
    <row r="3" spans="1:11" x14ac:dyDescent="0.25">
      <c r="B3" t="s">
        <v>61</v>
      </c>
      <c r="C3" t="s">
        <v>57</v>
      </c>
      <c r="I3" t="s">
        <v>61</v>
      </c>
      <c r="J3" t="s">
        <v>57</v>
      </c>
      <c r="K3" t="s">
        <v>59</v>
      </c>
    </row>
    <row r="4" spans="1:11" x14ac:dyDescent="0.25">
      <c r="A4" t="str">
        <f>TEXT(B4,"0000.0")</f>
        <v>8807.0</v>
      </c>
      <c r="B4">
        <f>E1</f>
        <v>8807</v>
      </c>
      <c r="I4" s="9" t="s">
        <v>62</v>
      </c>
      <c r="J4">
        <v>847.49099204085655</v>
      </c>
      <c r="K4" t="s">
        <v>60</v>
      </c>
    </row>
    <row r="5" spans="1:11" x14ac:dyDescent="0.25">
      <c r="A5" t="str">
        <f t="shared" ref="A5:A68" si="0">TEXT(B5,"0000.0")</f>
        <v>8807.1</v>
      </c>
      <c r="B5">
        <f>B4+0.1</f>
        <v>8807.1</v>
      </c>
      <c r="D5" s="10"/>
      <c r="I5" s="9" t="s">
        <v>63</v>
      </c>
      <c r="J5">
        <v>847.50007030142922</v>
      </c>
      <c r="K5" s="11">
        <f>(J5-J4)/J4</f>
        <v>1.0711925740712562E-5</v>
      </c>
    </row>
    <row r="6" spans="1:11" x14ac:dyDescent="0.25">
      <c r="A6" t="str">
        <f t="shared" si="0"/>
        <v>8807.2</v>
      </c>
      <c r="B6">
        <f t="shared" ref="B6:B69" si="1">B5+0.1</f>
        <v>8807.2000000000007</v>
      </c>
      <c r="D6" s="10"/>
      <c r="I6" s="9" t="s">
        <v>64</v>
      </c>
      <c r="J6">
        <v>847.51295646113886</v>
      </c>
      <c r="K6" s="11">
        <f>(J6-J5)/J5</f>
        <v>1.5204906950691183E-5</v>
      </c>
    </row>
    <row r="7" spans="1:11" x14ac:dyDescent="0.25">
      <c r="A7" t="str">
        <f t="shared" si="0"/>
        <v>8807.3</v>
      </c>
      <c r="B7">
        <f t="shared" si="1"/>
        <v>8807.3000000000011</v>
      </c>
      <c r="D7" s="10"/>
    </row>
    <row r="8" spans="1:11" x14ac:dyDescent="0.25">
      <c r="A8" t="str">
        <f t="shared" si="0"/>
        <v>8807.4</v>
      </c>
      <c r="B8">
        <f t="shared" si="1"/>
        <v>8807.4000000000015</v>
      </c>
      <c r="D8" s="10"/>
    </row>
    <row r="9" spans="1:11" x14ac:dyDescent="0.25">
      <c r="A9" t="str">
        <f t="shared" si="0"/>
        <v>8807.5</v>
      </c>
      <c r="B9">
        <f t="shared" si="1"/>
        <v>8807.5000000000018</v>
      </c>
      <c r="D9" s="10"/>
    </row>
    <row r="10" spans="1:11" x14ac:dyDescent="0.25">
      <c r="A10" t="str">
        <f t="shared" si="0"/>
        <v>8807.6</v>
      </c>
      <c r="B10">
        <f t="shared" si="1"/>
        <v>8807.6000000000022</v>
      </c>
      <c r="D10" s="10"/>
    </row>
    <row r="11" spans="1:11" x14ac:dyDescent="0.25">
      <c r="A11" t="str">
        <f t="shared" si="0"/>
        <v>8807.7</v>
      </c>
      <c r="B11">
        <f t="shared" si="1"/>
        <v>8807.7000000000025</v>
      </c>
      <c r="D11" s="10"/>
    </row>
    <row r="12" spans="1:11" x14ac:dyDescent="0.25">
      <c r="A12" t="str">
        <f t="shared" si="0"/>
        <v>8807.8</v>
      </c>
      <c r="B12">
        <f t="shared" si="1"/>
        <v>8807.8000000000029</v>
      </c>
      <c r="D12" s="10"/>
    </row>
    <row r="13" spans="1:11" x14ac:dyDescent="0.25">
      <c r="A13" t="str">
        <f t="shared" si="0"/>
        <v>8807.9</v>
      </c>
      <c r="B13">
        <f t="shared" si="1"/>
        <v>8807.9000000000033</v>
      </c>
      <c r="D13" s="10"/>
    </row>
    <row r="14" spans="1:11" x14ac:dyDescent="0.25">
      <c r="A14" t="str">
        <f t="shared" si="0"/>
        <v>8808.0</v>
      </c>
      <c r="B14">
        <f t="shared" si="1"/>
        <v>8808.0000000000036</v>
      </c>
      <c r="D14" s="10"/>
    </row>
    <row r="15" spans="1:11" x14ac:dyDescent="0.25">
      <c r="A15" t="str">
        <f t="shared" si="0"/>
        <v>8808.1</v>
      </c>
      <c r="B15">
        <f t="shared" si="1"/>
        <v>8808.100000000004</v>
      </c>
      <c r="D15" s="10"/>
    </row>
    <row r="16" spans="1:11" x14ac:dyDescent="0.25">
      <c r="A16" t="str">
        <f t="shared" si="0"/>
        <v>8808.2</v>
      </c>
      <c r="B16">
        <f t="shared" si="1"/>
        <v>8808.2000000000044</v>
      </c>
      <c r="D16" s="10"/>
    </row>
    <row r="17" spans="1:4" x14ac:dyDescent="0.25">
      <c r="A17" t="str">
        <f t="shared" si="0"/>
        <v>8808.3</v>
      </c>
      <c r="B17">
        <f t="shared" si="1"/>
        <v>8808.3000000000047</v>
      </c>
      <c r="D17" s="10"/>
    </row>
    <row r="18" spans="1:4" x14ac:dyDescent="0.25">
      <c r="A18" t="str">
        <f t="shared" si="0"/>
        <v>8808.4</v>
      </c>
      <c r="B18">
        <f t="shared" si="1"/>
        <v>8808.4000000000051</v>
      </c>
      <c r="D18" s="10"/>
    </row>
    <row r="19" spans="1:4" x14ac:dyDescent="0.25">
      <c r="A19" t="str">
        <f t="shared" si="0"/>
        <v>8808.5</v>
      </c>
      <c r="B19">
        <f t="shared" si="1"/>
        <v>8808.5000000000055</v>
      </c>
      <c r="D19" s="10"/>
    </row>
    <row r="20" spans="1:4" x14ac:dyDescent="0.25">
      <c r="A20" t="str">
        <f t="shared" si="0"/>
        <v>8808.6</v>
      </c>
      <c r="B20">
        <f t="shared" si="1"/>
        <v>8808.6000000000058</v>
      </c>
      <c r="D20" s="10"/>
    </row>
    <row r="21" spans="1:4" x14ac:dyDescent="0.25">
      <c r="A21" t="str">
        <f t="shared" si="0"/>
        <v>8808.7</v>
      </c>
      <c r="B21">
        <f t="shared" si="1"/>
        <v>8808.7000000000062</v>
      </c>
      <c r="D21" s="10"/>
    </row>
    <row r="22" spans="1:4" x14ac:dyDescent="0.25">
      <c r="A22" t="str">
        <f t="shared" si="0"/>
        <v>8808.8</v>
      </c>
      <c r="B22">
        <f t="shared" si="1"/>
        <v>8808.8000000000065</v>
      </c>
      <c r="D22" s="10"/>
    </row>
    <row r="23" spans="1:4" x14ac:dyDescent="0.25">
      <c r="A23" t="str">
        <f t="shared" si="0"/>
        <v>8808.9</v>
      </c>
      <c r="B23">
        <f t="shared" si="1"/>
        <v>8808.9000000000069</v>
      </c>
      <c r="D23" s="10"/>
    </row>
    <row r="24" spans="1:4" x14ac:dyDescent="0.25">
      <c r="A24" t="str">
        <f t="shared" si="0"/>
        <v>8809.0</v>
      </c>
      <c r="B24">
        <f t="shared" si="1"/>
        <v>8809.0000000000073</v>
      </c>
      <c r="D24" s="10"/>
    </row>
    <row r="25" spans="1:4" x14ac:dyDescent="0.25">
      <c r="A25" t="str">
        <f t="shared" si="0"/>
        <v>8809.1</v>
      </c>
      <c r="B25">
        <f t="shared" si="1"/>
        <v>8809.1000000000076</v>
      </c>
      <c r="D25" s="10"/>
    </row>
    <row r="26" spans="1:4" x14ac:dyDescent="0.25">
      <c r="A26" t="str">
        <f t="shared" si="0"/>
        <v>8809.2</v>
      </c>
      <c r="B26">
        <f t="shared" si="1"/>
        <v>8809.200000000008</v>
      </c>
      <c r="D26" s="10"/>
    </row>
    <row r="27" spans="1:4" x14ac:dyDescent="0.25">
      <c r="A27" t="str">
        <f t="shared" si="0"/>
        <v>8809.3</v>
      </c>
      <c r="B27">
        <f t="shared" si="1"/>
        <v>8809.3000000000084</v>
      </c>
      <c r="D27" s="10"/>
    </row>
    <row r="28" spans="1:4" x14ac:dyDescent="0.25">
      <c r="A28" t="str">
        <f t="shared" si="0"/>
        <v>8809.4</v>
      </c>
      <c r="B28">
        <f t="shared" si="1"/>
        <v>8809.4000000000087</v>
      </c>
      <c r="D28" s="10"/>
    </row>
    <row r="29" spans="1:4" x14ac:dyDescent="0.25">
      <c r="A29" t="str">
        <f t="shared" si="0"/>
        <v>8809.5</v>
      </c>
      <c r="B29">
        <f t="shared" si="1"/>
        <v>8809.5000000000091</v>
      </c>
      <c r="D29" s="10"/>
    </row>
    <row r="30" spans="1:4" x14ac:dyDescent="0.25">
      <c r="A30" t="str">
        <f t="shared" si="0"/>
        <v>8809.6</v>
      </c>
      <c r="B30">
        <f t="shared" si="1"/>
        <v>8809.6000000000095</v>
      </c>
      <c r="D30" s="10"/>
    </row>
    <row r="31" spans="1:4" x14ac:dyDescent="0.25">
      <c r="A31" t="str">
        <f t="shared" si="0"/>
        <v>8809.7</v>
      </c>
      <c r="B31">
        <f t="shared" si="1"/>
        <v>8809.7000000000098</v>
      </c>
      <c r="D31" s="10"/>
    </row>
    <row r="32" spans="1:4" x14ac:dyDescent="0.25">
      <c r="A32" t="str">
        <f t="shared" si="0"/>
        <v>8809.8</v>
      </c>
      <c r="B32">
        <f t="shared" si="1"/>
        <v>8809.8000000000102</v>
      </c>
      <c r="D32" s="10"/>
    </row>
    <row r="33" spans="1:4" x14ac:dyDescent="0.25">
      <c r="A33" t="str">
        <f t="shared" si="0"/>
        <v>8809.9</v>
      </c>
      <c r="B33">
        <f t="shared" si="1"/>
        <v>8809.9000000000106</v>
      </c>
      <c r="D33" s="10"/>
    </row>
    <row r="34" spans="1:4" x14ac:dyDescent="0.25">
      <c r="A34" t="str">
        <f t="shared" si="0"/>
        <v>8810.0</v>
      </c>
      <c r="B34">
        <f t="shared" si="1"/>
        <v>8810.0000000000109</v>
      </c>
      <c r="D34" s="10"/>
    </row>
    <row r="35" spans="1:4" x14ac:dyDescent="0.25">
      <c r="A35" t="str">
        <f t="shared" si="0"/>
        <v>8810.1</v>
      </c>
      <c r="B35">
        <f t="shared" si="1"/>
        <v>8810.1000000000113</v>
      </c>
      <c r="D35" s="10"/>
    </row>
    <row r="36" spans="1:4" x14ac:dyDescent="0.25">
      <c r="A36" t="str">
        <f t="shared" si="0"/>
        <v>8810.2</v>
      </c>
      <c r="B36">
        <f t="shared" si="1"/>
        <v>8810.2000000000116</v>
      </c>
      <c r="D36" s="10"/>
    </row>
    <row r="37" spans="1:4" x14ac:dyDescent="0.25">
      <c r="A37" t="str">
        <f t="shared" si="0"/>
        <v>8810.3</v>
      </c>
      <c r="B37">
        <f t="shared" si="1"/>
        <v>8810.300000000012</v>
      </c>
      <c r="D37" s="10"/>
    </row>
    <row r="38" spans="1:4" x14ac:dyDescent="0.25">
      <c r="A38" t="str">
        <f t="shared" si="0"/>
        <v>8810.4</v>
      </c>
      <c r="B38">
        <f t="shared" si="1"/>
        <v>8810.4000000000124</v>
      </c>
      <c r="D38" s="10"/>
    </row>
    <row r="39" spans="1:4" x14ac:dyDescent="0.25">
      <c r="A39" t="str">
        <f t="shared" si="0"/>
        <v>8810.5</v>
      </c>
      <c r="B39">
        <f t="shared" si="1"/>
        <v>8810.5000000000127</v>
      </c>
      <c r="D39" s="10"/>
    </row>
    <row r="40" spans="1:4" x14ac:dyDescent="0.25">
      <c r="A40" t="str">
        <f t="shared" si="0"/>
        <v>8810.6</v>
      </c>
      <c r="B40">
        <f t="shared" si="1"/>
        <v>8810.6000000000131</v>
      </c>
      <c r="D40" s="10"/>
    </row>
    <row r="41" spans="1:4" x14ac:dyDescent="0.25">
      <c r="A41" t="str">
        <f t="shared" si="0"/>
        <v>8810.7</v>
      </c>
      <c r="B41">
        <f t="shared" si="1"/>
        <v>8810.7000000000135</v>
      </c>
      <c r="D41" s="10"/>
    </row>
    <row r="42" spans="1:4" x14ac:dyDescent="0.25">
      <c r="A42" t="str">
        <f t="shared" si="0"/>
        <v>8810.8</v>
      </c>
      <c r="B42">
        <f t="shared" si="1"/>
        <v>8810.8000000000138</v>
      </c>
      <c r="D42" s="10"/>
    </row>
    <row r="43" spans="1:4" x14ac:dyDescent="0.25">
      <c r="A43" t="str">
        <f t="shared" si="0"/>
        <v>8810.9</v>
      </c>
      <c r="B43">
        <f t="shared" si="1"/>
        <v>8810.9000000000142</v>
      </c>
      <c r="D43" s="10"/>
    </row>
    <row r="44" spans="1:4" x14ac:dyDescent="0.25">
      <c r="A44" t="str">
        <f t="shared" si="0"/>
        <v>8811.0</v>
      </c>
      <c r="B44">
        <f t="shared" si="1"/>
        <v>8811.0000000000146</v>
      </c>
      <c r="D44" s="10"/>
    </row>
    <row r="45" spans="1:4" x14ac:dyDescent="0.25">
      <c r="A45" t="str">
        <f t="shared" si="0"/>
        <v>8811.1</v>
      </c>
      <c r="B45">
        <f t="shared" si="1"/>
        <v>8811.1000000000149</v>
      </c>
      <c r="D45" s="10"/>
    </row>
    <row r="46" spans="1:4" x14ac:dyDescent="0.25">
      <c r="A46" t="str">
        <f t="shared" si="0"/>
        <v>8811.2</v>
      </c>
      <c r="B46">
        <f t="shared" si="1"/>
        <v>8811.2000000000153</v>
      </c>
      <c r="D46" s="10"/>
    </row>
    <row r="47" spans="1:4" x14ac:dyDescent="0.25">
      <c r="A47" t="str">
        <f t="shared" si="0"/>
        <v>8811.3</v>
      </c>
      <c r="B47">
        <f t="shared" si="1"/>
        <v>8811.3000000000156</v>
      </c>
      <c r="D47" s="10"/>
    </row>
    <row r="48" spans="1:4" x14ac:dyDescent="0.25">
      <c r="A48" t="str">
        <f t="shared" si="0"/>
        <v>8811.4</v>
      </c>
      <c r="B48">
        <f t="shared" si="1"/>
        <v>8811.400000000016</v>
      </c>
      <c r="D48" s="10"/>
    </row>
    <row r="49" spans="1:4" x14ac:dyDescent="0.25">
      <c r="A49" t="str">
        <f t="shared" si="0"/>
        <v>8811.5</v>
      </c>
      <c r="B49">
        <f t="shared" si="1"/>
        <v>8811.5000000000164</v>
      </c>
      <c r="D49" s="10"/>
    </row>
    <row r="50" spans="1:4" x14ac:dyDescent="0.25">
      <c r="A50" t="str">
        <f t="shared" si="0"/>
        <v>8811.6</v>
      </c>
      <c r="B50">
        <f t="shared" si="1"/>
        <v>8811.6000000000167</v>
      </c>
      <c r="D50" s="10"/>
    </row>
    <row r="51" spans="1:4" x14ac:dyDescent="0.25">
      <c r="A51" t="str">
        <f t="shared" si="0"/>
        <v>8811.7</v>
      </c>
      <c r="B51">
        <f t="shared" si="1"/>
        <v>8811.7000000000171</v>
      </c>
      <c r="D51" s="10"/>
    </row>
    <row r="52" spans="1:4" x14ac:dyDescent="0.25">
      <c r="A52" t="str">
        <f t="shared" si="0"/>
        <v>8811.8</v>
      </c>
      <c r="B52">
        <f t="shared" si="1"/>
        <v>8811.8000000000175</v>
      </c>
      <c r="D52" s="10"/>
    </row>
    <row r="53" spans="1:4" x14ac:dyDescent="0.25">
      <c r="A53" t="str">
        <f t="shared" si="0"/>
        <v>8811.9</v>
      </c>
      <c r="B53">
        <f t="shared" si="1"/>
        <v>8811.9000000000178</v>
      </c>
      <c r="D53" s="10"/>
    </row>
    <row r="54" spans="1:4" x14ac:dyDescent="0.25">
      <c r="A54" t="str">
        <f t="shared" si="0"/>
        <v>8812.0</v>
      </c>
      <c r="B54">
        <f t="shared" si="1"/>
        <v>8812.0000000000182</v>
      </c>
      <c r="D54" s="10"/>
    </row>
    <row r="55" spans="1:4" x14ac:dyDescent="0.25">
      <c r="A55" t="str">
        <f t="shared" si="0"/>
        <v>8812.1</v>
      </c>
      <c r="B55">
        <f t="shared" si="1"/>
        <v>8812.1000000000186</v>
      </c>
      <c r="D55" s="10"/>
    </row>
    <row r="56" spans="1:4" x14ac:dyDescent="0.25">
      <c r="A56" t="str">
        <f t="shared" si="0"/>
        <v>8812.2</v>
      </c>
      <c r="B56">
        <f t="shared" si="1"/>
        <v>8812.2000000000189</v>
      </c>
      <c r="D56" s="10"/>
    </row>
    <row r="57" spans="1:4" x14ac:dyDescent="0.25">
      <c r="A57" t="str">
        <f t="shared" si="0"/>
        <v>8812.3</v>
      </c>
      <c r="B57">
        <f t="shared" si="1"/>
        <v>8812.3000000000193</v>
      </c>
      <c r="D57" s="10"/>
    </row>
    <row r="58" spans="1:4" x14ac:dyDescent="0.25">
      <c r="A58" t="str">
        <f t="shared" si="0"/>
        <v>8812.4</v>
      </c>
      <c r="B58">
        <f t="shared" si="1"/>
        <v>8812.4000000000196</v>
      </c>
      <c r="D58" s="10"/>
    </row>
    <row r="59" spans="1:4" x14ac:dyDescent="0.25">
      <c r="A59" t="str">
        <f t="shared" si="0"/>
        <v>8812.5</v>
      </c>
      <c r="B59">
        <f t="shared" si="1"/>
        <v>8812.50000000002</v>
      </c>
      <c r="D59" s="10"/>
    </row>
    <row r="60" spans="1:4" x14ac:dyDescent="0.25">
      <c r="A60" t="str">
        <f t="shared" si="0"/>
        <v>8812.6</v>
      </c>
      <c r="B60">
        <f t="shared" si="1"/>
        <v>8812.6000000000204</v>
      </c>
      <c r="D60" s="10"/>
    </row>
    <row r="61" spans="1:4" x14ac:dyDescent="0.25">
      <c r="A61" t="str">
        <f t="shared" si="0"/>
        <v>8812.7</v>
      </c>
      <c r="B61">
        <f t="shared" si="1"/>
        <v>8812.7000000000207</v>
      </c>
      <c r="D61" s="10"/>
    </row>
    <row r="62" spans="1:4" x14ac:dyDescent="0.25">
      <c r="A62" t="str">
        <f t="shared" si="0"/>
        <v>8812.8</v>
      </c>
      <c r="B62">
        <f t="shared" si="1"/>
        <v>8812.8000000000211</v>
      </c>
      <c r="D62" s="10"/>
    </row>
    <row r="63" spans="1:4" x14ac:dyDescent="0.25">
      <c r="A63" t="str">
        <f t="shared" si="0"/>
        <v>8812.9</v>
      </c>
      <c r="B63">
        <f t="shared" si="1"/>
        <v>8812.9000000000215</v>
      </c>
      <c r="D63" s="10"/>
    </row>
    <row r="64" spans="1:4" x14ac:dyDescent="0.25">
      <c r="A64" t="str">
        <f t="shared" si="0"/>
        <v>8813.0</v>
      </c>
      <c r="B64">
        <f t="shared" si="1"/>
        <v>8813.0000000000218</v>
      </c>
      <c r="D64" s="10"/>
    </row>
    <row r="65" spans="1:4" x14ac:dyDescent="0.25">
      <c r="A65" t="str">
        <f t="shared" si="0"/>
        <v>8813.1</v>
      </c>
      <c r="B65">
        <f t="shared" si="1"/>
        <v>8813.1000000000222</v>
      </c>
      <c r="D65" s="10"/>
    </row>
    <row r="66" spans="1:4" x14ac:dyDescent="0.25">
      <c r="A66" t="str">
        <f t="shared" si="0"/>
        <v>8813.2</v>
      </c>
      <c r="B66">
        <f t="shared" si="1"/>
        <v>8813.2000000000226</v>
      </c>
      <c r="D66" s="10"/>
    </row>
    <row r="67" spans="1:4" x14ac:dyDescent="0.25">
      <c r="A67" t="str">
        <f t="shared" si="0"/>
        <v>8813.3</v>
      </c>
      <c r="B67">
        <f t="shared" si="1"/>
        <v>8813.3000000000229</v>
      </c>
      <c r="D67" s="10"/>
    </row>
    <row r="68" spans="1:4" x14ac:dyDescent="0.25">
      <c r="A68" t="str">
        <f t="shared" si="0"/>
        <v>8813.4</v>
      </c>
      <c r="B68">
        <f t="shared" si="1"/>
        <v>8813.4000000000233</v>
      </c>
      <c r="D68" s="10"/>
    </row>
    <row r="69" spans="1:4" x14ac:dyDescent="0.25">
      <c r="A69" t="str">
        <f t="shared" ref="A69:A104" si="2">TEXT(B69,"0000.0")</f>
        <v>8813.5</v>
      </c>
      <c r="B69">
        <f t="shared" si="1"/>
        <v>8813.5000000000236</v>
      </c>
      <c r="D69" s="10"/>
    </row>
    <row r="70" spans="1:4" x14ac:dyDescent="0.25">
      <c r="A70" t="str">
        <f t="shared" si="2"/>
        <v>8813.6</v>
      </c>
      <c r="B70">
        <f t="shared" ref="B70:B104" si="3">B69+0.1</f>
        <v>8813.600000000024</v>
      </c>
      <c r="D70" s="10"/>
    </row>
    <row r="71" spans="1:4" x14ac:dyDescent="0.25">
      <c r="A71" t="str">
        <f t="shared" si="2"/>
        <v>8813.7</v>
      </c>
      <c r="B71">
        <f t="shared" si="3"/>
        <v>8813.7000000000244</v>
      </c>
      <c r="D71" s="10"/>
    </row>
    <row r="72" spans="1:4" x14ac:dyDescent="0.25">
      <c r="A72" t="str">
        <f t="shared" si="2"/>
        <v>8813.8</v>
      </c>
      <c r="B72">
        <f t="shared" si="3"/>
        <v>8813.8000000000247</v>
      </c>
      <c r="D72" s="10"/>
    </row>
    <row r="73" spans="1:4" x14ac:dyDescent="0.25">
      <c r="A73" t="str">
        <f t="shared" si="2"/>
        <v>8813.9</v>
      </c>
      <c r="B73">
        <f t="shared" si="3"/>
        <v>8813.9000000000251</v>
      </c>
      <c r="D73" s="10"/>
    </row>
    <row r="74" spans="1:4" x14ac:dyDescent="0.25">
      <c r="A74" t="str">
        <f t="shared" si="2"/>
        <v>8814.0</v>
      </c>
      <c r="B74">
        <f t="shared" si="3"/>
        <v>8814.0000000000255</v>
      </c>
      <c r="D74" s="10"/>
    </row>
    <row r="75" spans="1:4" x14ac:dyDescent="0.25">
      <c r="A75" t="str">
        <f t="shared" si="2"/>
        <v>8814.1</v>
      </c>
      <c r="B75">
        <f t="shared" si="3"/>
        <v>8814.1000000000258</v>
      </c>
      <c r="D75" s="10"/>
    </row>
    <row r="76" spans="1:4" x14ac:dyDescent="0.25">
      <c r="A76" t="str">
        <f t="shared" si="2"/>
        <v>8814.2</v>
      </c>
      <c r="B76">
        <f t="shared" si="3"/>
        <v>8814.2000000000262</v>
      </c>
      <c r="D76" s="10"/>
    </row>
    <row r="77" spans="1:4" x14ac:dyDescent="0.25">
      <c r="A77" t="str">
        <f t="shared" si="2"/>
        <v>8814.3</v>
      </c>
      <c r="B77">
        <f t="shared" si="3"/>
        <v>8814.3000000000266</v>
      </c>
      <c r="D77" s="10"/>
    </row>
    <row r="78" spans="1:4" x14ac:dyDescent="0.25">
      <c r="A78" t="str">
        <f t="shared" si="2"/>
        <v>8814.4</v>
      </c>
      <c r="B78">
        <f t="shared" si="3"/>
        <v>8814.4000000000269</v>
      </c>
      <c r="D78" s="10"/>
    </row>
    <row r="79" spans="1:4" x14ac:dyDescent="0.25">
      <c r="A79" t="str">
        <f t="shared" si="2"/>
        <v>8814.5</v>
      </c>
      <c r="B79">
        <f t="shared" si="3"/>
        <v>8814.5000000000273</v>
      </c>
      <c r="D79" s="10"/>
    </row>
    <row r="80" spans="1:4" x14ac:dyDescent="0.25">
      <c r="A80" t="str">
        <f t="shared" si="2"/>
        <v>8814.6</v>
      </c>
      <c r="B80">
        <f t="shared" si="3"/>
        <v>8814.6000000000276</v>
      </c>
      <c r="D80" s="10"/>
    </row>
    <row r="81" spans="1:4" x14ac:dyDescent="0.25">
      <c r="A81" t="str">
        <f t="shared" si="2"/>
        <v>8814.7</v>
      </c>
      <c r="B81">
        <f t="shared" si="3"/>
        <v>8814.700000000028</v>
      </c>
      <c r="D81" s="10"/>
    </row>
    <row r="82" spans="1:4" x14ac:dyDescent="0.25">
      <c r="A82" t="str">
        <f t="shared" si="2"/>
        <v>8814.8</v>
      </c>
      <c r="B82">
        <f t="shared" si="3"/>
        <v>8814.8000000000284</v>
      </c>
      <c r="D82" s="10"/>
    </row>
    <row r="83" spans="1:4" x14ac:dyDescent="0.25">
      <c r="A83" t="str">
        <f t="shared" si="2"/>
        <v>8814.9</v>
      </c>
      <c r="B83">
        <f t="shared" si="3"/>
        <v>8814.9000000000287</v>
      </c>
      <c r="D83" s="10"/>
    </row>
    <row r="84" spans="1:4" x14ac:dyDescent="0.25">
      <c r="A84" t="str">
        <f t="shared" si="2"/>
        <v>8815.0</v>
      </c>
      <c r="B84">
        <f t="shared" si="3"/>
        <v>8815.0000000000291</v>
      </c>
      <c r="D84" s="10"/>
    </row>
    <row r="85" spans="1:4" x14ac:dyDescent="0.25">
      <c r="A85" t="str">
        <f t="shared" si="2"/>
        <v>8815.1</v>
      </c>
      <c r="B85">
        <f t="shared" si="3"/>
        <v>8815.1000000000295</v>
      </c>
      <c r="D85" s="10"/>
    </row>
    <row r="86" spans="1:4" x14ac:dyDescent="0.25">
      <c r="A86" t="str">
        <f t="shared" si="2"/>
        <v>8815.2</v>
      </c>
      <c r="B86">
        <f t="shared" si="3"/>
        <v>8815.2000000000298</v>
      </c>
      <c r="D86" s="10"/>
    </row>
    <row r="87" spans="1:4" x14ac:dyDescent="0.25">
      <c r="A87" t="str">
        <f t="shared" si="2"/>
        <v>8815.3</v>
      </c>
      <c r="B87">
        <f t="shared" si="3"/>
        <v>8815.3000000000302</v>
      </c>
      <c r="D87" s="10"/>
    </row>
    <row r="88" spans="1:4" x14ac:dyDescent="0.25">
      <c r="A88" t="str">
        <f t="shared" si="2"/>
        <v>8815.4</v>
      </c>
      <c r="B88">
        <f t="shared" si="3"/>
        <v>8815.4000000000306</v>
      </c>
      <c r="D88" s="10"/>
    </row>
    <row r="89" spans="1:4" x14ac:dyDescent="0.25">
      <c r="A89" t="str">
        <f t="shared" si="2"/>
        <v>8815.5</v>
      </c>
      <c r="B89">
        <f t="shared" si="3"/>
        <v>8815.5000000000309</v>
      </c>
      <c r="D89" s="10"/>
    </row>
    <row r="90" spans="1:4" x14ac:dyDescent="0.25">
      <c r="A90" t="str">
        <f t="shared" si="2"/>
        <v>8815.6</v>
      </c>
      <c r="B90">
        <f t="shared" si="3"/>
        <v>8815.6000000000313</v>
      </c>
      <c r="D90" s="10"/>
    </row>
    <row r="91" spans="1:4" x14ac:dyDescent="0.25">
      <c r="A91" t="str">
        <f t="shared" si="2"/>
        <v>8815.7</v>
      </c>
      <c r="B91">
        <f t="shared" si="3"/>
        <v>8815.7000000000317</v>
      </c>
      <c r="D91" s="10"/>
    </row>
    <row r="92" spans="1:4" x14ac:dyDescent="0.25">
      <c r="A92" t="str">
        <f t="shared" si="2"/>
        <v>8815.8</v>
      </c>
      <c r="B92">
        <f t="shared" si="3"/>
        <v>8815.800000000032</v>
      </c>
      <c r="D92" s="10"/>
    </row>
    <row r="93" spans="1:4" x14ac:dyDescent="0.25">
      <c r="A93" t="str">
        <f t="shared" si="2"/>
        <v>8815.9</v>
      </c>
      <c r="B93">
        <f t="shared" si="3"/>
        <v>8815.9000000000324</v>
      </c>
      <c r="D93" s="10"/>
    </row>
    <row r="94" spans="1:4" x14ac:dyDescent="0.25">
      <c r="A94" t="str">
        <f t="shared" si="2"/>
        <v>8816.0</v>
      </c>
      <c r="B94">
        <f t="shared" si="3"/>
        <v>8816.0000000000327</v>
      </c>
      <c r="D94" s="10"/>
    </row>
    <row r="95" spans="1:4" x14ac:dyDescent="0.25">
      <c r="A95" t="str">
        <f t="shared" si="2"/>
        <v>8816.1</v>
      </c>
      <c r="B95">
        <f t="shared" si="3"/>
        <v>8816.1000000000331</v>
      </c>
      <c r="D95" s="10"/>
    </row>
    <row r="96" spans="1:4" x14ac:dyDescent="0.25">
      <c r="A96" t="str">
        <f t="shared" si="2"/>
        <v>8816.2</v>
      </c>
      <c r="B96">
        <f t="shared" si="3"/>
        <v>8816.2000000000335</v>
      </c>
      <c r="D96" s="10"/>
    </row>
    <row r="97" spans="1:4" x14ac:dyDescent="0.25">
      <c r="A97" t="str">
        <f t="shared" si="2"/>
        <v>8816.3</v>
      </c>
      <c r="B97">
        <f t="shared" si="3"/>
        <v>8816.3000000000338</v>
      </c>
      <c r="D97" s="10"/>
    </row>
    <row r="98" spans="1:4" x14ac:dyDescent="0.25">
      <c r="A98" t="str">
        <f t="shared" si="2"/>
        <v>8816.4</v>
      </c>
      <c r="B98">
        <f t="shared" si="3"/>
        <v>8816.4000000000342</v>
      </c>
      <c r="D98" s="10"/>
    </row>
    <row r="99" spans="1:4" x14ac:dyDescent="0.25">
      <c r="A99" t="str">
        <f t="shared" si="2"/>
        <v>8816.5</v>
      </c>
      <c r="B99">
        <f t="shared" si="3"/>
        <v>8816.5000000000346</v>
      </c>
      <c r="D99" s="10"/>
    </row>
    <row r="100" spans="1:4" x14ac:dyDescent="0.25">
      <c r="A100" t="str">
        <f t="shared" si="2"/>
        <v>8816.6</v>
      </c>
      <c r="B100">
        <f t="shared" si="3"/>
        <v>8816.6000000000349</v>
      </c>
      <c r="D100" s="10"/>
    </row>
    <row r="101" spans="1:4" x14ac:dyDescent="0.25">
      <c r="A101" t="str">
        <f t="shared" si="2"/>
        <v>8816.7</v>
      </c>
      <c r="B101">
        <f t="shared" si="3"/>
        <v>8816.7000000000353</v>
      </c>
      <c r="D101" s="10"/>
    </row>
    <row r="102" spans="1:4" x14ac:dyDescent="0.25">
      <c r="A102" t="str">
        <f t="shared" si="2"/>
        <v>8816.8</v>
      </c>
      <c r="B102">
        <f t="shared" si="3"/>
        <v>8816.8000000000357</v>
      </c>
      <c r="D102" s="10"/>
    </row>
    <row r="103" spans="1:4" x14ac:dyDescent="0.25">
      <c r="A103" t="str">
        <f t="shared" si="2"/>
        <v>8816.9</v>
      </c>
      <c r="B103">
        <f t="shared" si="3"/>
        <v>8816.900000000036</v>
      </c>
      <c r="D103" s="10"/>
    </row>
    <row r="104" spans="1:4" x14ac:dyDescent="0.25">
      <c r="A104" t="str">
        <f t="shared" si="2"/>
        <v>8817.0</v>
      </c>
      <c r="B104">
        <f t="shared" si="3"/>
        <v>8817.0000000000364</v>
      </c>
      <c r="D104" s="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heet4.heston_change_s2">
                <anchor moveWithCells="1" sizeWithCells="1">
                  <from>
                    <xdr:col>4</xdr:col>
                    <xdr:colOff>333375</xdr:colOff>
                    <xdr:row>3</xdr:row>
                    <xdr:rowOff>47625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104"/>
  <sheetViews>
    <sheetView workbookViewId="0">
      <selection activeCell="H15" sqref="H15"/>
    </sheetView>
  </sheetViews>
  <sheetFormatPr defaultRowHeight="15" x14ac:dyDescent="0.25"/>
  <cols>
    <col min="2" max="2" width="10.140625" bestFit="1" customWidth="1"/>
    <col min="3" max="3" width="15.140625" bestFit="1" customWidth="1"/>
    <col min="4" max="4" width="12" bestFit="1" customWidth="1"/>
  </cols>
  <sheetData>
    <row r="1" spans="1:11" x14ac:dyDescent="0.25">
      <c r="B1" t="s">
        <v>70</v>
      </c>
      <c r="C1">
        <f>'Parameter Page'!H10</f>
        <v>7000.89</v>
      </c>
      <c r="E1">
        <f>ROUND(C1,0)-5</f>
        <v>6996</v>
      </c>
      <c r="F1">
        <f>ROUND(C1,0)+5</f>
        <v>7006</v>
      </c>
    </row>
    <row r="2" spans="1:11" x14ac:dyDescent="0.25">
      <c r="C2" t="s">
        <v>54</v>
      </c>
      <c r="D2">
        <f>COUNT(B4:B104)</f>
        <v>101</v>
      </c>
      <c r="J2" t="s">
        <v>55</v>
      </c>
    </row>
    <row r="3" spans="1:11" x14ac:dyDescent="0.25">
      <c r="B3" t="s">
        <v>58</v>
      </c>
      <c r="C3" t="s">
        <v>57</v>
      </c>
      <c r="I3" t="s">
        <v>58</v>
      </c>
      <c r="J3" t="s">
        <v>57</v>
      </c>
      <c r="K3" t="s">
        <v>59</v>
      </c>
    </row>
    <row r="4" spans="1:11" x14ac:dyDescent="0.25">
      <c r="A4" t="str">
        <f>TEXT(B4,"0000.0")</f>
        <v>6996.0</v>
      </c>
      <c r="B4">
        <f>E1</f>
        <v>6996</v>
      </c>
      <c r="I4" s="9" t="s">
        <v>65</v>
      </c>
      <c r="J4">
        <v>850.75956858201482</v>
      </c>
      <c r="K4" t="s">
        <v>60</v>
      </c>
    </row>
    <row r="5" spans="1:11" x14ac:dyDescent="0.25">
      <c r="A5" t="str">
        <f t="shared" ref="A5:A68" si="0">TEXT(B5,"0000.0")</f>
        <v>6996.1</v>
      </c>
      <c r="B5">
        <f>B4+0.1</f>
        <v>6996.1</v>
      </c>
      <c r="D5" s="10"/>
      <c r="I5" s="9" t="s">
        <v>66</v>
      </c>
      <c r="J5">
        <v>850.79396479037644</v>
      </c>
      <c r="K5" s="11">
        <f>(J5-J4)/J4</f>
        <v>4.0429998829096366E-5</v>
      </c>
    </row>
    <row r="6" spans="1:11" x14ac:dyDescent="0.25">
      <c r="A6" t="str">
        <f t="shared" si="0"/>
        <v>6996.2</v>
      </c>
      <c r="B6">
        <f t="shared" ref="B6:B69" si="1">B5+0.1</f>
        <v>6996.2000000000007</v>
      </c>
      <c r="D6" s="10"/>
      <c r="I6" s="9" t="s">
        <v>67</v>
      </c>
      <c r="J6">
        <v>850.82935724775302</v>
      </c>
      <c r="K6" s="11">
        <f>(J6-J5)/J5</f>
        <v>4.1599328205517098E-5</v>
      </c>
    </row>
    <row r="7" spans="1:11" x14ac:dyDescent="0.25">
      <c r="A7" t="str">
        <f t="shared" si="0"/>
        <v>6996.3</v>
      </c>
      <c r="B7">
        <f t="shared" si="1"/>
        <v>6996.3000000000011</v>
      </c>
      <c r="D7" s="10"/>
    </row>
    <row r="8" spans="1:11" x14ac:dyDescent="0.25">
      <c r="A8" t="str">
        <f t="shared" si="0"/>
        <v>6996.4</v>
      </c>
      <c r="B8">
        <f t="shared" si="1"/>
        <v>6996.4000000000015</v>
      </c>
      <c r="D8" s="10"/>
    </row>
    <row r="9" spans="1:11" x14ac:dyDescent="0.25">
      <c r="A9" t="str">
        <f t="shared" si="0"/>
        <v>6996.5</v>
      </c>
      <c r="B9">
        <f t="shared" si="1"/>
        <v>6996.5000000000018</v>
      </c>
      <c r="D9" s="10"/>
    </row>
    <row r="10" spans="1:11" x14ac:dyDescent="0.25">
      <c r="A10" t="str">
        <f t="shared" si="0"/>
        <v>6996.6</v>
      </c>
      <c r="B10">
        <f t="shared" si="1"/>
        <v>6996.6000000000022</v>
      </c>
      <c r="D10" s="10"/>
    </row>
    <row r="11" spans="1:11" x14ac:dyDescent="0.25">
      <c r="A11" t="str">
        <f t="shared" si="0"/>
        <v>6996.7</v>
      </c>
      <c r="B11">
        <f t="shared" si="1"/>
        <v>6996.7000000000025</v>
      </c>
      <c r="D11" s="10"/>
    </row>
    <row r="12" spans="1:11" x14ac:dyDescent="0.25">
      <c r="A12" t="str">
        <f t="shared" si="0"/>
        <v>6996.8</v>
      </c>
      <c r="B12">
        <f t="shared" si="1"/>
        <v>6996.8000000000029</v>
      </c>
      <c r="D12" s="10"/>
    </row>
    <row r="13" spans="1:11" x14ac:dyDescent="0.25">
      <c r="A13" t="str">
        <f t="shared" si="0"/>
        <v>6996.9</v>
      </c>
      <c r="B13">
        <f t="shared" si="1"/>
        <v>6996.9000000000033</v>
      </c>
      <c r="D13" s="10"/>
    </row>
    <row r="14" spans="1:11" x14ac:dyDescent="0.25">
      <c r="A14" t="str">
        <f t="shared" si="0"/>
        <v>6997.0</v>
      </c>
      <c r="B14">
        <f t="shared" si="1"/>
        <v>6997.0000000000036</v>
      </c>
      <c r="D14" s="10"/>
    </row>
    <row r="15" spans="1:11" x14ac:dyDescent="0.25">
      <c r="A15" t="str">
        <f t="shared" si="0"/>
        <v>6997.1</v>
      </c>
      <c r="B15">
        <f t="shared" si="1"/>
        <v>6997.100000000004</v>
      </c>
      <c r="D15" s="10"/>
    </row>
    <row r="16" spans="1:11" x14ac:dyDescent="0.25">
      <c r="A16" t="str">
        <f t="shared" si="0"/>
        <v>6997.2</v>
      </c>
      <c r="B16">
        <f t="shared" si="1"/>
        <v>6997.2000000000044</v>
      </c>
      <c r="D16" s="10"/>
    </row>
    <row r="17" spans="1:4" x14ac:dyDescent="0.25">
      <c r="A17" t="str">
        <f t="shared" si="0"/>
        <v>6997.3</v>
      </c>
      <c r="B17">
        <f t="shared" si="1"/>
        <v>6997.3000000000047</v>
      </c>
      <c r="D17" s="10"/>
    </row>
    <row r="18" spans="1:4" x14ac:dyDescent="0.25">
      <c r="A18" t="str">
        <f t="shared" si="0"/>
        <v>6997.4</v>
      </c>
      <c r="B18">
        <f t="shared" si="1"/>
        <v>6997.4000000000051</v>
      </c>
      <c r="D18" s="10"/>
    </row>
    <row r="19" spans="1:4" x14ac:dyDescent="0.25">
      <c r="A19" t="str">
        <f t="shared" si="0"/>
        <v>6997.5</v>
      </c>
      <c r="B19">
        <f t="shared" si="1"/>
        <v>6997.5000000000055</v>
      </c>
      <c r="D19" s="10"/>
    </row>
    <row r="20" spans="1:4" x14ac:dyDescent="0.25">
      <c r="A20" t="str">
        <f t="shared" si="0"/>
        <v>6997.6</v>
      </c>
      <c r="B20">
        <f t="shared" si="1"/>
        <v>6997.6000000000058</v>
      </c>
      <c r="D20" s="10"/>
    </row>
    <row r="21" spans="1:4" x14ac:dyDescent="0.25">
      <c r="A21" t="str">
        <f t="shared" si="0"/>
        <v>6997.7</v>
      </c>
      <c r="B21">
        <f t="shared" si="1"/>
        <v>6997.7000000000062</v>
      </c>
      <c r="D21" s="10"/>
    </row>
    <row r="22" spans="1:4" x14ac:dyDescent="0.25">
      <c r="A22" t="str">
        <f t="shared" si="0"/>
        <v>6997.8</v>
      </c>
      <c r="B22">
        <f t="shared" si="1"/>
        <v>6997.8000000000065</v>
      </c>
      <c r="D22" s="10"/>
    </row>
    <row r="23" spans="1:4" x14ac:dyDescent="0.25">
      <c r="A23" t="str">
        <f t="shared" si="0"/>
        <v>6997.9</v>
      </c>
      <c r="B23">
        <f t="shared" si="1"/>
        <v>6997.9000000000069</v>
      </c>
      <c r="D23" s="10"/>
    </row>
    <row r="24" spans="1:4" x14ac:dyDescent="0.25">
      <c r="A24" t="str">
        <f t="shared" si="0"/>
        <v>6998.0</v>
      </c>
      <c r="B24">
        <f t="shared" si="1"/>
        <v>6998.0000000000073</v>
      </c>
      <c r="D24" s="10"/>
    </row>
    <row r="25" spans="1:4" x14ac:dyDescent="0.25">
      <c r="A25" t="str">
        <f t="shared" si="0"/>
        <v>6998.1</v>
      </c>
      <c r="B25">
        <f t="shared" si="1"/>
        <v>6998.1000000000076</v>
      </c>
      <c r="D25" s="10"/>
    </row>
    <row r="26" spans="1:4" x14ac:dyDescent="0.25">
      <c r="A26" t="str">
        <f t="shared" si="0"/>
        <v>6998.2</v>
      </c>
      <c r="B26">
        <f t="shared" si="1"/>
        <v>6998.200000000008</v>
      </c>
      <c r="D26" s="10"/>
    </row>
    <row r="27" spans="1:4" x14ac:dyDescent="0.25">
      <c r="A27" t="str">
        <f t="shared" si="0"/>
        <v>6998.3</v>
      </c>
      <c r="B27">
        <f t="shared" si="1"/>
        <v>6998.3000000000084</v>
      </c>
      <c r="D27" s="10"/>
    </row>
    <row r="28" spans="1:4" x14ac:dyDescent="0.25">
      <c r="A28" t="str">
        <f t="shared" si="0"/>
        <v>6998.4</v>
      </c>
      <c r="B28">
        <f t="shared" si="1"/>
        <v>6998.4000000000087</v>
      </c>
      <c r="D28" s="10"/>
    </row>
    <row r="29" spans="1:4" x14ac:dyDescent="0.25">
      <c r="A29" t="str">
        <f t="shared" si="0"/>
        <v>6998.5</v>
      </c>
      <c r="B29">
        <f t="shared" si="1"/>
        <v>6998.5000000000091</v>
      </c>
      <c r="D29" s="10"/>
    </row>
    <row r="30" spans="1:4" x14ac:dyDescent="0.25">
      <c r="A30" t="str">
        <f t="shared" si="0"/>
        <v>6998.6</v>
      </c>
      <c r="B30">
        <f t="shared" si="1"/>
        <v>6998.6000000000095</v>
      </c>
      <c r="D30" s="10"/>
    </row>
    <row r="31" spans="1:4" x14ac:dyDescent="0.25">
      <c r="A31" t="str">
        <f t="shared" si="0"/>
        <v>6998.7</v>
      </c>
      <c r="B31">
        <f t="shared" si="1"/>
        <v>6998.7000000000098</v>
      </c>
      <c r="D31" s="10"/>
    </row>
    <row r="32" spans="1:4" x14ac:dyDescent="0.25">
      <c r="A32" t="str">
        <f t="shared" si="0"/>
        <v>6998.8</v>
      </c>
      <c r="B32">
        <f t="shared" si="1"/>
        <v>6998.8000000000102</v>
      </c>
      <c r="D32" s="10"/>
    </row>
    <row r="33" spans="1:4" x14ac:dyDescent="0.25">
      <c r="A33" t="str">
        <f t="shared" si="0"/>
        <v>6998.9</v>
      </c>
      <c r="B33">
        <f t="shared" si="1"/>
        <v>6998.9000000000106</v>
      </c>
      <c r="D33" s="10"/>
    </row>
    <row r="34" spans="1:4" x14ac:dyDescent="0.25">
      <c r="A34" t="str">
        <f t="shared" si="0"/>
        <v>6999.0</v>
      </c>
      <c r="B34">
        <f t="shared" si="1"/>
        <v>6999.0000000000109</v>
      </c>
      <c r="D34" s="10"/>
    </row>
    <row r="35" spans="1:4" x14ac:dyDescent="0.25">
      <c r="A35" t="str">
        <f t="shared" si="0"/>
        <v>6999.1</v>
      </c>
      <c r="B35">
        <f t="shared" si="1"/>
        <v>6999.1000000000113</v>
      </c>
      <c r="D35" s="10"/>
    </row>
    <row r="36" spans="1:4" x14ac:dyDescent="0.25">
      <c r="A36" t="str">
        <f t="shared" si="0"/>
        <v>6999.2</v>
      </c>
      <c r="B36">
        <f t="shared" si="1"/>
        <v>6999.2000000000116</v>
      </c>
      <c r="D36" s="10"/>
    </row>
    <row r="37" spans="1:4" x14ac:dyDescent="0.25">
      <c r="A37" t="str">
        <f t="shared" si="0"/>
        <v>6999.3</v>
      </c>
      <c r="B37">
        <f t="shared" si="1"/>
        <v>6999.300000000012</v>
      </c>
      <c r="D37" s="10"/>
    </row>
    <row r="38" spans="1:4" x14ac:dyDescent="0.25">
      <c r="A38" t="str">
        <f t="shared" si="0"/>
        <v>6999.4</v>
      </c>
      <c r="B38">
        <f t="shared" si="1"/>
        <v>6999.4000000000124</v>
      </c>
      <c r="D38" s="10"/>
    </row>
    <row r="39" spans="1:4" x14ac:dyDescent="0.25">
      <c r="A39" t="str">
        <f t="shared" si="0"/>
        <v>6999.5</v>
      </c>
      <c r="B39">
        <f t="shared" si="1"/>
        <v>6999.5000000000127</v>
      </c>
      <c r="D39" s="10"/>
    </row>
    <row r="40" spans="1:4" x14ac:dyDescent="0.25">
      <c r="A40" t="str">
        <f t="shared" si="0"/>
        <v>6999.6</v>
      </c>
      <c r="B40">
        <f t="shared" si="1"/>
        <v>6999.6000000000131</v>
      </c>
      <c r="D40" s="10"/>
    </row>
    <row r="41" spans="1:4" x14ac:dyDescent="0.25">
      <c r="A41" t="str">
        <f t="shared" si="0"/>
        <v>6999.7</v>
      </c>
      <c r="B41">
        <f t="shared" si="1"/>
        <v>6999.7000000000135</v>
      </c>
      <c r="D41" s="10"/>
    </row>
    <row r="42" spans="1:4" x14ac:dyDescent="0.25">
      <c r="A42" t="str">
        <f t="shared" si="0"/>
        <v>6999.8</v>
      </c>
      <c r="B42">
        <f t="shared" si="1"/>
        <v>6999.8000000000138</v>
      </c>
      <c r="D42" s="10"/>
    </row>
    <row r="43" spans="1:4" x14ac:dyDescent="0.25">
      <c r="A43" t="str">
        <f t="shared" si="0"/>
        <v>6999.9</v>
      </c>
      <c r="B43">
        <f t="shared" si="1"/>
        <v>6999.9000000000142</v>
      </c>
      <c r="D43" s="10"/>
    </row>
    <row r="44" spans="1:4" x14ac:dyDescent="0.25">
      <c r="A44" t="str">
        <f t="shared" si="0"/>
        <v>7000.0</v>
      </c>
      <c r="B44">
        <f t="shared" si="1"/>
        <v>7000.0000000000146</v>
      </c>
      <c r="D44" s="10"/>
    </row>
    <row r="45" spans="1:4" x14ac:dyDescent="0.25">
      <c r="A45" t="str">
        <f t="shared" si="0"/>
        <v>7000.1</v>
      </c>
      <c r="B45">
        <f t="shared" si="1"/>
        <v>7000.1000000000149</v>
      </c>
      <c r="D45" s="10"/>
    </row>
    <row r="46" spans="1:4" x14ac:dyDescent="0.25">
      <c r="A46" t="str">
        <f t="shared" si="0"/>
        <v>7000.2</v>
      </c>
      <c r="B46">
        <f t="shared" si="1"/>
        <v>7000.2000000000153</v>
      </c>
      <c r="D46" s="10"/>
    </row>
    <row r="47" spans="1:4" x14ac:dyDescent="0.25">
      <c r="A47" t="str">
        <f t="shared" si="0"/>
        <v>7000.3</v>
      </c>
      <c r="B47">
        <f t="shared" si="1"/>
        <v>7000.3000000000156</v>
      </c>
      <c r="D47" s="10"/>
    </row>
    <row r="48" spans="1:4" x14ac:dyDescent="0.25">
      <c r="A48" t="str">
        <f t="shared" si="0"/>
        <v>7000.4</v>
      </c>
      <c r="B48">
        <f t="shared" si="1"/>
        <v>7000.400000000016</v>
      </c>
      <c r="D48" s="10"/>
    </row>
    <row r="49" spans="1:4" x14ac:dyDescent="0.25">
      <c r="A49" t="str">
        <f t="shared" si="0"/>
        <v>7000.5</v>
      </c>
      <c r="B49">
        <f t="shared" si="1"/>
        <v>7000.5000000000164</v>
      </c>
      <c r="D49" s="10"/>
    </row>
    <row r="50" spans="1:4" x14ac:dyDescent="0.25">
      <c r="A50" t="str">
        <f t="shared" si="0"/>
        <v>7000.6</v>
      </c>
      <c r="B50">
        <f t="shared" si="1"/>
        <v>7000.6000000000167</v>
      </c>
      <c r="D50" s="10"/>
    </row>
    <row r="51" spans="1:4" x14ac:dyDescent="0.25">
      <c r="A51" t="str">
        <f t="shared" si="0"/>
        <v>7000.7</v>
      </c>
      <c r="B51">
        <f t="shared" si="1"/>
        <v>7000.7000000000171</v>
      </c>
      <c r="D51" s="10"/>
    </row>
    <row r="52" spans="1:4" x14ac:dyDescent="0.25">
      <c r="A52" t="str">
        <f t="shared" si="0"/>
        <v>7000.8</v>
      </c>
      <c r="B52">
        <f t="shared" si="1"/>
        <v>7000.8000000000175</v>
      </c>
      <c r="D52" s="10"/>
    </row>
    <row r="53" spans="1:4" x14ac:dyDescent="0.25">
      <c r="A53" t="str">
        <f t="shared" si="0"/>
        <v>7000.9</v>
      </c>
      <c r="B53">
        <f t="shared" si="1"/>
        <v>7000.9000000000178</v>
      </c>
      <c r="D53" s="10"/>
    </row>
    <row r="54" spans="1:4" x14ac:dyDescent="0.25">
      <c r="A54" t="str">
        <f t="shared" si="0"/>
        <v>7001.0</v>
      </c>
      <c r="B54">
        <f t="shared" si="1"/>
        <v>7001.0000000000182</v>
      </c>
      <c r="D54" s="10"/>
    </row>
    <row r="55" spans="1:4" x14ac:dyDescent="0.25">
      <c r="A55" t="str">
        <f t="shared" si="0"/>
        <v>7001.1</v>
      </c>
      <c r="B55">
        <f t="shared" si="1"/>
        <v>7001.1000000000186</v>
      </c>
      <c r="D55" s="10"/>
    </row>
    <row r="56" spans="1:4" x14ac:dyDescent="0.25">
      <c r="A56" t="str">
        <f t="shared" si="0"/>
        <v>7001.2</v>
      </c>
      <c r="B56">
        <f t="shared" si="1"/>
        <v>7001.2000000000189</v>
      </c>
      <c r="D56" s="10"/>
    </row>
    <row r="57" spans="1:4" x14ac:dyDescent="0.25">
      <c r="A57" t="str">
        <f t="shared" si="0"/>
        <v>7001.3</v>
      </c>
      <c r="B57">
        <f t="shared" si="1"/>
        <v>7001.3000000000193</v>
      </c>
      <c r="D57" s="10"/>
    </row>
    <row r="58" spans="1:4" x14ac:dyDescent="0.25">
      <c r="A58" t="str">
        <f t="shared" si="0"/>
        <v>7001.4</v>
      </c>
      <c r="B58">
        <f t="shared" si="1"/>
        <v>7001.4000000000196</v>
      </c>
      <c r="D58" s="10"/>
    </row>
    <row r="59" spans="1:4" x14ac:dyDescent="0.25">
      <c r="A59" t="str">
        <f t="shared" si="0"/>
        <v>7001.5</v>
      </c>
      <c r="B59">
        <f t="shared" si="1"/>
        <v>7001.50000000002</v>
      </c>
      <c r="D59" s="10"/>
    </row>
    <row r="60" spans="1:4" x14ac:dyDescent="0.25">
      <c r="A60" t="str">
        <f t="shared" si="0"/>
        <v>7001.6</v>
      </c>
      <c r="B60">
        <f t="shared" si="1"/>
        <v>7001.6000000000204</v>
      </c>
      <c r="D60" s="10"/>
    </row>
    <row r="61" spans="1:4" x14ac:dyDescent="0.25">
      <c r="A61" t="str">
        <f t="shared" si="0"/>
        <v>7001.7</v>
      </c>
      <c r="B61">
        <f t="shared" si="1"/>
        <v>7001.7000000000207</v>
      </c>
      <c r="D61" s="10"/>
    </row>
    <row r="62" spans="1:4" x14ac:dyDescent="0.25">
      <c r="A62" t="str">
        <f t="shared" si="0"/>
        <v>7001.8</v>
      </c>
      <c r="B62">
        <f t="shared" si="1"/>
        <v>7001.8000000000211</v>
      </c>
      <c r="D62" s="10"/>
    </row>
    <row r="63" spans="1:4" x14ac:dyDescent="0.25">
      <c r="A63" t="str">
        <f t="shared" si="0"/>
        <v>7001.9</v>
      </c>
      <c r="B63">
        <f t="shared" si="1"/>
        <v>7001.9000000000215</v>
      </c>
      <c r="D63" s="10"/>
    </row>
    <row r="64" spans="1:4" x14ac:dyDescent="0.25">
      <c r="A64" t="str">
        <f t="shared" si="0"/>
        <v>7002.0</v>
      </c>
      <c r="B64">
        <f t="shared" si="1"/>
        <v>7002.0000000000218</v>
      </c>
      <c r="D64" s="10"/>
    </row>
    <row r="65" spans="1:4" x14ac:dyDescent="0.25">
      <c r="A65" t="str">
        <f t="shared" si="0"/>
        <v>7002.1</v>
      </c>
      <c r="B65">
        <f t="shared" si="1"/>
        <v>7002.1000000000222</v>
      </c>
      <c r="D65" s="10"/>
    </row>
    <row r="66" spans="1:4" x14ac:dyDescent="0.25">
      <c r="A66" t="str">
        <f t="shared" si="0"/>
        <v>7002.2</v>
      </c>
      <c r="B66">
        <f t="shared" si="1"/>
        <v>7002.2000000000226</v>
      </c>
      <c r="D66" s="10"/>
    </row>
    <row r="67" spans="1:4" x14ac:dyDescent="0.25">
      <c r="A67" t="str">
        <f t="shared" si="0"/>
        <v>7002.3</v>
      </c>
      <c r="B67">
        <f t="shared" si="1"/>
        <v>7002.3000000000229</v>
      </c>
      <c r="D67" s="10"/>
    </row>
    <row r="68" spans="1:4" x14ac:dyDescent="0.25">
      <c r="A68" t="str">
        <f t="shared" si="0"/>
        <v>7002.4</v>
      </c>
      <c r="B68">
        <f t="shared" si="1"/>
        <v>7002.4000000000233</v>
      </c>
      <c r="D68" s="10"/>
    </row>
    <row r="69" spans="1:4" x14ac:dyDescent="0.25">
      <c r="A69" t="str">
        <f t="shared" ref="A69:A104" si="2">TEXT(B69,"0000.0")</f>
        <v>7002.5</v>
      </c>
      <c r="B69">
        <f t="shared" si="1"/>
        <v>7002.5000000000236</v>
      </c>
      <c r="D69" s="10"/>
    </row>
    <row r="70" spans="1:4" x14ac:dyDescent="0.25">
      <c r="A70" t="str">
        <f t="shared" si="2"/>
        <v>7002.6</v>
      </c>
      <c r="B70">
        <f t="shared" ref="B70:B104" si="3">B69+0.1</f>
        <v>7002.600000000024</v>
      </c>
      <c r="D70" s="10"/>
    </row>
    <row r="71" spans="1:4" x14ac:dyDescent="0.25">
      <c r="A71" t="str">
        <f t="shared" si="2"/>
        <v>7002.7</v>
      </c>
      <c r="B71">
        <f t="shared" si="3"/>
        <v>7002.7000000000244</v>
      </c>
      <c r="D71" s="10"/>
    </row>
    <row r="72" spans="1:4" x14ac:dyDescent="0.25">
      <c r="A72" t="str">
        <f t="shared" si="2"/>
        <v>7002.8</v>
      </c>
      <c r="B72">
        <f t="shared" si="3"/>
        <v>7002.8000000000247</v>
      </c>
      <c r="D72" s="10"/>
    </row>
    <row r="73" spans="1:4" x14ac:dyDescent="0.25">
      <c r="A73" t="str">
        <f t="shared" si="2"/>
        <v>7002.9</v>
      </c>
      <c r="B73">
        <f t="shared" si="3"/>
        <v>7002.9000000000251</v>
      </c>
      <c r="D73" s="10"/>
    </row>
    <row r="74" spans="1:4" x14ac:dyDescent="0.25">
      <c r="A74" t="str">
        <f t="shared" si="2"/>
        <v>7003.0</v>
      </c>
      <c r="B74">
        <f t="shared" si="3"/>
        <v>7003.0000000000255</v>
      </c>
      <c r="D74" s="10"/>
    </row>
    <row r="75" spans="1:4" x14ac:dyDescent="0.25">
      <c r="A75" t="str">
        <f t="shared" si="2"/>
        <v>7003.1</v>
      </c>
      <c r="B75">
        <f t="shared" si="3"/>
        <v>7003.1000000000258</v>
      </c>
      <c r="D75" s="10"/>
    </row>
    <row r="76" spans="1:4" x14ac:dyDescent="0.25">
      <c r="A76" t="str">
        <f t="shared" si="2"/>
        <v>7003.2</v>
      </c>
      <c r="B76">
        <f t="shared" si="3"/>
        <v>7003.2000000000262</v>
      </c>
      <c r="D76" s="10"/>
    </row>
    <row r="77" spans="1:4" x14ac:dyDescent="0.25">
      <c r="A77" t="str">
        <f t="shared" si="2"/>
        <v>7003.3</v>
      </c>
      <c r="B77">
        <f t="shared" si="3"/>
        <v>7003.3000000000266</v>
      </c>
      <c r="D77" s="10"/>
    </row>
    <row r="78" spans="1:4" x14ac:dyDescent="0.25">
      <c r="A78" t="str">
        <f t="shared" si="2"/>
        <v>7003.4</v>
      </c>
      <c r="B78">
        <f t="shared" si="3"/>
        <v>7003.4000000000269</v>
      </c>
      <c r="D78" s="10"/>
    </row>
    <row r="79" spans="1:4" x14ac:dyDescent="0.25">
      <c r="A79" t="str">
        <f t="shared" si="2"/>
        <v>7003.5</v>
      </c>
      <c r="B79">
        <f t="shared" si="3"/>
        <v>7003.5000000000273</v>
      </c>
      <c r="D79" s="10"/>
    </row>
    <row r="80" spans="1:4" x14ac:dyDescent="0.25">
      <c r="A80" t="str">
        <f t="shared" si="2"/>
        <v>7003.6</v>
      </c>
      <c r="B80">
        <f t="shared" si="3"/>
        <v>7003.6000000000276</v>
      </c>
      <c r="D80" s="10"/>
    </row>
    <row r="81" spans="1:4" x14ac:dyDescent="0.25">
      <c r="A81" t="str">
        <f t="shared" si="2"/>
        <v>7003.7</v>
      </c>
      <c r="B81">
        <f t="shared" si="3"/>
        <v>7003.700000000028</v>
      </c>
      <c r="D81" s="10"/>
    </row>
    <row r="82" spans="1:4" x14ac:dyDescent="0.25">
      <c r="A82" t="str">
        <f t="shared" si="2"/>
        <v>7003.8</v>
      </c>
      <c r="B82">
        <f t="shared" si="3"/>
        <v>7003.8000000000284</v>
      </c>
      <c r="D82" s="10"/>
    </row>
    <row r="83" spans="1:4" x14ac:dyDescent="0.25">
      <c r="A83" t="str">
        <f t="shared" si="2"/>
        <v>7003.9</v>
      </c>
      <c r="B83">
        <f t="shared" si="3"/>
        <v>7003.9000000000287</v>
      </c>
      <c r="D83" s="10"/>
    </row>
    <row r="84" spans="1:4" x14ac:dyDescent="0.25">
      <c r="A84" t="str">
        <f t="shared" si="2"/>
        <v>7004.0</v>
      </c>
      <c r="B84">
        <f t="shared" si="3"/>
        <v>7004.0000000000291</v>
      </c>
      <c r="D84" s="10"/>
    </row>
    <row r="85" spans="1:4" x14ac:dyDescent="0.25">
      <c r="A85" t="str">
        <f t="shared" si="2"/>
        <v>7004.1</v>
      </c>
      <c r="B85">
        <f t="shared" si="3"/>
        <v>7004.1000000000295</v>
      </c>
      <c r="D85" s="10"/>
    </row>
    <row r="86" spans="1:4" x14ac:dyDescent="0.25">
      <c r="A86" t="str">
        <f t="shared" si="2"/>
        <v>7004.2</v>
      </c>
      <c r="B86">
        <f t="shared" si="3"/>
        <v>7004.2000000000298</v>
      </c>
      <c r="D86" s="10"/>
    </row>
    <row r="87" spans="1:4" x14ac:dyDescent="0.25">
      <c r="A87" t="str">
        <f t="shared" si="2"/>
        <v>7004.3</v>
      </c>
      <c r="B87">
        <f t="shared" si="3"/>
        <v>7004.3000000000302</v>
      </c>
      <c r="D87" s="10"/>
    </row>
    <row r="88" spans="1:4" x14ac:dyDescent="0.25">
      <c r="A88" t="str">
        <f t="shared" si="2"/>
        <v>7004.4</v>
      </c>
      <c r="B88">
        <f t="shared" si="3"/>
        <v>7004.4000000000306</v>
      </c>
      <c r="D88" s="10"/>
    </row>
    <row r="89" spans="1:4" x14ac:dyDescent="0.25">
      <c r="A89" t="str">
        <f t="shared" si="2"/>
        <v>7004.5</v>
      </c>
      <c r="B89">
        <f t="shared" si="3"/>
        <v>7004.5000000000309</v>
      </c>
      <c r="D89" s="10"/>
    </row>
    <row r="90" spans="1:4" x14ac:dyDescent="0.25">
      <c r="A90" t="str">
        <f t="shared" si="2"/>
        <v>7004.6</v>
      </c>
      <c r="B90">
        <f t="shared" si="3"/>
        <v>7004.6000000000313</v>
      </c>
      <c r="D90" s="10"/>
    </row>
    <row r="91" spans="1:4" x14ac:dyDescent="0.25">
      <c r="A91" t="str">
        <f t="shared" si="2"/>
        <v>7004.7</v>
      </c>
      <c r="B91">
        <f t="shared" si="3"/>
        <v>7004.7000000000317</v>
      </c>
      <c r="D91" s="10"/>
    </row>
    <row r="92" spans="1:4" x14ac:dyDescent="0.25">
      <c r="A92" t="str">
        <f t="shared" si="2"/>
        <v>7004.8</v>
      </c>
      <c r="B92">
        <f t="shared" si="3"/>
        <v>7004.800000000032</v>
      </c>
      <c r="D92" s="10"/>
    </row>
    <row r="93" spans="1:4" x14ac:dyDescent="0.25">
      <c r="A93" t="str">
        <f t="shared" si="2"/>
        <v>7004.9</v>
      </c>
      <c r="B93">
        <f t="shared" si="3"/>
        <v>7004.9000000000324</v>
      </c>
      <c r="D93" s="10"/>
    </row>
    <row r="94" spans="1:4" x14ac:dyDescent="0.25">
      <c r="A94" t="str">
        <f t="shared" si="2"/>
        <v>7005.0</v>
      </c>
      <c r="B94">
        <f t="shared" si="3"/>
        <v>7005.0000000000327</v>
      </c>
      <c r="D94" s="10"/>
    </row>
    <row r="95" spans="1:4" x14ac:dyDescent="0.25">
      <c r="A95" t="str">
        <f t="shared" si="2"/>
        <v>7005.1</v>
      </c>
      <c r="B95">
        <f t="shared" si="3"/>
        <v>7005.1000000000331</v>
      </c>
      <c r="D95" s="10"/>
    </row>
    <row r="96" spans="1:4" x14ac:dyDescent="0.25">
      <c r="A96" t="str">
        <f t="shared" si="2"/>
        <v>7005.2</v>
      </c>
      <c r="B96">
        <f t="shared" si="3"/>
        <v>7005.2000000000335</v>
      </c>
      <c r="D96" s="10"/>
    </row>
    <row r="97" spans="1:4" x14ac:dyDescent="0.25">
      <c r="A97" t="str">
        <f t="shared" si="2"/>
        <v>7005.3</v>
      </c>
      <c r="B97">
        <f t="shared" si="3"/>
        <v>7005.3000000000338</v>
      </c>
      <c r="D97" s="10"/>
    </row>
    <row r="98" spans="1:4" x14ac:dyDescent="0.25">
      <c r="A98" t="str">
        <f t="shared" si="2"/>
        <v>7005.4</v>
      </c>
      <c r="B98">
        <f t="shared" si="3"/>
        <v>7005.4000000000342</v>
      </c>
      <c r="D98" s="10"/>
    </row>
    <row r="99" spans="1:4" x14ac:dyDescent="0.25">
      <c r="A99" t="str">
        <f t="shared" si="2"/>
        <v>7005.5</v>
      </c>
      <c r="B99">
        <f t="shared" si="3"/>
        <v>7005.5000000000346</v>
      </c>
      <c r="D99" s="10"/>
    </row>
    <row r="100" spans="1:4" x14ac:dyDescent="0.25">
      <c r="A100" t="str">
        <f t="shared" si="2"/>
        <v>7005.6</v>
      </c>
      <c r="B100">
        <f t="shared" si="3"/>
        <v>7005.6000000000349</v>
      </c>
      <c r="D100" s="10"/>
    </row>
    <row r="101" spans="1:4" x14ac:dyDescent="0.25">
      <c r="A101" t="str">
        <f t="shared" si="2"/>
        <v>7005.7</v>
      </c>
      <c r="B101">
        <f t="shared" si="3"/>
        <v>7005.7000000000353</v>
      </c>
      <c r="D101" s="10"/>
    </row>
    <row r="102" spans="1:4" x14ac:dyDescent="0.25">
      <c r="A102" t="str">
        <f t="shared" si="2"/>
        <v>7005.8</v>
      </c>
      <c r="B102">
        <f t="shared" si="3"/>
        <v>7005.8000000000357</v>
      </c>
      <c r="D102" s="10"/>
    </row>
    <row r="103" spans="1:4" x14ac:dyDescent="0.25">
      <c r="A103" t="str">
        <f t="shared" si="2"/>
        <v>7005.9</v>
      </c>
      <c r="B103">
        <f t="shared" si="3"/>
        <v>7005.900000000036</v>
      </c>
      <c r="D103" s="10"/>
    </row>
    <row r="104" spans="1:4" x14ac:dyDescent="0.25">
      <c r="A104" t="str">
        <f t="shared" si="2"/>
        <v>7006.0</v>
      </c>
      <c r="B104">
        <f t="shared" si="3"/>
        <v>7006.0000000000364</v>
      </c>
      <c r="D104" s="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heet5.heston_change_s3">
                <anchor moveWithCells="1" sizeWithCells="1">
                  <from>
                    <xdr:col>4</xdr:col>
                    <xdr:colOff>333375</xdr:colOff>
                    <xdr:row>3</xdr:row>
                    <xdr:rowOff>47625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104"/>
  <sheetViews>
    <sheetView workbookViewId="0">
      <selection activeCell="I22" sqref="I22"/>
    </sheetView>
  </sheetViews>
  <sheetFormatPr defaultRowHeight="15" x14ac:dyDescent="0.25"/>
  <cols>
    <col min="2" max="2" width="15.7109375" bestFit="1" customWidth="1"/>
    <col min="3" max="3" width="15.140625" bestFit="1" customWidth="1"/>
    <col min="11" max="11" width="9.85546875" bestFit="1" customWidth="1"/>
  </cols>
  <sheetData>
    <row r="1" spans="1:11" x14ac:dyDescent="0.25">
      <c r="B1" t="s">
        <v>71</v>
      </c>
      <c r="C1">
        <f>'Parameter Page'!B4</f>
        <v>2.1817099999999999E-2</v>
      </c>
      <c r="E1">
        <f>C1-0.05</f>
        <v>-2.8182900000000004E-2</v>
      </c>
      <c r="F1">
        <f>C1+0.05</f>
        <v>7.1817099999999995E-2</v>
      </c>
    </row>
    <row r="2" spans="1:11" x14ac:dyDescent="0.25">
      <c r="C2" t="s">
        <v>54</v>
      </c>
      <c r="D2">
        <f>COUNT(B4:B204)</f>
        <v>101</v>
      </c>
      <c r="J2" t="s">
        <v>55</v>
      </c>
    </row>
    <row r="3" spans="1:11" x14ac:dyDescent="0.25">
      <c r="B3" t="s">
        <v>72</v>
      </c>
      <c r="C3" t="s">
        <v>57</v>
      </c>
      <c r="I3" t="str">
        <f>B3</f>
        <v>v1(0)</v>
      </c>
      <c r="J3" t="s">
        <v>57</v>
      </c>
      <c r="K3" t="s">
        <v>59</v>
      </c>
    </row>
    <row r="4" spans="1:11" x14ac:dyDescent="0.25">
      <c r="A4" t="str">
        <f>TEXT(B4,"00.00%")</f>
        <v>-02.82%</v>
      </c>
      <c r="B4">
        <f>E1</f>
        <v>-2.8182900000000004E-2</v>
      </c>
      <c r="I4" s="13">
        <f>C1-0.01</f>
        <v>1.1817099999999999E-2</v>
      </c>
      <c r="J4">
        <v>848.75172010337462</v>
      </c>
      <c r="K4" t="s">
        <v>60</v>
      </c>
    </row>
    <row r="5" spans="1:11" x14ac:dyDescent="0.25">
      <c r="A5" t="str">
        <f t="shared" ref="A5:A68" si="0">TEXT(B5,"00.00%")</f>
        <v>-02.72%</v>
      </c>
      <c r="B5">
        <f>B4+0.001</f>
        <v>-2.7182900000000003E-2</v>
      </c>
      <c r="I5" s="13">
        <f>C1</f>
        <v>2.1817099999999999E-2</v>
      </c>
      <c r="J5">
        <v>841.20517490357088</v>
      </c>
      <c r="K5" s="11">
        <f>(J5-J4)/J4</f>
        <v>-8.8913459861790986E-3</v>
      </c>
    </row>
    <row r="6" spans="1:11" x14ac:dyDescent="0.25">
      <c r="A6" t="str">
        <f t="shared" si="0"/>
        <v>-02.62%</v>
      </c>
      <c r="B6">
        <f t="shared" ref="B6:B69" si="1">B5+0.001</f>
        <v>-2.6182900000000002E-2</v>
      </c>
      <c r="I6" s="13">
        <f>C1+0.01</f>
        <v>3.1817100000000001E-2</v>
      </c>
      <c r="J6">
        <v>834.18735985395369</v>
      </c>
      <c r="K6" s="11">
        <f>(J6-J5)/J5</f>
        <v>-8.3425723699591496E-3</v>
      </c>
    </row>
    <row r="7" spans="1:11" x14ac:dyDescent="0.25">
      <c r="A7" t="str">
        <f t="shared" si="0"/>
        <v>-02.52%</v>
      </c>
      <c r="B7">
        <f t="shared" si="1"/>
        <v>-2.5182900000000001E-2</v>
      </c>
    </row>
    <row r="8" spans="1:11" x14ac:dyDescent="0.25">
      <c r="A8" t="str">
        <f t="shared" si="0"/>
        <v>-02.42%</v>
      </c>
      <c r="B8">
        <f t="shared" si="1"/>
        <v>-2.41829E-2</v>
      </c>
    </row>
    <row r="9" spans="1:11" x14ac:dyDescent="0.25">
      <c r="A9" t="str">
        <f t="shared" si="0"/>
        <v>-02.32%</v>
      </c>
      <c r="B9">
        <f t="shared" si="1"/>
        <v>-2.3182899999999999E-2</v>
      </c>
    </row>
    <row r="10" spans="1:11" x14ac:dyDescent="0.25">
      <c r="A10" t="str">
        <f t="shared" si="0"/>
        <v>-02.22%</v>
      </c>
      <c r="B10">
        <f t="shared" si="1"/>
        <v>-2.2182899999999998E-2</v>
      </c>
    </row>
    <row r="11" spans="1:11" x14ac:dyDescent="0.25">
      <c r="A11" t="str">
        <f t="shared" si="0"/>
        <v>-02.12%</v>
      </c>
      <c r="B11">
        <f t="shared" si="1"/>
        <v>-2.1182899999999998E-2</v>
      </c>
    </row>
    <row r="12" spans="1:11" x14ac:dyDescent="0.25">
      <c r="A12" t="str">
        <f t="shared" si="0"/>
        <v>-02.02%</v>
      </c>
      <c r="B12">
        <f t="shared" si="1"/>
        <v>-2.0182899999999997E-2</v>
      </c>
    </row>
    <row r="13" spans="1:11" x14ac:dyDescent="0.25">
      <c r="A13" t="str">
        <f t="shared" si="0"/>
        <v>-01.92%</v>
      </c>
      <c r="B13">
        <f t="shared" si="1"/>
        <v>-1.9182899999999996E-2</v>
      </c>
    </row>
    <row r="14" spans="1:11" x14ac:dyDescent="0.25">
      <c r="A14" t="str">
        <f t="shared" si="0"/>
        <v>-01.82%</v>
      </c>
      <c r="B14">
        <f t="shared" si="1"/>
        <v>-1.8182899999999995E-2</v>
      </c>
    </row>
    <row r="15" spans="1:11" x14ac:dyDescent="0.25">
      <c r="A15" t="str">
        <f t="shared" si="0"/>
        <v>-01.72%</v>
      </c>
      <c r="B15">
        <f t="shared" si="1"/>
        <v>-1.7182899999999994E-2</v>
      </c>
    </row>
    <row r="16" spans="1:11" x14ac:dyDescent="0.25">
      <c r="A16" t="str">
        <f t="shared" si="0"/>
        <v>-01.62%</v>
      </c>
      <c r="B16">
        <f t="shared" si="1"/>
        <v>-1.6182899999999993E-2</v>
      </c>
    </row>
    <row r="17" spans="1:2" x14ac:dyDescent="0.25">
      <c r="A17" t="str">
        <f t="shared" si="0"/>
        <v>-01.52%</v>
      </c>
      <c r="B17">
        <f t="shared" si="1"/>
        <v>-1.5182899999999992E-2</v>
      </c>
    </row>
    <row r="18" spans="1:2" x14ac:dyDescent="0.25">
      <c r="A18" t="str">
        <f t="shared" si="0"/>
        <v>-01.42%</v>
      </c>
      <c r="B18">
        <f t="shared" si="1"/>
        <v>-1.4182899999999991E-2</v>
      </c>
    </row>
    <row r="19" spans="1:2" x14ac:dyDescent="0.25">
      <c r="A19" t="str">
        <f t="shared" si="0"/>
        <v>-01.32%</v>
      </c>
      <c r="B19">
        <f t="shared" si="1"/>
        <v>-1.318289999999999E-2</v>
      </c>
    </row>
    <row r="20" spans="1:2" x14ac:dyDescent="0.25">
      <c r="A20" t="str">
        <f t="shared" si="0"/>
        <v>-01.22%</v>
      </c>
      <c r="B20">
        <f t="shared" si="1"/>
        <v>-1.218289999999999E-2</v>
      </c>
    </row>
    <row r="21" spans="1:2" x14ac:dyDescent="0.25">
      <c r="A21" t="str">
        <f t="shared" si="0"/>
        <v>-01.12%</v>
      </c>
      <c r="B21">
        <f t="shared" si="1"/>
        <v>-1.1182899999999989E-2</v>
      </c>
    </row>
    <row r="22" spans="1:2" x14ac:dyDescent="0.25">
      <c r="A22" t="str">
        <f t="shared" si="0"/>
        <v>-01.02%</v>
      </c>
      <c r="B22">
        <f t="shared" si="1"/>
        <v>-1.0182899999999988E-2</v>
      </c>
    </row>
    <row r="23" spans="1:2" x14ac:dyDescent="0.25">
      <c r="A23" t="str">
        <f t="shared" si="0"/>
        <v>-00.92%</v>
      </c>
      <c r="B23">
        <f t="shared" si="1"/>
        <v>-9.1828999999999869E-3</v>
      </c>
    </row>
    <row r="24" spans="1:2" x14ac:dyDescent="0.25">
      <c r="A24" t="str">
        <f t="shared" si="0"/>
        <v>-00.82%</v>
      </c>
      <c r="B24">
        <f t="shared" si="1"/>
        <v>-8.182899999999986E-3</v>
      </c>
    </row>
    <row r="25" spans="1:2" x14ac:dyDescent="0.25">
      <c r="A25" t="str">
        <f t="shared" si="0"/>
        <v>-00.72%</v>
      </c>
      <c r="B25">
        <f t="shared" si="1"/>
        <v>-7.182899999999986E-3</v>
      </c>
    </row>
    <row r="26" spans="1:2" x14ac:dyDescent="0.25">
      <c r="A26" t="str">
        <f t="shared" si="0"/>
        <v>-00.62%</v>
      </c>
      <c r="B26">
        <f t="shared" si="1"/>
        <v>-6.182899999999986E-3</v>
      </c>
    </row>
    <row r="27" spans="1:2" x14ac:dyDescent="0.25">
      <c r="A27" t="str">
        <f t="shared" si="0"/>
        <v>-00.52%</v>
      </c>
      <c r="B27">
        <f t="shared" si="1"/>
        <v>-5.182899999999986E-3</v>
      </c>
    </row>
    <row r="28" spans="1:2" x14ac:dyDescent="0.25">
      <c r="A28" t="str">
        <f t="shared" si="0"/>
        <v>-00.42%</v>
      </c>
      <c r="B28">
        <f t="shared" si="1"/>
        <v>-4.1828999999999859E-3</v>
      </c>
    </row>
    <row r="29" spans="1:2" x14ac:dyDescent="0.25">
      <c r="A29" t="str">
        <f t="shared" si="0"/>
        <v>-00.32%</v>
      </c>
      <c r="B29">
        <f t="shared" si="1"/>
        <v>-3.1828999999999859E-3</v>
      </c>
    </row>
    <row r="30" spans="1:2" x14ac:dyDescent="0.25">
      <c r="A30" t="str">
        <f t="shared" si="0"/>
        <v>-00.22%</v>
      </c>
      <c r="B30">
        <f t="shared" si="1"/>
        <v>-2.1828999999999859E-3</v>
      </c>
    </row>
    <row r="31" spans="1:2" x14ac:dyDescent="0.25">
      <c r="A31" t="str">
        <f t="shared" si="0"/>
        <v>-00.12%</v>
      </c>
      <c r="B31">
        <f t="shared" si="1"/>
        <v>-1.1828999999999859E-3</v>
      </c>
    </row>
    <row r="32" spans="1:2" x14ac:dyDescent="0.25">
      <c r="A32" t="str">
        <f t="shared" si="0"/>
        <v>-00.02%</v>
      </c>
      <c r="B32">
        <f t="shared" si="1"/>
        <v>-1.8289999999998585E-4</v>
      </c>
    </row>
    <row r="33" spans="1:2" x14ac:dyDescent="0.25">
      <c r="A33" t="str">
        <f t="shared" si="0"/>
        <v>00.08%</v>
      </c>
      <c r="B33">
        <f t="shared" si="1"/>
        <v>8.1710000000001417E-4</v>
      </c>
    </row>
    <row r="34" spans="1:2" x14ac:dyDescent="0.25">
      <c r="A34" t="str">
        <f t="shared" si="0"/>
        <v>00.18%</v>
      </c>
      <c r="B34">
        <f t="shared" si="1"/>
        <v>1.8171000000000142E-3</v>
      </c>
    </row>
    <row r="35" spans="1:2" x14ac:dyDescent="0.25">
      <c r="A35" t="str">
        <f t="shared" si="0"/>
        <v>00.28%</v>
      </c>
      <c r="B35">
        <f t="shared" si="1"/>
        <v>2.8171000000000142E-3</v>
      </c>
    </row>
    <row r="36" spans="1:2" x14ac:dyDescent="0.25">
      <c r="A36" t="str">
        <f t="shared" si="0"/>
        <v>00.38%</v>
      </c>
      <c r="B36">
        <f t="shared" si="1"/>
        <v>3.8171000000000142E-3</v>
      </c>
    </row>
    <row r="37" spans="1:2" x14ac:dyDescent="0.25">
      <c r="A37" t="str">
        <f t="shared" si="0"/>
        <v>00.48%</v>
      </c>
      <c r="B37">
        <f t="shared" si="1"/>
        <v>4.8171000000000143E-3</v>
      </c>
    </row>
    <row r="38" spans="1:2" x14ac:dyDescent="0.25">
      <c r="A38" t="str">
        <f t="shared" si="0"/>
        <v>00.58%</v>
      </c>
      <c r="B38">
        <f t="shared" si="1"/>
        <v>5.8171000000000143E-3</v>
      </c>
    </row>
    <row r="39" spans="1:2" x14ac:dyDescent="0.25">
      <c r="A39" t="str">
        <f t="shared" si="0"/>
        <v>00.68%</v>
      </c>
      <c r="B39">
        <f t="shared" si="1"/>
        <v>6.8171000000000143E-3</v>
      </c>
    </row>
    <row r="40" spans="1:2" x14ac:dyDescent="0.25">
      <c r="A40" t="str">
        <f t="shared" si="0"/>
        <v>00.78%</v>
      </c>
      <c r="B40">
        <f t="shared" si="1"/>
        <v>7.8171000000000143E-3</v>
      </c>
    </row>
    <row r="41" spans="1:2" x14ac:dyDescent="0.25">
      <c r="A41" t="str">
        <f t="shared" si="0"/>
        <v>00.88%</v>
      </c>
      <c r="B41">
        <f t="shared" si="1"/>
        <v>8.8171000000000152E-3</v>
      </c>
    </row>
    <row r="42" spans="1:2" x14ac:dyDescent="0.25">
      <c r="A42" t="str">
        <f t="shared" si="0"/>
        <v>00.98%</v>
      </c>
      <c r="B42">
        <f t="shared" si="1"/>
        <v>9.8171000000000161E-3</v>
      </c>
    </row>
    <row r="43" spans="1:2" x14ac:dyDescent="0.25">
      <c r="A43" t="str">
        <f t="shared" si="0"/>
        <v>01.08%</v>
      </c>
      <c r="B43">
        <f t="shared" si="1"/>
        <v>1.0817100000000017E-2</v>
      </c>
    </row>
    <row r="44" spans="1:2" x14ac:dyDescent="0.25">
      <c r="A44" t="str">
        <f t="shared" si="0"/>
        <v>01.18%</v>
      </c>
      <c r="B44">
        <f t="shared" si="1"/>
        <v>1.1817100000000018E-2</v>
      </c>
    </row>
    <row r="45" spans="1:2" x14ac:dyDescent="0.25">
      <c r="A45" t="str">
        <f t="shared" si="0"/>
        <v>01.28%</v>
      </c>
      <c r="B45">
        <f t="shared" si="1"/>
        <v>1.2817100000000019E-2</v>
      </c>
    </row>
    <row r="46" spans="1:2" x14ac:dyDescent="0.25">
      <c r="A46" t="str">
        <f t="shared" si="0"/>
        <v>01.38%</v>
      </c>
      <c r="B46">
        <f t="shared" si="1"/>
        <v>1.381710000000002E-2</v>
      </c>
    </row>
    <row r="47" spans="1:2" x14ac:dyDescent="0.25">
      <c r="A47" t="str">
        <f t="shared" si="0"/>
        <v>01.48%</v>
      </c>
      <c r="B47">
        <f t="shared" si="1"/>
        <v>1.4817100000000021E-2</v>
      </c>
    </row>
    <row r="48" spans="1:2" x14ac:dyDescent="0.25">
      <c r="A48" t="str">
        <f t="shared" si="0"/>
        <v>01.58%</v>
      </c>
      <c r="B48">
        <f t="shared" si="1"/>
        <v>1.5817100000000021E-2</v>
      </c>
    </row>
    <row r="49" spans="1:2" x14ac:dyDescent="0.25">
      <c r="A49" t="str">
        <f t="shared" si="0"/>
        <v>01.68%</v>
      </c>
      <c r="B49">
        <f t="shared" si="1"/>
        <v>1.6817100000000022E-2</v>
      </c>
    </row>
    <row r="50" spans="1:2" x14ac:dyDescent="0.25">
      <c r="A50" t="str">
        <f t="shared" si="0"/>
        <v>01.78%</v>
      </c>
      <c r="B50">
        <f t="shared" si="1"/>
        <v>1.7817100000000023E-2</v>
      </c>
    </row>
    <row r="51" spans="1:2" x14ac:dyDescent="0.25">
      <c r="A51" t="str">
        <f t="shared" si="0"/>
        <v>01.88%</v>
      </c>
      <c r="B51">
        <f t="shared" si="1"/>
        <v>1.8817100000000024E-2</v>
      </c>
    </row>
    <row r="52" spans="1:2" x14ac:dyDescent="0.25">
      <c r="A52" t="str">
        <f t="shared" si="0"/>
        <v>01.98%</v>
      </c>
      <c r="B52">
        <f t="shared" si="1"/>
        <v>1.9817100000000025E-2</v>
      </c>
    </row>
    <row r="53" spans="1:2" x14ac:dyDescent="0.25">
      <c r="A53" t="str">
        <f t="shared" si="0"/>
        <v>02.08%</v>
      </c>
      <c r="B53">
        <f t="shared" si="1"/>
        <v>2.0817100000000026E-2</v>
      </c>
    </row>
    <row r="54" spans="1:2" x14ac:dyDescent="0.25">
      <c r="A54" t="str">
        <f t="shared" si="0"/>
        <v>02.18%</v>
      </c>
      <c r="B54">
        <f t="shared" si="1"/>
        <v>2.1817100000000027E-2</v>
      </c>
    </row>
    <row r="55" spans="1:2" x14ac:dyDescent="0.25">
      <c r="A55" t="str">
        <f t="shared" si="0"/>
        <v>02.28%</v>
      </c>
      <c r="B55">
        <f t="shared" si="1"/>
        <v>2.2817100000000028E-2</v>
      </c>
    </row>
    <row r="56" spans="1:2" x14ac:dyDescent="0.25">
      <c r="A56" t="str">
        <f t="shared" si="0"/>
        <v>02.38%</v>
      </c>
      <c r="B56">
        <f t="shared" si="1"/>
        <v>2.3817100000000029E-2</v>
      </c>
    </row>
    <row r="57" spans="1:2" x14ac:dyDescent="0.25">
      <c r="A57" t="str">
        <f t="shared" si="0"/>
        <v>02.48%</v>
      </c>
      <c r="B57">
        <f t="shared" si="1"/>
        <v>2.4817100000000029E-2</v>
      </c>
    </row>
    <row r="58" spans="1:2" x14ac:dyDescent="0.25">
      <c r="A58" t="str">
        <f t="shared" si="0"/>
        <v>02.58%</v>
      </c>
      <c r="B58">
        <f t="shared" si="1"/>
        <v>2.581710000000003E-2</v>
      </c>
    </row>
    <row r="59" spans="1:2" x14ac:dyDescent="0.25">
      <c r="A59" t="str">
        <f t="shared" si="0"/>
        <v>02.68%</v>
      </c>
      <c r="B59">
        <f t="shared" si="1"/>
        <v>2.6817100000000031E-2</v>
      </c>
    </row>
    <row r="60" spans="1:2" x14ac:dyDescent="0.25">
      <c r="A60" t="str">
        <f t="shared" si="0"/>
        <v>02.78%</v>
      </c>
      <c r="B60">
        <f t="shared" si="1"/>
        <v>2.7817100000000032E-2</v>
      </c>
    </row>
    <row r="61" spans="1:2" x14ac:dyDescent="0.25">
      <c r="A61" t="str">
        <f t="shared" si="0"/>
        <v>02.88%</v>
      </c>
      <c r="B61">
        <f t="shared" si="1"/>
        <v>2.8817100000000033E-2</v>
      </c>
    </row>
    <row r="62" spans="1:2" x14ac:dyDescent="0.25">
      <c r="A62" t="str">
        <f t="shared" si="0"/>
        <v>02.98%</v>
      </c>
      <c r="B62">
        <f t="shared" si="1"/>
        <v>2.9817100000000034E-2</v>
      </c>
    </row>
    <row r="63" spans="1:2" x14ac:dyDescent="0.25">
      <c r="A63" t="str">
        <f t="shared" si="0"/>
        <v>03.08%</v>
      </c>
      <c r="B63">
        <f t="shared" si="1"/>
        <v>3.0817100000000035E-2</v>
      </c>
    </row>
    <row r="64" spans="1:2" x14ac:dyDescent="0.25">
      <c r="A64" t="str">
        <f t="shared" si="0"/>
        <v>03.18%</v>
      </c>
      <c r="B64">
        <f t="shared" si="1"/>
        <v>3.1817100000000036E-2</v>
      </c>
    </row>
    <row r="65" spans="1:2" x14ac:dyDescent="0.25">
      <c r="A65" t="str">
        <f t="shared" si="0"/>
        <v>03.28%</v>
      </c>
      <c r="B65">
        <f t="shared" si="1"/>
        <v>3.2817100000000037E-2</v>
      </c>
    </row>
    <row r="66" spans="1:2" x14ac:dyDescent="0.25">
      <c r="A66" t="str">
        <f t="shared" si="0"/>
        <v>03.38%</v>
      </c>
      <c r="B66">
        <f t="shared" si="1"/>
        <v>3.3817100000000037E-2</v>
      </c>
    </row>
    <row r="67" spans="1:2" x14ac:dyDescent="0.25">
      <c r="A67" t="str">
        <f t="shared" si="0"/>
        <v>03.48%</v>
      </c>
      <c r="B67">
        <f t="shared" si="1"/>
        <v>3.4817100000000038E-2</v>
      </c>
    </row>
    <row r="68" spans="1:2" x14ac:dyDescent="0.25">
      <c r="A68" t="str">
        <f t="shared" si="0"/>
        <v>03.58%</v>
      </c>
      <c r="B68">
        <f t="shared" si="1"/>
        <v>3.5817100000000039E-2</v>
      </c>
    </row>
    <row r="69" spans="1:2" x14ac:dyDescent="0.25">
      <c r="A69" t="str">
        <f t="shared" ref="A69:A104" si="2">TEXT(B69,"00.00%")</f>
        <v>03.68%</v>
      </c>
      <c r="B69">
        <f t="shared" si="1"/>
        <v>3.681710000000004E-2</v>
      </c>
    </row>
    <row r="70" spans="1:2" x14ac:dyDescent="0.25">
      <c r="A70" t="str">
        <f t="shared" si="2"/>
        <v>03.78%</v>
      </c>
      <c r="B70">
        <f t="shared" ref="B70:B104" si="3">B69+0.001</f>
        <v>3.7817100000000041E-2</v>
      </c>
    </row>
    <row r="71" spans="1:2" x14ac:dyDescent="0.25">
      <c r="A71" t="str">
        <f t="shared" si="2"/>
        <v>03.88%</v>
      </c>
      <c r="B71">
        <f t="shared" si="3"/>
        <v>3.8817100000000042E-2</v>
      </c>
    </row>
    <row r="72" spans="1:2" x14ac:dyDescent="0.25">
      <c r="A72" t="str">
        <f t="shared" si="2"/>
        <v>03.98%</v>
      </c>
      <c r="B72">
        <f t="shared" si="3"/>
        <v>3.9817100000000043E-2</v>
      </c>
    </row>
    <row r="73" spans="1:2" x14ac:dyDescent="0.25">
      <c r="A73" t="str">
        <f t="shared" si="2"/>
        <v>04.08%</v>
      </c>
      <c r="B73">
        <f t="shared" si="3"/>
        <v>4.0817100000000044E-2</v>
      </c>
    </row>
    <row r="74" spans="1:2" x14ac:dyDescent="0.25">
      <c r="A74" t="str">
        <f t="shared" si="2"/>
        <v>04.18%</v>
      </c>
      <c r="B74">
        <f t="shared" si="3"/>
        <v>4.1817100000000045E-2</v>
      </c>
    </row>
    <row r="75" spans="1:2" x14ac:dyDescent="0.25">
      <c r="A75" t="str">
        <f t="shared" si="2"/>
        <v>04.28%</v>
      </c>
      <c r="B75">
        <f t="shared" si="3"/>
        <v>4.2817100000000045E-2</v>
      </c>
    </row>
    <row r="76" spans="1:2" x14ac:dyDescent="0.25">
      <c r="A76" t="str">
        <f t="shared" si="2"/>
        <v>04.38%</v>
      </c>
      <c r="B76">
        <f t="shared" si="3"/>
        <v>4.3817100000000046E-2</v>
      </c>
    </row>
    <row r="77" spans="1:2" x14ac:dyDescent="0.25">
      <c r="A77" t="str">
        <f t="shared" si="2"/>
        <v>04.48%</v>
      </c>
      <c r="B77">
        <f t="shared" si="3"/>
        <v>4.4817100000000047E-2</v>
      </c>
    </row>
    <row r="78" spans="1:2" x14ac:dyDescent="0.25">
      <c r="A78" t="str">
        <f t="shared" si="2"/>
        <v>04.58%</v>
      </c>
      <c r="B78">
        <f t="shared" si="3"/>
        <v>4.5817100000000048E-2</v>
      </c>
    </row>
    <row r="79" spans="1:2" x14ac:dyDescent="0.25">
      <c r="A79" t="str">
        <f t="shared" si="2"/>
        <v>04.68%</v>
      </c>
      <c r="B79">
        <f t="shared" si="3"/>
        <v>4.6817100000000049E-2</v>
      </c>
    </row>
    <row r="80" spans="1:2" x14ac:dyDescent="0.25">
      <c r="A80" t="str">
        <f t="shared" si="2"/>
        <v>04.78%</v>
      </c>
      <c r="B80">
        <f t="shared" si="3"/>
        <v>4.781710000000005E-2</v>
      </c>
    </row>
    <row r="81" spans="1:2" x14ac:dyDescent="0.25">
      <c r="A81" t="str">
        <f t="shared" si="2"/>
        <v>04.88%</v>
      </c>
      <c r="B81">
        <f t="shared" si="3"/>
        <v>4.8817100000000051E-2</v>
      </c>
    </row>
    <row r="82" spans="1:2" x14ac:dyDescent="0.25">
      <c r="A82" t="str">
        <f t="shared" si="2"/>
        <v>04.98%</v>
      </c>
      <c r="B82">
        <f t="shared" si="3"/>
        <v>4.9817100000000052E-2</v>
      </c>
    </row>
    <row r="83" spans="1:2" x14ac:dyDescent="0.25">
      <c r="A83" t="str">
        <f t="shared" si="2"/>
        <v>05.08%</v>
      </c>
      <c r="B83">
        <f t="shared" si="3"/>
        <v>5.0817100000000053E-2</v>
      </c>
    </row>
    <row r="84" spans="1:2" x14ac:dyDescent="0.25">
      <c r="A84" t="str">
        <f t="shared" si="2"/>
        <v>05.18%</v>
      </c>
      <c r="B84">
        <f t="shared" si="3"/>
        <v>5.1817100000000053E-2</v>
      </c>
    </row>
    <row r="85" spans="1:2" x14ac:dyDescent="0.25">
      <c r="A85" t="str">
        <f t="shared" si="2"/>
        <v>05.28%</v>
      </c>
      <c r="B85">
        <f t="shared" si="3"/>
        <v>5.2817100000000054E-2</v>
      </c>
    </row>
    <row r="86" spans="1:2" x14ac:dyDescent="0.25">
      <c r="A86" t="str">
        <f t="shared" si="2"/>
        <v>05.38%</v>
      </c>
      <c r="B86">
        <f t="shared" si="3"/>
        <v>5.3817100000000055E-2</v>
      </c>
    </row>
    <row r="87" spans="1:2" x14ac:dyDescent="0.25">
      <c r="A87" t="str">
        <f t="shared" si="2"/>
        <v>05.48%</v>
      </c>
      <c r="B87">
        <f t="shared" si="3"/>
        <v>5.4817100000000056E-2</v>
      </c>
    </row>
    <row r="88" spans="1:2" x14ac:dyDescent="0.25">
      <c r="A88" t="str">
        <f t="shared" si="2"/>
        <v>05.58%</v>
      </c>
      <c r="B88">
        <f t="shared" si="3"/>
        <v>5.5817100000000057E-2</v>
      </c>
    </row>
    <row r="89" spans="1:2" x14ac:dyDescent="0.25">
      <c r="A89" t="str">
        <f t="shared" si="2"/>
        <v>05.68%</v>
      </c>
      <c r="B89">
        <f t="shared" si="3"/>
        <v>5.6817100000000058E-2</v>
      </c>
    </row>
    <row r="90" spans="1:2" x14ac:dyDescent="0.25">
      <c r="A90" t="str">
        <f t="shared" si="2"/>
        <v>05.78%</v>
      </c>
      <c r="B90">
        <f t="shared" si="3"/>
        <v>5.7817100000000059E-2</v>
      </c>
    </row>
    <row r="91" spans="1:2" x14ac:dyDescent="0.25">
      <c r="A91" t="str">
        <f t="shared" si="2"/>
        <v>05.88%</v>
      </c>
      <c r="B91">
        <f t="shared" si="3"/>
        <v>5.881710000000006E-2</v>
      </c>
    </row>
    <row r="92" spans="1:2" x14ac:dyDescent="0.25">
      <c r="A92" t="str">
        <f t="shared" si="2"/>
        <v>05.98%</v>
      </c>
      <c r="B92">
        <f t="shared" si="3"/>
        <v>5.9817100000000061E-2</v>
      </c>
    </row>
    <row r="93" spans="1:2" x14ac:dyDescent="0.25">
      <c r="A93" t="str">
        <f t="shared" si="2"/>
        <v>06.08%</v>
      </c>
      <c r="B93">
        <f t="shared" si="3"/>
        <v>6.0817100000000061E-2</v>
      </c>
    </row>
    <row r="94" spans="1:2" x14ac:dyDescent="0.25">
      <c r="A94" t="str">
        <f t="shared" si="2"/>
        <v>06.18%</v>
      </c>
      <c r="B94">
        <f t="shared" si="3"/>
        <v>6.1817100000000062E-2</v>
      </c>
    </row>
    <row r="95" spans="1:2" x14ac:dyDescent="0.25">
      <c r="A95" t="str">
        <f t="shared" si="2"/>
        <v>06.28%</v>
      </c>
      <c r="B95">
        <f t="shared" si="3"/>
        <v>6.2817100000000056E-2</v>
      </c>
    </row>
    <row r="96" spans="1:2" x14ac:dyDescent="0.25">
      <c r="A96" t="str">
        <f t="shared" si="2"/>
        <v>06.38%</v>
      </c>
      <c r="B96">
        <f t="shared" si="3"/>
        <v>6.3817100000000057E-2</v>
      </c>
    </row>
    <row r="97" spans="1:2" x14ac:dyDescent="0.25">
      <c r="A97" t="str">
        <f t="shared" si="2"/>
        <v>06.48%</v>
      </c>
      <c r="B97">
        <f t="shared" si="3"/>
        <v>6.4817100000000058E-2</v>
      </c>
    </row>
    <row r="98" spans="1:2" x14ac:dyDescent="0.25">
      <c r="A98" t="str">
        <f t="shared" si="2"/>
        <v>06.58%</v>
      </c>
      <c r="B98">
        <f t="shared" si="3"/>
        <v>6.5817100000000059E-2</v>
      </c>
    </row>
    <row r="99" spans="1:2" x14ac:dyDescent="0.25">
      <c r="A99" t="str">
        <f t="shared" si="2"/>
        <v>06.68%</v>
      </c>
      <c r="B99">
        <f t="shared" si="3"/>
        <v>6.681710000000006E-2</v>
      </c>
    </row>
    <row r="100" spans="1:2" x14ac:dyDescent="0.25">
      <c r="A100" t="str">
        <f t="shared" si="2"/>
        <v>06.78%</v>
      </c>
      <c r="B100">
        <f t="shared" si="3"/>
        <v>6.7817100000000061E-2</v>
      </c>
    </row>
    <row r="101" spans="1:2" x14ac:dyDescent="0.25">
      <c r="A101" t="str">
        <f t="shared" si="2"/>
        <v>06.88%</v>
      </c>
      <c r="B101">
        <f t="shared" si="3"/>
        <v>6.8817100000000062E-2</v>
      </c>
    </row>
    <row r="102" spans="1:2" x14ac:dyDescent="0.25">
      <c r="A102" t="str">
        <f t="shared" si="2"/>
        <v>06.98%</v>
      </c>
      <c r="B102">
        <f t="shared" si="3"/>
        <v>6.9817100000000062E-2</v>
      </c>
    </row>
    <row r="103" spans="1:2" x14ac:dyDescent="0.25">
      <c r="A103" t="str">
        <f t="shared" si="2"/>
        <v>07.08%</v>
      </c>
      <c r="B103">
        <f t="shared" si="3"/>
        <v>7.0817100000000063E-2</v>
      </c>
    </row>
    <row r="104" spans="1:2" x14ac:dyDescent="0.25">
      <c r="A104" t="str">
        <f t="shared" si="2"/>
        <v>07.18%</v>
      </c>
      <c r="B104">
        <f t="shared" si="3"/>
        <v>7.1817100000000064E-2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Sheet7.heston_change_v10">
                <anchor moveWithCells="1" sizeWithCells="1">
                  <from>
                    <xdr:col>5</xdr:col>
                    <xdr:colOff>28575</xdr:colOff>
                    <xdr:row>7</xdr:row>
                    <xdr:rowOff>123825</xdr:rowOff>
                  </from>
                  <to>
                    <xdr:col>7</xdr:col>
                    <xdr:colOff>133350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104"/>
  <sheetViews>
    <sheetView workbookViewId="0">
      <selection activeCell="F16" sqref="F16"/>
    </sheetView>
  </sheetViews>
  <sheetFormatPr defaultRowHeight="15" x14ac:dyDescent="0.25"/>
  <cols>
    <col min="2" max="2" width="15.7109375" bestFit="1" customWidth="1"/>
    <col min="3" max="3" width="15.140625" bestFit="1" customWidth="1"/>
    <col min="11" max="11" width="9.85546875" bestFit="1" customWidth="1"/>
  </cols>
  <sheetData>
    <row r="1" spans="1:11" x14ac:dyDescent="0.25">
      <c r="B1" t="s">
        <v>73</v>
      </c>
      <c r="C1">
        <f>'Parameter Page'!E4</f>
        <v>3.0805300000000001E-2</v>
      </c>
      <c r="E1">
        <f>C1-0.05</f>
        <v>-1.9194700000000002E-2</v>
      </c>
      <c r="F1">
        <f>C1+0.05</f>
        <v>8.0805299999999997E-2</v>
      </c>
    </row>
    <row r="2" spans="1:11" x14ac:dyDescent="0.25">
      <c r="C2" t="s">
        <v>54</v>
      </c>
      <c r="D2">
        <f>COUNT(B4:B204)</f>
        <v>101</v>
      </c>
      <c r="J2" t="s">
        <v>55</v>
      </c>
    </row>
    <row r="3" spans="1:11" x14ac:dyDescent="0.25">
      <c r="B3" t="s">
        <v>74</v>
      </c>
      <c r="C3" t="s">
        <v>57</v>
      </c>
      <c r="I3" t="str">
        <f>B3</f>
        <v>v2(0)</v>
      </c>
      <c r="J3" t="s">
        <v>57</v>
      </c>
      <c r="K3" t="s">
        <v>59</v>
      </c>
    </row>
    <row r="4" spans="1:11" x14ac:dyDescent="0.25">
      <c r="A4" t="str">
        <f>TEXT(B4,"00.00%")</f>
        <v>-01.92%</v>
      </c>
      <c r="B4">
        <f>E1</f>
        <v>-1.9194700000000002E-2</v>
      </c>
      <c r="I4" s="13">
        <f>C1-0.01</f>
        <v>2.0805299999999999E-2</v>
      </c>
      <c r="J4">
        <v>844.87236699330992</v>
      </c>
      <c r="K4" t="s">
        <v>60</v>
      </c>
    </row>
    <row r="5" spans="1:11" x14ac:dyDescent="0.25">
      <c r="A5" t="str">
        <f t="shared" ref="A5:A68" si="0">TEXT(B5,"00.00%")</f>
        <v>-01.82%</v>
      </c>
      <c r="B5">
        <f>B4+0.001</f>
        <v>-1.8194700000000001E-2</v>
      </c>
      <c r="I5" s="13">
        <f>C1</f>
        <v>3.0805300000000001E-2</v>
      </c>
      <c r="J5">
        <v>841.86247205558016</v>
      </c>
      <c r="K5" s="11">
        <f>(J5-J4)/J4</f>
        <v>-3.5625439478405882E-3</v>
      </c>
    </row>
    <row r="6" spans="1:11" x14ac:dyDescent="0.25">
      <c r="A6" t="str">
        <f t="shared" si="0"/>
        <v>-01.72%</v>
      </c>
      <c r="B6">
        <f t="shared" ref="B6:B69" si="1">B5+0.001</f>
        <v>-1.71947E-2</v>
      </c>
      <c r="I6" s="13">
        <f>C1+0.01</f>
        <v>4.0805300000000003E-2</v>
      </c>
      <c r="J6">
        <v>838.31185247756866</v>
      </c>
      <c r="K6" s="11">
        <f>(J6-J5)/J5</f>
        <v>-4.2175767371384603E-3</v>
      </c>
    </row>
    <row r="7" spans="1:11" x14ac:dyDescent="0.25">
      <c r="A7" t="str">
        <f t="shared" si="0"/>
        <v>-01.62%</v>
      </c>
      <c r="B7">
        <f t="shared" si="1"/>
        <v>-1.6194699999999999E-2</v>
      </c>
    </row>
    <row r="8" spans="1:11" x14ac:dyDescent="0.25">
      <c r="A8" t="str">
        <f t="shared" si="0"/>
        <v>-01.52%</v>
      </c>
      <c r="B8">
        <f t="shared" si="1"/>
        <v>-1.5194699999999998E-2</v>
      </c>
    </row>
    <row r="9" spans="1:11" x14ac:dyDescent="0.25">
      <c r="A9" t="str">
        <f t="shared" si="0"/>
        <v>-01.42%</v>
      </c>
      <c r="B9">
        <f t="shared" si="1"/>
        <v>-1.4194699999999998E-2</v>
      </c>
    </row>
    <row r="10" spans="1:11" x14ac:dyDescent="0.25">
      <c r="A10" t="str">
        <f t="shared" si="0"/>
        <v>-01.32%</v>
      </c>
      <c r="B10">
        <f t="shared" si="1"/>
        <v>-1.3194699999999997E-2</v>
      </c>
    </row>
    <row r="11" spans="1:11" x14ac:dyDescent="0.25">
      <c r="A11" t="str">
        <f t="shared" si="0"/>
        <v>-01.22%</v>
      </c>
      <c r="B11">
        <f t="shared" si="1"/>
        <v>-1.2194699999999996E-2</v>
      </c>
    </row>
    <row r="12" spans="1:11" x14ac:dyDescent="0.25">
      <c r="A12" t="str">
        <f t="shared" si="0"/>
        <v>-01.12%</v>
      </c>
      <c r="B12">
        <f t="shared" si="1"/>
        <v>-1.1194699999999995E-2</v>
      </c>
    </row>
    <row r="13" spans="1:11" x14ac:dyDescent="0.25">
      <c r="A13" t="str">
        <f t="shared" si="0"/>
        <v>-01.02%</v>
      </c>
      <c r="B13">
        <f t="shared" si="1"/>
        <v>-1.0194699999999994E-2</v>
      </c>
    </row>
    <row r="14" spans="1:11" x14ac:dyDescent="0.25">
      <c r="A14" t="str">
        <f t="shared" si="0"/>
        <v>-00.92%</v>
      </c>
      <c r="B14">
        <f t="shared" si="1"/>
        <v>-9.1946999999999932E-3</v>
      </c>
    </row>
    <row r="15" spans="1:11" x14ac:dyDescent="0.25">
      <c r="A15" t="str">
        <f t="shared" si="0"/>
        <v>-00.82%</v>
      </c>
      <c r="B15">
        <f t="shared" si="1"/>
        <v>-8.1946999999999923E-3</v>
      </c>
    </row>
    <row r="16" spans="1:11" x14ac:dyDescent="0.25">
      <c r="A16" t="str">
        <f t="shared" si="0"/>
        <v>-00.72%</v>
      </c>
      <c r="B16">
        <f t="shared" si="1"/>
        <v>-7.1946999999999922E-3</v>
      </c>
    </row>
    <row r="17" spans="1:2" x14ac:dyDescent="0.25">
      <c r="A17" t="str">
        <f t="shared" si="0"/>
        <v>-00.62%</v>
      </c>
      <c r="B17">
        <f t="shared" si="1"/>
        <v>-6.1946999999999922E-3</v>
      </c>
    </row>
    <row r="18" spans="1:2" x14ac:dyDescent="0.25">
      <c r="A18" t="str">
        <f t="shared" si="0"/>
        <v>-00.52%</v>
      </c>
      <c r="B18">
        <f t="shared" si="1"/>
        <v>-5.1946999999999922E-3</v>
      </c>
    </row>
    <row r="19" spans="1:2" x14ac:dyDescent="0.25">
      <c r="A19" t="str">
        <f t="shared" si="0"/>
        <v>-00.42%</v>
      </c>
      <c r="B19">
        <f t="shared" si="1"/>
        <v>-4.1946999999999922E-3</v>
      </c>
    </row>
    <row r="20" spans="1:2" x14ac:dyDescent="0.25">
      <c r="A20" t="str">
        <f t="shared" si="0"/>
        <v>-00.32%</v>
      </c>
      <c r="B20">
        <f t="shared" si="1"/>
        <v>-3.1946999999999922E-3</v>
      </c>
    </row>
    <row r="21" spans="1:2" x14ac:dyDescent="0.25">
      <c r="A21" t="str">
        <f t="shared" si="0"/>
        <v>-00.22%</v>
      </c>
      <c r="B21">
        <f t="shared" si="1"/>
        <v>-2.1946999999999921E-3</v>
      </c>
    </row>
    <row r="22" spans="1:2" x14ac:dyDescent="0.25">
      <c r="A22" t="str">
        <f t="shared" si="0"/>
        <v>-00.12%</v>
      </c>
      <c r="B22">
        <f t="shared" si="1"/>
        <v>-1.1946999999999921E-3</v>
      </c>
    </row>
    <row r="23" spans="1:2" x14ac:dyDescent="0.25">
      <c r="A23" t="str">
        <f t="shared" si="0"/>
        <v>-00.02%</v>
      </c>
      <c r="B23">
        <f t="shared" si="1"/>
        <v>-1.946999999999921E-4</v>
      </c>
    </row>
    <row r="24" spans="1:2" x14ac:dyDescent="0.25">
      <c r="A24" t="str">
        <f t="shared" si="0"/>
        <v>00.08%</v>
      </c>
      <c r="B24">
        <f t="shared" si="1"/>
        <v>8.0530000000000792E-4</v>
      </c>
    </row>
    <row r="25" spans="1:2" x14ac:dyDescent="0.25">
      <c r="A25" t="str">
        <f t="shared" si="0"/>
        <v>00.18%</v>
      </c>
      <c r="B25">
        <f t="shared" si="1"/>
        <v>1.8053000000000079E-3</v>
      </c>
    </row>
    <row r="26" spans="1:2" x14ac:dyDescent="0.25">
      <c r="A26" t="str">
        <f t="shared" si="0"/>
        <v>00.28%</v>
      </c>
      <c r="B26">
        <f t="shared" si="1"/>
        <v>2.805300000000008E-3</v>
      </c>
    </row>
    <row r="27" spans="1:2" x14ac:dyDescent="0.25">
      <c r="A27" t="str">
        <f t="shared" si="0"/>
        <v>00.38%</v>
      </c>
      <c r="B27">
        <f t="shared" si="1"/>
        <v>3.805300000000008E-3</v>
      </c>
    </row>
    <row r="28" spans="1:2" x14ac:dyDescent="0.25">
      <c r="A28" t="str">
        <f t="shared" si="0"/>
        <v>00.48%</v>
      </c>
      <c r="B28">
        <f t="shared" si="1"/>
        <v>4.805300000000008E-3</v>
      </c>
    </row>
    <row r="29" spans="1:2" x14ac:dyDescent="0.25">
      <c r="A29" t="str">
        <f t="shared" si="0"/>
        <v>00.58%</v>
      </c>
      <c r="B29">
        <f t="shared" si="1"/>
        <v>5.805300000000008E-3</v>
      </c>
    </row>
    <row r="30" spans="1:2" x14ac:dyDescent="0.25">
      <c r="A30" t="str">
        <f t="shared" si="0"/>
        <v>00.68%</v>
      </c>
      <c r="B30">
        <f t="shared" si="1"/>
        <v>6.805300000000008E-3</v>
      </c>
    </row>
    <row r="31" spans="1:2" x14ac:dyDescent="0.25">
      <c r="A31" t="str">
        <f t="shared" si="0"/>
        <v>00.78%</v>
      </c>
      <c r="B31">
        <f t="shared" si="1"/>
        <v>7.8053000000000081E-3</v>
      </c>
    </row>
    <row r="32" spans="1:2" x14ac:dyDescent="0.25">
      <c r="A32" t="str">
        <f t="shared" si="0"/>
        <v>00.88%</v>
      </c>
      <c r="B32">
        <f t="shared" si="1"/>
        <v>8.805300000000009E-3</v>
      </c>
    </row>
    <row r="33" spans="1:2" x14ac:dyDescent="0.25">
      <c r="A33" t="str">
        <f t="shared" si="0"/>
        <v>00.98%</v>
      </c>
      <c r="B33">
        <f t="shared" si="1"/>
        <v>9.8053000000000098E-3</v>
      </c>
    </row>
    <row r="34" spans="1:2" x14ac:dyDescent="0.25">
      <c r="A34" t="str">
        <f t="shared" si="0"/>
        <v>01.08%</v>
      </c>
      <c r="B34">
        <f t="shared" si="1"/>
        <v>1.0805300000000011E-2</v>
      </c>
    </row>
    <row r="35" spans="1:2" x14ac:dyDescent="0.25">
      <c r="A35" t="str">
        <f t="shared" si="0"/>
        <v>01.18%</v>
      </c>
      <c r="B35">
        <f t="shared" si="1"/>
        <v>1.1805300000000012E-2</v>
      </c>
    </row>
    <row r="36" spans="1:2" x14ac:dyDescent="0.25">
      <c r="A36" t="str">
        <f t="shared" si="0"/>
        <v>01.28%</v>
      </c>
      <c r="B36">
        <f t="shared" si="1"/>
        <v>1.2805300000000013E-2</v>
      </c>
    </row>
    <row r="37" spans="1:2" x14ac:dyDescent="0.25">
      <c r="A37" t="str">
        <f t="shared" si="0"/>
        <v>01.38%</v>
      </c>
      <c r="B37">
        <f t="shared" si="1"/>
        <v>1.3805300000000013E-2</v>
      </c>
    </row>
    <row r="38" spans="1:2" x14ac:dyDescent="0.25">
      <c r="A38" t="str">
        <f t="shared" si="0"/>
        <v>01.48%</v>
      </c>
      <c r="B38">
        <f t="shared" si="1"/>
        <v>1.4805300000000014E-2</v>
      </c>
    </row>
    <row r="39" spans="1:2" x14ac:dyDescent="0.25">
      <c r="A39" t="str">
        <f t="shared" si="0"/>
        <v>01.58%</v>
      </c>
      <c r="B39">
        <f t="shared" si="1"/>
        <v>1.5805300000000015E-2</v>
      </c>
    </row>
    <row r="40" spans="1:2" x14ac:dyDescent="0.25">
      <c r="A40" t="str">
        <f t="shared" si="0"/>
        <v>01.68%</v>
      </c>
      <c r="B40">
        <f t="shared" si="1"/>
        <v>1.6805300000000016E-2</v>
      </c>
    </row>
    <row r="41" spans="1:2" x14ac:dyDescent="0.25">
      <c r="A41" t="str">
        <f t="shared" si="0"/>
        <v>01.78%</v>
      </c>
      <c r="B41">
        <f t="shared" si="1"/>
        <v>1.7805300000000017E-2</v>
      </c>
    </row>
    <row r="42" spans="1:2" x14ac:dyDescent="0.25">
      <c r="A42" t="str">
        <f t="shared" si="0"/>
        <v>01.88%</v>
      </c>
      <c r="B42">
        <f t="shared" si="1"/>
        <v>1.8805300000000018E-2</v>
      </c>
    </row>
    <row r="43" spans="1:2" x14ac:dyDescent="0.25">
      <c r="A43" t="str">
        <f t="shared" si="0"/>
        <v>01.98%</v>
      </c>
      <c r="B43">
        <f t="shared" si="1"/>
        <v>1.9805300000000019E-2</v>
      </c>
    </row>
    <row r="44" spans="1:2" x14ac:dyDescent="0.25">
      <c r="A44" t="str">
        <f t="shared" si="0"/>
        <v>02.08%</v>
      </c>
      <c r="B44">
        <f t="shared" si="1"/>
        <v>2.080530000000002E-2</v>
      </c>
    </row>
    <row r="45" spans="1:2" x14ac:dyDescent="0.25">
      <c r="A45" t="str">
        <f t="shared" si="0"/>
        <v>02.18%</v>
      </c>
      <c r="B45">
        <f t="shared" si="1"/>
        <v>2.180530000000002E-2</v>
      </c>
    </row>
    <row r="46" spans="1:2" x14ac:dyDescent="0.25">
      <c r="A46" t="str">
        <f t="shared" si="0"/>
        <v>02.28%</v>
      </c>
      <c r="B46">
        <f t="shared" si="1"/>
        <v>2.2805300000000021E-2</v>
      </c>
    </row>
    <row r="47" spans="1:2" x14ac:dyDescent="0.25">
      <c r="A47" t="str">
        <f t="shared" si="0"/>
        <v>02.38%</v>
      </c>
      <c r="B47">
        <f t="shared" si="1"/>
        <v>2.3805300000000022E-2</v>
      </c>
    </row>
    <row r="48" spans="1:2" x14ac:dyDescent="0.25">
      <c r="A48" t="str">
        <f t="shared" si="0"/>
        <v>02.48%</v>
      </c>
      <c r="B48">
        <f t="shared" si="1"/>
        <v>2.4805300000000023E-2</v>
      </c>
    </row>
    <row r="49" spans="1:2" x14ac:dyDescent="0.25">
      <c r="A49" t="str">
        <f t="shared" si="0"/>
        <v>02.58%</v>
      </c>
      <c r="B49">
        <f t="shared" si="1"/>
        <v>2.5805300000000024E-2</v>
      </c>
    </row>
    <row r="50" spans="1:2" x14ac:dyDescent="0.25">
      <c r="A50" t="str">
        <f t="shared" si="0"/>
        <v>02.68%</v>
      </c>
      <c r="B50">
        <f t="shared" si="1"/>
        <v>2.6805300000000025E-2</v>
      </c>
    </row>
    <row r="51" spans="1:2" x14ac:dyDescent="0.25">
      <c r="A51" t="str">
        <f t="shared" si="0"/>
        <v>02.78%</v>
      </c>
      <c r="B51">
        <f t="shared" si="1"/>
        <v>2.7805300000000026E-2</v>
      </c>
    </row>
    <row r="52" spans="1:2" x14ac:dyDescent="0.25">
      <c r="A52" t="str">
        <f t="shared" si="0"/>
        <v>02.88%</v>
      </c>
      <c r="B52">
        <f t="shared" si="1"/>
        <v>2.8805300000000027E-2</v>
      </c>
    </row>
    <row r="53" spans="1:2" x14ac:dyDescent="0.25">
      <c r="A53" t="str">
        <f t="shared" si="0"/>
        <v>02.98%</v>
      </c>
      <c r="B53">
        <f t="shared" si="1"/>
        <v>2.9805300000000028E-2</v>
      </c>
    </row>
    <row r="54" spans="1:2" x14ac:dyDescent="0.25">
      <c r="A54" t="str">
        <f t="shared" si="0"/>
        <v>03.08%</v>
      </c>
      <c r="B54">
        <f t="shared" si="1"/>
        <v>3.0805300000000028E-2</v>
      </c>
    </row>
    <row r="55" spans="1:2" x14ac:dyDescent="0.25">
      <c r="A55" t="str">
        <f t="shared" si="0"/>
        <v>03.18%</v>
      </c>
      <c r="B55">
        <f t="shared" si="1"/>
        <v>3.1805300000000029E-2</v>
      </c>
    </row>
    <row r="56" spans="1:2" x14ac:dyDescent="0.25">
      <c r="A56" t="str">
        <f t="shared" si="0"/>
        <v>03.28%</v>
      </c>
      <c r="B56">
        <f t="shared" si="1"/>
        <v>3.280530000000003E-2</v>
      </c>
    </row>
    <row r="57" spans="1:2" x14ac:dyDescent="0.25">
      <c r="A57" t="str">
        <f t="shared" si="0"/>
        <v>03.38%</v>
      </c>
      <c r="B57">
        <f t="shared" si="1"/>
        <v>3.3805300000000031E-2</v>
      </c>
    </row>
    <row r="58" spans="1:2" x14ac:dyDescent="0.25">
      <c r="A58" t="str">
        <f t="shared" si="0"/>
        <v>03.48%</v>
      </c>
      <c r="B58">
        <f t="shared" si="1"/>
        <v>3.4805300000000032E-2</v>
      </c>
    </row>
    <row r="59" spans="1:2" x14ac:dyDescent="0.25">
      <c r="A59" t="str">
        <f t="shared" si="0"/>
        <v>03.58%</v>
      </c>
      <c r="B59">
        <f t="shared" si="1"/>
        <v>3.5805300000000033E-2</v>
      </c>
    </row>
    <row r="60" spans="1:2" x14ac:dyDescent="0.25">
      <c r="A60" t="str">
        <f t="shared" si="0"/>
        <v>03.68%</v>
      </c>
      <c r="B60">
        <f t="shared" si="1"/>
        <v>3.6805300000000034E-2</v>
      </c>
    </row>
    <row r="61" spans="1:2" x14ac:dyDescent="0.25">
      <c r="A61" t="str">
        <f t="shared" si="0"/>
        <v>03.78%</v>
      </c>
      <c r="B61">
        <f t="shared" si="1"/>
        <v>3.7805300000000035E-2</v>
      </c>
    </row>
    <row r="62" spans="1:2" x14ac:dyDescent="0.25">
      <c r="A62" t="str">
        <f t="shared" si="0"/>
        <v>03.88%</v>
      </c>
      <c r="B62">
        <f t="shared" si="1"/>
        <v>3.8805300000000036E-2</v>
      </c>
    </row>
    <row r="63" spans="1:2" x14ac:dyDescent="0.25">
      <c r="A63" t="str">
        <f t="shared" si="0"/>
        <v>03.98%</v>
      </c>
      <c r="B63">
        <f t="shared" si="1"/>
        <v>3.9805300000000036E-2</v>
      </c>
    </row>
    <row r="64" spans="1:2" x14ac:dyDescent="0.25">
      <c r="A64" t="str">
        <f t="shared" si="0"/>
        <v>04.08%</v>
      </c>
      <c r="B64">
        <f t="shared" si="1"/>
        <v>4.0805300000000037E-2</v>
      </c>
    </row>
    <row r="65" spans="1:2" x14ac:dyDescent="0.25">
      <c r="A65" t="str">
        <f t="shared" si="0"/>
        <v>04.18%</v>
      </c>
      <c r="B65">
        <f t="shared" si="1"/>
        <v>4.1805300000000038E-2</v>
      </c>
    </row>
    <row r="66" spans="1:2" x14ac:dyDescent="0.25">
      <c r="A66" t="str">
        <f t="shared" si="0"/>
        <v>04.28%</v>
      </c>
      <c r="B66">
        <f t="shared" si="1"/>
        <v>4.2805300000000039E-2</v>
      </c>
    </row>
    <row r="67" spans="1:2" x14ac:dyDescent="0.25">
      <c r="A67" t="str">
        <f t="shared" si="0"/>
        <v>04.38%</v>
      </c>
      <c r="B67">
        <f t="shared" si="1"/>
        <v>4.380530000000004E-2</v>
      </c>
    </row>
    <row r="68" spans="1:2" x14ac:dyDescent="0.25">
      <c r="A68" t="str">
        <f t="shared" si="0"/>
        <v>04.48%</v>
      </c>
      <c r="B68">
        <f t="shared" si="1"/>
        <v>4.4805300000000041E-2</v>
      </c>
    </row>
    <row r="69" spans="1:2" x14ac:dyDescent="0.25">
      <c r="A69" t="str">
        <f t="shared" ref="A69:A104" si="2">TEXT(B69,"00.00%")</f>
        <v>04.58%</v>
      </c>
      <c r="B69">
        <f t="shared" si="1"/>
        <v>4.5805300000000042E-2</v>
      </c>
    </row>
    <row r="70" spans="1:2" x14ac:dyDescent="0.25">
      <c r="A70" t="str">
        <f t="shared" si="2"/>
        <v>04.68%</v>
      </c>
      <c r="B70">
        <f t="shared" ref="B70:B104" si="3">B69+0.001</f>
        <v>4.6805300000000043E-2</v>
      </c>
    </row>
    <row r="71" spans="1:2" x14ac:dyDescent="0.25">
      <c r="A71" t="str">
        <f t="shared" si="2"/>
        <v>04.78%</v>
      </c>
      <c r="B71">
        <f t="shared" si="3"/>
        <v>4.7805300000000044E-2</v>
      </c>
    </row>
    <row r="72" spans="1:2" x14ac:dyDescent="0.25">
      <c r="A72" t="str">
        <f t="shared" si="2"/>
        <v>04.88%</v>
      </c>
      <c r="B72">
        <f t="shared" si="3"/>
        <v>4.8805300000000044E-2</v>
      </c>
    </row>
    <row r="73" spans="1:2" x14ac:dyDescent="0.25">
      <c r="A73" t="str">
        <f t="shared" si="2"/>
        <v>04.98%</v>
      </c>
      <c r="B73">
        <f t="shared" si="3"/>
        <v>4.9805300000000045E-2</v>
      </c>
    </row>
    <row r="74" spans="1:2" x14ac:dyDescent="0.25">
      <c r="A74" t="str">
        <f t="shared" si="2"/>
        <v>05.08%</v>
      </c>
      <c r="B74">
        <f t="shared" si="3"/>
        <v>5.0805300000000046E-2</v>
      </c>
    </row>
    <row r="75" spans="1:2" x14ac:dyDescent="0.25">
      <c r="A75" t="str">
        <f t="shared" si="2"/>
        <v>05.18%</v>
      </c>
      <c r="B75">
        <f t="shared" si="3"/>
        <v>5.1805300000000047E-2</v>
      </c>
    </row>
    <row r="76" spans="1:2" x14ac:dyDescent="0.25">
      <c r="A76" t="str">
        <f t="shared" si="2"/>
        <v>05.28%</v>
      </c>
      <c r="B76">
        <f t="shared" si="3"/>
        <v>5.2805300000000048E-2</v>
      </c>
    </row>
    <row r="77" spans="1:2" x14ac:dyDescent="0.25">
      <c r="A77" t="str">
        <f t="shared" si="2"/>
        <v>05.38%</v>
      </c>
      <c r="B77">
        <f t="shared" si="3"/>
        <v>5.3805300000000049E-2</v>
      </c>
    </row>
    <row r="78" spans="1:2" x14ac:dyDescent="0.25">
      <c r="A78" t="str">
        <f t="shared" si="2"/>
        <v>05.48%</v>
      </c>
      <c r="B78">
        <f t="shared" si="3"/>
        <v>5.480530000000005E-2</v>
      </c>
    </row>
    <row r="79" spans="1:2" x14ac:dyDescent="0.25">
      <c r="A79" t="str">
        <f t="shared" si="2"/>
        <v>05.58%</v>
      </c>
      <c r="B79">
        <f t="shared" si="3"/>
        <v>5.5805300000000051E-2</v>
      </c>
    </row>
    <row r="80" spans="1:2" x14ac:dyDescent="0.25">
      <c r="A80" t="str">
        <f t="shared" si="2"/>
        <v>05.68%</v>
      </c>
      <c r="B80">
        <f t="shared" si="3"/>
        <v>5.6805300000000052E-2</v>
      </c>
    </row>
    <row r="81" spans="1:2" x14ac:dyDescent="0.25">
      <c r="A81" t="str">
        <f t="shared" si="2"/>
        <v>05.78%</v>
      </c>
      <c r="B81">
        <f t="shared" si="3"/>
        <v>5.7805300000000052E-2</v>
      </c>
    </row>
    <row r="82" spans="1:2" x14ac:dyDescent="0.25">
      <c r="A82" t="str">
        <f t="shared" si="2"/>
        <v>05.88%</v>
      </c>
      <c r="B82">
        <f t="shared" si="3"/>
        <v>5.8805300000000053E-2</v>
      </c>
    </row>
    <row r="83" spans="1:2" x14ac:dyDescent="0.25">
      <c r="A83" t="str">
        <f t="shared" si="2"/>
        <v>05.98%</v>
      </c>
      <c r="B83">
        <f t="shared" si="3"/>
        <v>5.9805300000000054E-2</v>
      </c>
    </row>
    <row r="84" spans="1:2" x14ac:dyDescent="0.25">
      <c r="A84" t="str">
        <f t="shared" si="2"/>
        <v>06.08%</v>
      </c>
      <c r="B84">
        <f t="shared" si="3"/>
        <v>6.0805300000000055E-2</v>
      </c>
    </row>
    <row r="85" spans="1:2" x14ac:dyDescent="0.25">
      <c r="A85" t="str">
        <f t="shared" si="2"/>
        <v>06.18%</v>
      </c>
      <c r="B85">
        <f t="shared" si="3"/>
        <v>6.1805300000000056E-2</v>
      </c>
    </row>
    <row r="86" spans="1:2" x14ac:dyDescent="0.25">
      <c r="A86" t="str">
        <f t="shared" si="2"/>
        <v>06.28%</v>
      </c>
      <c r="B86">
        <f t="shared" si="3"/>
        <v>6.280530000000005E-2</v>
      </c>
    </row>
    <row r="87" spans="1:2" x14ac:dyDescent="0.25">
      <c r="A87" t="str">
        <f t="shared" si="2"/>
        <v>06.38%</v>
      </c>
      <c r="B87">
        <f t="shared" si="3"/>
        <v>6.3805300000000051E-2</v>
      </c>
    </row>
    <row r="88" spans="1:2" x14ac:dyDescent="0.25">
      <c r="A88" t="str">
        <f t="shared" si="2"/>
        <v>06.48%</v>
      </c>
      <c r="B88">
        <f t="shared" si="3"/>
        <v>6.4805300000000052E-2</v>
      </c>
    </row>
    <row r="89" spans="1:2" x14ac:dyDescent="0.25">
      <c r="A89" t="str">
        <f t="shared" si="2"/>
        <v>06.58%</v>
      </c>
      <c r="B89">
        <f t="shared" si="3"/>
        <v>6.5805300000000053E-2</v>
      </c>
    </row>
    <row r="90" spans="1:2" x14ac:dyDescent="0.25">
      <c r="A90" t="str">
        <f t="shared" si="2"/>
        <v>06.68%</v>
      </c>
      <c r="B90">
        <f t="shared" si="3"/>
        <v>6.6805300000000054E-2</v>
      </c>
    </row>
    <row r="91" spans="1:2" x14ac:dyDescent="0.25">
      <c r="A91" t="str">
        <f t="shared" si="2"/>
        <v>06.78%</v>
      </c>
      <c r="B91">
        <f t="shared" si="3"/>
        <v>6.7805300000000054E-2</v>
      </c>
    </row>
    <row r="92" spans="1:2" x14ac:dyDescent="0.25">
      <c r="A92" t="str">
        <f t="shared" si="2"/>
        <v>06.88%</v>
      </c>
      <c r="B92">
        <f t="shared" si="3"/>
        <v>6.8805300000000055E-2</v>
      </c>
    </row>
    <row r="93" spans="1:2" x14ac:dyDescent="0.25">
      <c r="A93" t="str">
        <f t="shared" si="2"/>
        <v>06.98%</v>
      </c>
      <c r="B93">
        <f t="shared" si="3"/>
        <v>6.9805300000000056E-2</v>
      </c>
    </row>
    <row r="94" spans="1:2" x14ac:dyDescent="0.25">
      <c r="A94" t="str">
        <f t="shared" si="2"/>
        <v>07.08%</v>
      </c>
      <c r="B94">
        <f t="shared" si="3"/>
        <v>7.0805300000000057E-2</v>
      </c>
    </row>
    <row r="95" spans="1:2" x14ac:dyDescent="0.25">
      <c r="A95" t="str">
        <f t="shared" si="2"/>
        <v>07.18%</v>
      </c>
      <c r="B95">
        <f t="shared" si="3"/>
        <v>7.1805300000000058E-2</v>
      </c>
    </row>
    <row r="96" spans="1:2" x14ac:dyDescent="0.25">
      <c r="A96" t="str">
        <f t="shared" si="2"/>
        <v>07.28%</v>
      </c>
      <c r="B96">
        <f t="shared" si="3"/>
        <v>7.2805300000000059E-2</v>
      </c>
    </row>
    <row r="97" spans="1:2" x14ac:dyDescent="0.25">
      <c r="A97" t="str">
        <f t="shared" si="2"/>
        <v>07.38%</v>
      </c>
      <c r="B97">
        <f t="shared" si="3"/>
        <v>7.380530000000006E-2</v>
      </c>
    </row>
    <row r="98" spans="1:2" x14ac:dyDescent="0.25">
      <c r="A98" t="str">
        <f t="shared" si="2"/>
        <v>07.48%</v>
      </c>
      <c r="B98">
        <f t="shared" si="3"/>
        <v>7.4805300000000061E-2</v>
      </c>
    </row>
    <row r="99" spans="1:2" x14ac:dyDescent="0.25">
      <c r="A99" t="str">
        <f t="shared" si="2"/>
        <v>07.58%</v>
      </c>
      <c r="B99">
        <f t="shared" si="3"/>
        <v>7.5805300000000062E-2</v>
      </c>
    </row>
    <row r="100" spans="1:2" x14ac:dyDescent="0.25">
      <c r="A100" t="str">
        <f t="shared" si="2"/>
        <v>07.68%</v>
      </c>
      <c r="B100">
        <f t="shared" si="3"/>
        <v>7.6805300000000062E-2</v>
      </c>
    </row>
    <row r="101" spans="1:2" x14ac:dyDescent="0.25">
      <c r="A101" t="str">
        <f t="shared" si="2"/>
        <v>07.78%</v>
      </c>
      <c r="B101">
        <f t="shared" si="3"/>
        <v>7.7805300000000063E-2</v>
      </c>
    </row>
    <row r="102" spans="1:2" x14ac:dyDescent="0.25">
      <c r="A102" t="str">
        <f t="shared" si="2"/>
        <v>07.88%</v>
      </c>
      <c r="B102">
        <f t="shared" si="3"/>
        <v>7.8805300000000064E-2</v>
      </c>
    </row>
    <row r="103" spans="1:2" x14ac:dyDescent="0.25">
      <c r="A103" t="str">
        <f t="shared" si="2"/>
        <v>07.98%</v>
      </c>
      <c r="B103">
        <f t="shared" si="3"/>
        <v>7.9805300000000065E-2</v>
      </c>
    </row>
    <row r="104" spans="1:2" x14ac:dyDescent="0.25">
      <c r="A104" t="str">
        <f t="shared" si="2"/>
        <v>08.08%</v>
      </c>
      <c r="B104">
        <f t="shared" si="3"/>
        <v>8.0805300000000066E-2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Sheet8.heston_change_v20">
                <anchor moveWithCells="1" sizeWithCells="1">
                  <from>
                    <xdr:col>5</xdr:col>
                    <xdr:colOff>28575</xdr:colOff>
                    <xdr:row>7</xdr:row>
                    <xdr:rowOff>123825</xdr:rowOff>
                  </from>
                  <to>
                    <xdr:col>7</xdr:col>
                    <xdr:colOff>133350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104"/>
  <sheetViews>
    <sheetView workbookViewId="0">
      <selection activeCell="K5" sqref="K5"/>
    </sheetView>
  </sheetViews>
  <sheetFormatPr defaultRowHeight="15" x14ac:dyDescent="0.25"/>
  <cols>
    <col min="2" max="2" width="15.7109375" bestFit="1" customWidth="1"/>
    <col min="3" max="3" width="15.140625" bestFit="1" customWidth="1"/>
    <col min="11" max="11" width="9.85546875" bestFit="1" customWidth="1"/>
  </cols>
  <sheetData>
    <row r="1" spans="1:11" x14ac:dyDescent="0.25">
      <c r="B1" t="s">
        <v>75</v>
      </c>
      <c r="C1">
        <f>'Parameter Page'!H4</f>
        <v>3.3747199999999998E-2</v>
      </c>
      <c r="E1">
        <f>C1-0.05</f>
        <v>-1.6252800000000005E-2</v>
      </c>
      <c r="F1">
        <f>C1+0.05</f>
        <v>8.3747199999999994E-2</v>
      </c>
    </row>
    <row r="2" spans="1:11" x14ac:dyDescent="0.25">
      <c r="C2" t="s">
        <v>54</v>
      </c>
      <c r="D2">
        <f>COUNT(B4:B204)</f>
        <v>101</v>
      </c>
      <c r="J2" t="s">
        <v>55</v>
      </c>
    </row>
    <row r="3" spans="1:11" x14ac:dyDescent="0.25">
      <c r="B3" t="s">
        <v>76</v>
      </c>
      <c r="C3" t="s">
        <v>57</v>
      </c>
      <c r="I3" t="str">
        <f>B3</f>
        <v>v3(0)</v>
      </c>
      <c r="J3" t="s">
        <v>57</v>
      </c>
      <c r="K3" t="s">
        <v>59</v>
      </c>
    </row>
    <row r="4" spans="1:11" x14ac:dyDescent="0.25">
      <c r="A4" t="str">
        <f>TEXT(B4,"00.00%")</f>
        <v>-01.63%</v>
      </c>
      <c r="B4">
        <f>E1</f>
        <v>-1.6252800000000005E-2</v>
      </c>
      <c r="I4" s="13">
        <f>C1-0.01</f>
        <v>2.3747199999999996E-2</v>
      </c>
      <c r="J4">
        <v>836.44593667065487</v>
      </c>
      <c r="K4" t="s">
        <v>60</v>
      </c>
    </row>
    <row r="5" spans="1:11" x14ac:dyDescent="0.25">
      <c r="A5" t="str">
        <f t="shared" ref="A5:A68" si="0">TEXT(B5,"00.00%")</f>
        <v>-01.53%</v>
      </c>
      <c r="B5">
        <f>B4+0.001</f>
        <v>-1.5252800000000004E-2</v>
      </c>
      <c r="I5" s="13">
        <f>C1</f>
        <v>3.3747199999999998E-2</v>
      </c>
      <c r="J5">
        <v>831.05728788437523</v>
      </c>
      <c r="K5" s="11">
        <f>(J5-J4)/J4</f>
        <v>-6.4423156955347744E-3</v>
      </c>
    </row>
    <row r="6" spans="1:11" x14ac:dyDescent="0.25">
      <c r="A6" t="str">
        <f t="shared" si="0"/>
        <v>-01.43%</v>
      </c>
      <c r="B6">
        <f t="shared" ref="B6:B69" si="1">B5+0.001</f>
        <v>-1.4252800000000003E-2</v>
      </c>
      <c r="I6" s="13">
        <f>C1+0.01</f>
        <v>4.37472E-2</v>
      </c>
      <c r="J6">
        <v>826.20600805930599</v>
      </c>
      <c r="K6" s="11">
        <f>(J6-J5)/J5</f>
        <v>-5.837479432277355E-3</v>
      </c>
    </row>
    <row r="7" spans="1:11" x14ac:dyDescent="0.25">
      <c r="A7" t="str">
        <f t="shared" si="0"/>
        <v>-01.33%</v>
      </c>
      <c r="B7">
        <f t="shared" si="1"/>
        <v>-1.3252800000000002E-2</v>
      </c>
    </row>
    <row r="8" spans="1:11" x14ac:dyDescent="0.25">
      <c r="A8" t="str">
        <f t="shared" si="0"/>
        <v>-01.23%</v>
      </c>
      <c r="B8">
        <f t="shared" si="1"/>
        <v>-1.2252800000000001E-2</v>
      </c>
    </row>
    <row r="9" spans="1:11" x14ac:dyDescent="0.25">
      <c r="A9" t="str">
        <f t="shared" si="0"/>
        <v>-01.13%</v>
      </c>
      <c r="B9">
        <f t="shared" si="1"/>
        <v>-1.12528E-2</v>
      </c>
    </row>
    <row r="10" spans="1:11" x14ac:dyDescent="0.25">
      <c r="A10" t="str">
        <f t="shared" si="0"/>
        <v>-01.03%</v>
      </c>
      <c r="B10">
        <f t="shared" si="1"/>
        <v>-1.0252799999999999E-2</v>
      </c>
    </row>
    <row r="11" spans="1:11" x14ac:dyDescent="0.25">
      <c r="A11" t="str">
        <f t="shared" si="0"/>
        <v>-00.93%</v>
      </c>
      <c r="B11">
        <f t="shared" si="1"/>
        <v>-9.2527999999999985E-3</v>
      </c>
    </row>
    <row r="12" spans="1:11" x14ac:dyDescent="0.25">
      <c r="A12" t="str">
        <f t="shared" si="0"/>
        <v>-00.83%</v>
      </c>
      <c r="B12">
        <f t="shared" si="1"/>
        <v>-8.2527999999999976E-3</v>
      </c>
    </row>
    <row r="13" spans="1:11" x14ac:dyDescent="0.25">
      <c r="A13" t="str">
        <f t="shared" si="0"/>
        <v>-00.73%</v>
      </c>
      <c r="B13">
        <f t="shared" si="1"/>
        <v>-7.2527999999999976E-3</v>
      </c>
    </row>
    <row r="14" spans="1:11" x14ac:dyDescent="0.25">
      <c r="A14" t="str">
        <f t="shared" si="0"/>
        <v>-00.63%</v>
      </c>
      <c r="B14">
        <f t="shared" si="1"/>
        <v>-6.2527999999999976E-3</v>
      </c>
    </row>
    <row r="15" spans="1:11" x14ac:dyDescent="0.25">
      <c r="A15" t="str">
        <f t="shared" si="0"/>
        <v>-00.53%</v>
      </c>
      <c r="B15">
        <f t="shared" si="1"/>
        <v>-5.2527999999999976E-3</v>
      </c>
    </row>
    <row r="16" spans="1:11" x14ac:dyDescent="0.25">
      <c r="A16" t="str">
        <f t="shared" si="0"/>
        <v>-00.43%</v>
      </c>
      <c r="B16">
        <f t="shared" si="1"/>
        <v>-4.2527999999999976E-3</v>
      </c>
    </row>
    <row r="17" spans="1:2" x14ac:dyDescent="0.25">
      <c r="A17" t="str">
        <f t="shared" si="0"/>
        <v>-00.33%</v>
      </c>
      <c r="B17">
        <f t="shared" si="1"/>
        <v>-3.2527999999999975E-3</v>
      </c>
    </row>
    <row r="18" spans="1:2" x14ac:dyDescent="0.25">
      <c r="A18" t="str">
        <f t="shared" si="0"/>
        <v>-00.23%</v>
      </c>
      <c r="B18">
        <f t="shared" si="1"/>
        <v>-2.2527999999999975E-3</v>
      </c>
    </row>
    <row r="19" spans="1:2" x14ac:dyDescent="0.25">
      <c r="A19" t="str">
        <f t="shared" si="0"/>
        <v>-00.13%</v>
      </c>
      <c r="B19">
        <f t="shared" si="1"/>
        <v>-1.2527999999999975E-3</v>
      </c>
    </row>
    <row r="20" spans="1:2" x14ac:dyDescent="0.25">
      <c r="A20" t="str">
        <f t="shared" si="0"/>
        <v>-00.03%</v>
      </c>
      <c r="B20">
        <f t="shared" si="1"/>
        <v>-2.5279999999999747E-4</v>
      </c>
    </row>
    <row r="21" spans="1:2" x14ac:dyDescent="0.25">
      <c r="A21" t="str">
        <f t="shared" si="0"/>
        <v>00.07%</v>
      </c>
      <c r="B21">
        <f t="shared" si="1"/>
        <v>7.4720000000000255E-4</v>
      </c>
    </row>
    <row r="22" spans="1:2" x14ac:dyDescent="0.25">
      <c r="A22" t="str">
        <f t="shared" si="0"/>
        <v>00.17%</v>
      </c>
      <c r="B22">
        <f t="shared" si="1"/>
        <v>1.7472000000000026E-3</v>
      </c>
    </row>
    <row r="23" spans="1:2" x14ac:dyDescent="0.25">
      <c r="A23" t="str">
        <f t="shared" si="0"/>
        <v>00.27%</v>
      </c>
      <c r="B23">
        <f t="shared" si="1"/>
        <v>2.7472000000000026E-3</v>
      </c>
    </row>
    <row r="24" spans="1:2" x14ac:dyDescent="0.25">
      <c r="A24" t="str">
        <f t="shared" si="0"/>
        <v>00.37%</v>
      </c>
      <c r="B24">
        <f t="shared" si="1"/>
        <v>3.7472000000000026E-3</v>
      </c>
    </row>
    <row r="25" spans="1:2" x14ac:dyDescent="0.25">
      <c r="A25" t="str">
        <f t="shared" si="0"/>
        <v>00.47%</v>
      </c>
      <c r="B25">
        <f t="shared" si="1"/>
        <v>4.7472000000000026E-3</v>
      </c>
    </row>
    <row r="26" spans="1:2" x14ac:dyDescent="0.25">
      <c r="A26" t="str">
        <f t="shared" si="0"/>
        <v>00.57%</v>
      </c>
      <c r="B26">
        <f t="shared" si="1"/>
        <v>5.7472000000000027E-3</v>
      </c>
    </row>
    <row r="27" spans="1:2" x14ac:dyDescent="0.25">
      <c r="A27" t="str">
        <f t="shared" si="0"/>
        <v>00.67%</v>
      </c>
      <c r="B27">
        <f t="shared" si="1"/>
        <v>6.7472000000000027E-3</v>
      </c>
    </row>
    <row r="28" spans="1:2" x14ac:dyDescent="0.25">
      <c r="A28" t="str">
        <f t="shared" si="0"/>
        <v>00.77%</v>
      </c>
      <c r="B28">
        <f t="shared" si="1"/>
        <v>7.7472000000000027E-3</v>
      </c>
    </row>
    <row r="29" spans="1:2" x14ac:dyDescent="0.25">
      <c r="A29" t="str">
        <f t="shared" si="0"/>
        <v>00.87%</v>
      </c>
      <c r="B29">
        <f t="shared" si="1"/>
        <v>8.7472000000000036E-3</v>
      </c>
    </row>
    <row r="30" spans="1:2" x14ac:dyDescent="0.25">
      <c r="A30" t="str">
        <f t="shared" si="0"/>
        <v>00.97%</v>
      </c>
      <c r="B30">
        <f t="shared" si="1"/>
        <v>9.7472000000000045E-3</v>
      </c>
    </row>
    <row r="31" spans="1:2" x14ac:dyDescent="0.25">
      <c r="A31" t="str">
        <f t="shared" si="0"/>
        <v>01.07%</v>
      </c>
      <c r="B31">
        <f t="shared" si="1"/>
        <v>1.0747200000000005E-2</v>
      </c>
    </row>
    <row r="32" spans="1:2" x14ac:dyDescent="0.25">
      <c r="A32" t="str">
        <f t="shared" si="0"/>
        <v>01.17%</v>
      </c>
      <c r="B32">
        <f t="shared" si="1"/>
        <v>1.1747200000000006E-2</v>
      </c>
    </row>
    <row r="33" spans="1:2" x14ac:dyDescent="0.25">
      <c r="A33" t="str">
        <f t="shared" si="0"/>
        <v>01.27%</v>
      </c>
      <c r="B33">
        <f t="shared" si="1"/>
        <v>1.2747200000000007E-2</v>
      </c>
    </row>
    <row r="34" spans="1:2" x14ac:dyDescent="0.25">
      <c r="A34" t="str">
        <f t="shared" si="0"/>
        <v>01.37%</v>
      </c>
      <c r="B34">
        <f t="shared" si="1"/>
        <v>1.3747200000000008E-2</v>
      </c>
    </row>
    <row r="35" spans="1:2" x14ac:dyDescent="0.25">
      <c r="A35" t="str">
        <f t="shared" si="0"/>
        <v>01.47%</v>
      </c>
      <c r="B35">
        <f t="shared" si="1"/>
        <v>1.4747200000000009E-2</v>
      </c>
    </row>
    <row r="36" spans="1:2" x14ac:dyDescent="0.25">
      <c r="A36" t="str">
        <f t="shared" si="0"/>
        <v>01.57%</v>
      </c>
      <c r="B36">
        <f t="shared" si="1"/>
        <v>1.574720000000001E-2</v>
      </c>
    </row>
    <row r="37" spans="1:2" x14ac:dyDescent="0.25">
      <c r="A37" t="str">
        <f t="shared" si="0"/>
        <v>01.67%</v>
      </c>
      <c r="B37">
        <f t="shared" si="1"/>
        <v>1.6747200000000011E-2</v>
      </c>
    </row>
    <row r="38" spans="1:2" x14ac:dyDescent="0.25">
      <c r="A38" t="str">
        <f t="shared" si="0"/>
        <v>01.77%</v>
      </c>
      <c r="B38">
        <f t="shared" si="1"/>
        <v>1.7747200000000012E-2</v>
      </c>
    </row>
    <row r="39" spans="1:2" x14ac:dyDescent="0.25">
      <c r="A39" t="str">
        <f t="shared" si="0"/>
        <v>01.87%</v>
      </c>
      <c r="B39">
        <f t="shared" si="1"/>
        <v>1.8747200000000012E-2</v>
      </c>
    </row>
    <row r="40" spans="1:2" x14ac:dyDescent="0.25">
      <c r="A40" t="str">
        <f t="shared" si="0"/>
        <v>01.97%</v>
      </c>
      <c r="B40">
        <f t="shared" si="1"/>
        <v>1.9747200000000013E-2</v>
      </c>
    </row>
    <row r="41" spans="1:2" x14ac:dyDescent="0.25">
      <c r="A41" t="str">
        <f t="shared" si="0"/>
        <v>02.07%</v>
      </c>
      <c r="B41">
        <f t="shared" si="1"/>
        <v>2.0747200000000014E-2</v>
      </c>
    </row>
    <row r="42" spans="1:2" x14ac:dyDescent="0.25">
      <c r="A42" t="str">
        <f t="shared" si="0"/>
        <v>02.17%</v>
      </c>
      <c r="B42">
        <f t="shared" si="1"/>
        <v>2.1747200000000015E-2</v>
      </c>
    </row>
    <row r="43" spans="1:2" x14ac:dyDescent="0.25">
      <c r="A43" t="str">
        <f t="shared" si="0"/>
        <v>02.27%</v>
      </c>
      <c r="B43">
        <f t="shared" si="1"/>
        <v>2.2747200000000016E-2</v>
      </c>
    </row>
    <row r="44" spans="1:2" x14ac:dyDescent="0.25">
      <c r="A44" t="str">
        <f t="shared" si="0"/>
        <v>02.37%</v>
      </c>
      <c r="B44">
        <f t="shared" si="1"/>
        <v>2.3747200000000017E-2</v>
      </c>
    </row>
    <row r="45" spans="1:2" x14ac:dyDescent="0.25">
      <c r="A45" t="str">
        <f t="shared" si="0"/>
        <v>02.47%</v>
      </c>
      <c r="B45">
        <f t="shared" si="1"/>
        <v>2.4747200000000018E-2</v>
      </c>
    </row>
    <row r="46" spans="1:2" x14ac:dyDescent="0.25">
      <c r="A46" t="str">
        <f t="shared" si="0"/>
        <v>02.57%</v>
      </c>
      <c r="B46">
        <f t="shared" si="1"/>
        <v>2.5747200000000019E-2</v>
      </c>
    </row>
    <row r="47" spans="1:2" x14ac:dyDescent="0.25">
      <c r="A47" t="str">
        <f t="shared" si="0"/>
        <v>02.67%</v>
      </c>
      <c r="B47">
        <f t="shared" si="1"/>
        <v>2.674720000000002E-2</v>
      </c>
    </row>
    <row r="48" spans="1:2" x14ac:dyDescent="0.25">
      <c r="A48" t="str">
        <f t="shared" si="0"/>
        <v>02.77%</v>
      </c>
      <c r="B48">
        <f t="shared" si="1"/>
        <v>2.774720000000002E-2</v>
      </c>
    </row>
    <row r="49" spans="1:2" x14ac:dyDescent="0.25">
      <c r="A49" t="str">
        <f t="shared" si="0"/>
        <v>02.87%</v>
      </c>
      <c r="B49">
        <f t="shared" si="1"/>
        <v>2.8747200000000021E-2</v>
      </c>
    </row>
    <row r="50" spans="1:2" x14ac:dyDescent="0.25">
      <c r="A50" t="str">
        <f t="shared" si="0"/>
        <v>02.97%</v>
      </c>
      <c r="B50">
        <f t="shared" si="1"/>
        <v>2.9747200000000022E-2</v>
      </c>
    </row>
    <row r="51" spans="1:2" x14ac:dyDescent="0.25">
      <c r="A51" t="str">
        <f t="shared" si="0"/>
        <v>03.07%</v>
      </c>
      <c r="B51">
        <f t="shared" si="1"/>
        <v>3.0747200000000023E-2</v>
      </c>
    </row>
    <row r="52" spans="1:2" x14ac:dyDescent="0.25">
      <c r="A52" t="str">
        <f t="shared" si="0"/>
        <v>03.17%</v>
      </c>
      <c r="B52">
        <f t="shared" si="1"/>
        <v>3.1747200000000024E-2</v>
      </c>
    </row>
    <row r="53" spans="1:2" x14ac:dyDescent="0.25">
      <c r="A53" t="str">
        <f t="shared" si="0"/>
        <v>03.27%</v>
      </c>
      <c r="B53">
        <f t="shared" si="1"/>
        <v>3.2747200000000025E-2</v>
      </c>
    </row>
    <row r="54" spans="1:2" x14ac:dyDescent="0.25">
      <c r="A54" t="str">
        <f t="shared" si="0"/>
        <v>03.37%</v>
      </c>
      <c r="B54">
        <f t="shared" si="1"/>
        <v>3.3747200000000026E-2</v>
      </c>
    </row>
    <row r="55" spans="1:2" x14ac:dyDescent="0.25">
      <c r="A55" t="str">
        <f t="shared" si="0"/>
        <v>03.47%</v>
      </c>
      <c r="B55">
        <f t="shared" si="1"/>
        <v>3.4747200000000027E-2</v>
      </c>
    </row>
    <row r="56" spans="1:2" x14ac:dyDescent="0.25">
      <c r="A56" t="str">
        <f t="shared" si="0"/>
        <v>03.57%</v>
      </c>
      <c r="B56">
        <f t="shared" si="1"/>
        <v>3.5747200000000028E-2</v>
      </c>
    </row>
    <row r="57" spans="1:2" x14ac:dyDescent="0.25">
      <c r="A57" t="str">
        <f t="shared" si="0"/>
        <v>03.67%</v>
      </c>
      <c r="B57">
        <f t="shared" si="1"/>
        <v>3.6747200000000028E-2</v>
      </c>
    </row>
    <row r="58" spans="1:2" x14ac:dyDescent="0.25">
      <c r="A58" t="str">
        <f t="shared" si="0"/>
        <v>03.77%</v>
      </c>
      <c r="B58">
        <f t="shared" si="1"/>
        <v>3.7747200000000029E-2</v>
      </c>
    </row>
    <row r="59" spans="1:2" x14ac:dyDescent="0.25">
      <c r="A59" t="str">
        <f t="shared" si="0"/>
        <v>03.87%</v>
      </c>
      <c r="B59">
        <f t="shared" si="1"/>
        <v>3.874720000000003E-2</v>
      </c>
    </row>
    <row r="60" spans="1:2" x14ac:dyDescent="0.25">
      <c r="A60" t="str">
        <f t="shared" si="0"/>
        <v>03.97%</v>
      </c>
      <c r="B60">
        <f t="shared" si="1"/>
        <v>3.9747200000000031E-2</v>
      </c>
    </row>
    <row r="61" spans="1:2" x14ac:dyDescent="0.25">
      <c r="A61" t="str">
        <f t="shared" si="0"/>
        <v>04.07%</v>
      </c>
      <c r="B61">
        <f t="shared" si="1"/>
        <v>4.0747200000000032E-2</v>
      </c>
    </row>
    <row r="62" spans="1:2" x14ac:dyDescent="0.25">
      <c r="A62" t="str">
        <f t="shared" si="0"/>
        <v>04.17%</v>
      </c>
      <c r="B62">
        <f t="shared" si="1"/>
        <v>4.1747200000000033E-2</v>
      </c>
    </row>
    <row r="63" spans="1:2" x14ac:dyDescent="0.25">
      <c r="A63" t="str">
        <f t="shared" si="0"/>
        <v>04.27%</v>
      </c>
      <c r="B63">
        <f t="shared" si="1"/>
        <v>4.2747200000000034E-2</v>
      </c>
    </row>
    <row r="64" spans="1:2" x14ac:dyDescent="0.25">
      <c r="A64" t="str">
        <f t="shared" si="0"/>
        <v>04.37%</v>
      </c>
      <c r="B64">
        <f t="shared" si="1"/>
        <v>4.3747200000000035E-2</v>
      </c>
    </row>
    <row r="65" spans="1:2" x14ac:dyDescent="0.25">
      <c r="A65" t="str">
        <f t="shared" si="0"/>
        <v>04.47%</v>
      </c>
      <c r="B65">
        <f t="shared" si="1"/>
        <v>4.4747200000000036E-2</v>
      </c>
    </row>
    <row r="66" spans="1:2" x14ac:dyDescent="0.25">
      <c r="A66" t="str">
        <f t="shared" si="0"/>
        <v>04.57%</v>
      </c>
      <c r="B66">
        <f t="shared" si="1"/>
        <v>4.5747200000000036E-2</v>
      </c>
    </row>
    <row r="67" spans="1:2" x14ac:dyDescent="0.25">
      <c r="A67" t="str">
        <f t="shared" si="0"/>
        <v>04.67%</v>
      </c>
      <c r="B67">
        <f t="shared" si="1"/>
        <v>4.6747200000000037E-2</v>
      </c>
    </row>
    <row r="68" spans="1:2" x14ac:dyDescent="0.25">
      <c r="A68" t="str">
        <f t="shared" si="0"/>
        <v>04.77%</v>
      </c>
      <c r="B68">
        <f t="shared" si="1"/>
        <v>4.7747200000000038E-2</v>
      </c>
    </row>
    <row r="69" spans="1:2" x14ac:dyDescent="0.25">
      <c r="A69" t="str">
        <f t="shared" ref="A69:A104" si="2">TEXT(B69,"00.00%")</f>
        <v>04.87%</v>
      </c>
      <c r="B69">
        <f t="shared" si="1"/>
        <v>4.8747200000000039E-2</v>
      </c>
    </row>
    <row r="70" spans="1:2" x14ac:dyDescent="0.25">
      <c r="A70" t="str">
        <f t="shared" si="2"/>
        <v>04.97%</v>
      </c>
      <c r="B70">
        <f t="shared" ref="B70:B104" si="3">B69+0.001</f>
        <v>4.974720000000004E-2</v>
      </c>
    </row>
    <row r="71" spans="1:2" x14ac:dyDescent="0.25">
      <c r="A71" t="str">
        <f t="shared" si="2"/>
        <v>05.07%</v>
      </c>
      <c r="B71">
        <f t="shared" si="3"/>
        <v>5.0747200000000041E-2</v>
      </c>
    </row>
    <row r="72" spans="1:2" x14ac:dyDescent="0.25">
      <c r="A72" t="str">
        <f t="shared" si="2"/>
        <v>05.17%</v>
      </c>
      <c r="B72">
        <f t="shared" si="3"/>
        <v>5.1747200000000042E-2</v>
      </c>
    </row>
    <row r="73" spans="1:2" x14ac:dyDescent="0.25">
      <c r="A73" t="str">
        <f t="shared" si="2"/>
        <v>05.27%</v>
      </c>
      <c r="B73">
        <f t="shared" si="3"/>
        <v>5.2747200000000043E-2</v>
      </c>
    </row>
    <row r="74" spans="1:2" x14ac:dyDescent="0.25">
      <c r="A74" t="str">
        <f t="shared" si="2"/>
        <v>05.37%</v>
      </c>
      <c r="B74">
        <f t="shared" si="3"/>
        <v>5.3747200000000044E-2</v>
      </c>
    </row>
    <row r="75" spans="1:2" x14ac:dyDescent="0.25">
      <c r="A75" t="str">
        <f t="shared" si="2"/>
        <v>05.47%</v>
      </c>
      <c r="B75">
        <f t="shared" si="3"/>
        <v>5.4747200000000044E-2</v>
      </c>
    </row>
    <row r="76" spans="1:2" x14ac:dyDescent="0.25">
      <c r="A76" t="str">
        <f t="shared" si="2"/>
        <v>05.57%</v>
      </c>
      <c r="B76">
        <f t="shared" si="3"/>
        <v>5.5747200000000045E-2</v>
      </c>
    </row>
    <row r="77" spans="1:2" x14ac:dyDescent="0.25">
      <c r="A77" t="str">
        <f t="shared" si="2"/>
        <v>05.67%</v>
      </c>
      <c r="B77">
        <f t="shared" si="3"/>
        <v>5.6747200000000046E-2</v>
      </c>
    </row>
    <row r="78" spans="1:2" x14ac:dyDescent="0.25">
      <c r="A78" t="str">
        <f t="shared" si="2"/>
        <v>05.77%</v>
      </c>
      <c r="B78">
        <f t="shared" si="3"/>
        <v>5.7747200000000047E-2</v>
      </c>
    </row>
    <row r="79" spans="1:2" x14ac:dyDescent="0.25">
      <c r="A79" t="str">
        <f t="shared" si="2"/>
        <v>05.87%</v>
      </c>
      <c r="B79">
        <f t="shared" si="3"/>
        <v>5.8747200000000048E-2</v>
      </c>
    </row>
    <row r="80" spans="1:2" x14ac:dyDescent="0.25">
      <c r="A80" t="str">
        <f t="shared" si="2"/>
        <v>05.97%</v>
      </c>
      <c r="B80">
        <f t="shared" si="3"/>
        <v>5.9747200000000049E-2</v>
      </c>
    </row>
    <row r="81" spans="1:2" x14ac:dyDescent="0.25">
      <c r="A81" t="str">
        <f t="shared" si="2"/>
        <v>06.07%</v>
      </c>
      <c r="B81">
        <f t="shared" si="3"/>
        <v>6.074720000000005E-2</v>
      </c>
    </row>
    <row r="82" spans="1:2" x14ac:dyDescent="0.25">
      <c r="A82" t="str">
        <f t="shared" si="2"/>
        <v>06.17%</v>
      </c>
      <c r="B82">
        <f t="shared" si="3"/>
        <v>6.1747200000000051E-2</v>
      </c>
    </row>
    <row r="83" spans="1:2" x14ac:dyDescent="0.25">
      <c r="A83" t="str">
        <f t="shared" si="2"/>
        <v>06.27%</v>
      </c>
      <c r="B83">
        <f t="shared" si="3"/>
        <v>6.2747200000000045E-2</v>
      </c>
    </row>
    <row r="84" spans="1:2" x14ac:dyDescent="0.25">
      <c r="A84" t="str">
        <f t="shared" si="2"/>
        <v>06.37%</v>
      </c>
      <c r="B84">
        <f t="shared" si="3"/>
        <v>6.3747200000000045E-2</v>
      </c>
    </row>
    <row r="85" spans="1:2" x14ac:dyDescent="0.25">
      <c r="A85" t="str">
        <f t="shared" si="2"/>
        <v>06.47%</v>
      </c>
      <c r="B85">
        <f t="shared" si="3"/>
        <v>6.4747200000000046E-2</v>
      </c>
    </row>
    <row r="86" spans="1:2" x14ac:dyDescent="0.25">
      <c r="A86" t="str">
        <f t="shared" si="2"/>
        <v>06.57%</v>
      </c>
      <c r="B86">
        <f t="shared" si="3"/>
        <v>6.5747200000000047E-2</v>
      </c>
    </row>
    <row r="87" spans="1:2" x14ac:dyDescent="0.25">
      <c r="A87" t="str">
        <f t="shared" si="2"/>
        <v>06.67%</v>
      </c>
      <c r="B87">
        <f t="shared" si="3"/>
        <v>6.6747200000000048E-2</v>
      </c>
    </row>
    <row r="88" spans="1:2" x14ac:dyDescent="0.25">
      <c r="A88" t="str">
        <f t="shared" si="2"/>
        <v>06.77%</v>
      </c>
      <c r="B88">
        <f t="shared" si="3"/>
        <v>6.7747200000000049E-2</v>
      </c>
    </row>
    <row r="89" spans="1:2" x14ac:dyDescent="0.25">
      <c r="A89" t="str">
        <f t="shared" si="2"/>
        <v>06.87%</v>
      </c>
      <c r="B89">
        <f t="shared" si="3"/>
        <v>6.874720000000005E-2</v>
      </c>
    </row>
    <row r="90" spans="1:2" x14ac:dyDescent="0.25">
      <c r="A90" t="str">
        <f t="shared" si="2"/>
        <v>06.97%</v>
      </c>
      <c r="B90">
        <f t="shared" si="3"/>
        <v>6.9747200000000051E-2</v>
      </c>
    </row>
    <row r="91" spans="1:2" x14ac:dyDescent="0.25">
      <c r="A91" t="str">
        <f t="shared" si="2"/>
        <v>07.07%</v>
      </c>
      <c r="B91">
        <f t="shared" si="3"/>
        <v>7.0747200000000052E-2</v>
      </c>
    </row>
    <row r="92" spans="1:2" x14ac:dyDescent="0.25">
      <c r="A92" t="str">
        <f t="shared" si="2"/>
        <v>07.17%</v>
      </c>
      <c r="B92">
        <f t="shared" si="3"/>
        <v>7.1747200000000053E-2</v>
      </c>
    </row>
    <row r="93" spans="1:2" x14ac:dyDescent="0.25">
      <c r="A93" t="str">
        <f t="shared" si="2"/>
        <v>07.27%</v>
      </c>
      <c r="B93">
        <f t="shared" si="3"/>
        <v>7.2747200000000053E-2</v>
      </c>
    </row>
    <row r="94" spans="1:2" x14ac:dyDescent="0.25">
      <c r="A94" t="str">
        <f t="shared" si="2"/>
        <v>07.37%</v>
      </c>
      <c r="B94">
        <f t="shared" si="3"/>
        <v>7.3747200000000054E-2</v>
      </c>
    </row>
    <row r="95" spans="1:2" x14ac:dyDescent="0.25">
      <c r="A95" t="str">
        <f t="shared" si="2"/>
        <v>07.47%</v>
      </c>
      <c r="B95">
        <f t="shared" si="3"/>
        <v>7.4747200000000055E-2</v>
      </c>
    </row>
    <row r="96" spans="1:2" x14ac:dyDescent="0.25">
      <c r="A96" t="str">
        <f t="shared" si="2"/>
        <v>07.57%</v>
      </c>
      <c r="B96">
        <f t="shared" si="3"/>
        <v>7.5747200000000056E-2</v>
      </c>
    </row>
    <row r="97" spans="1:2" x14ac:dyDescent="0.25">
      <c r="A97" t="str">
        <f t="shared" si="2"/>
        <v>07.67%</v>
      </c>
      <c r="B97">
        <f t="shared" si="3"/>
        <v>7.6747200000000057E-2</v>
      </c>
    </row>
    <row r="98" spans="1:2" x14ac:dyDescent="0.25">
      <c r="A98" t="str">
        <f t="shared" si="2"/>
        <v>07.77%</v>
      </c>
      <c r="B98">
        <f t="shared" si="3"/>
        <v>7.7747200000000058E-2</v>
      </c>
    </row>
    <row r="99" spans="1:2" x14ac:dyDescent="0.25">
      <c r="A99" t="str">
        <f t="shared" si="2"/>
        <v>07.87%</v>
      </c>
      <c r="B99">
        <f t="shared" si="3"/>
        <v>7.8747200000000059E-2</v>
      </c>
    </row>
    <row r="100" spans="1:2" x14ac:dyDescent="0.25">
      <c r="A100" t="str">
        <f t="shared" si="2"/>
        <v>07.97%</v>
      </c>
      <c r="B100">
        <f t="shared" si="3"/>
        <v>7.974720000000006E-2</v>
      </c>
    </row>
    <row r="101" spans="1:2" x14ac:dyDescent="0.25">
      <c r="A101" t="str">
        <f t="shared" si="2"/>
        <v>08.07%</v>
      </c>
      <c r="B101">
        <f t="shared" si="3"/>
        <v>8.0747200000000061E-2</v>
      </c>
    </row>
    <row r="102" spans="1:2" x14ac:dyDescent="0.25">
      <c r="A102" t="str">
        <f t="shared" si="2"/>
        <v>08.17%</v>
      </c>
      <c r="B102">
        <f t="shared" si="3"/>
        <v>8.1747200000000061E-2</v>
      </c>
    </row>
    <row r="103" spans="1:2" x14ac:dyDescent="0.25">
      <c r="A103" t="str">
        <f t="shared" si="2"/>
        <v>08.27%</v>
      </c>
      <c r="B103">
        <f t="shared" si="3"/>
        <v>8.2747200000000062E-2</v>
      </c>
    </row>
    <row r="104" spans="1:2" x14ac:dyDescent="0.25">
      <c r="A104" t="str">
        <f t="shared" si="2"/>
        <v>08.37%</v>
      </c>
      <c r="B104">
        <f t="shared" si="3"/>
        <v>8.3747200000000063E-2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Sheet9.heston_change_v30">
                <anchor moveWithCells="1" sizeWithCells="1">
                  <from>
                    <xdr:col>5</xdr:col>
                    <xdr:colOff>28575</xdr:colOff>
                    <xdr:row>7</xdr:row>
                    <xdr:rowOff>123825</xdr:rowOff>
                  </from>
                  <to>
                    <xdr:col>7</xdr:col>
                    <xdr:colOff>133350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104"/>
  <sheetViews>
    <sheetView workbookViewId="0">
      <selection activeCell="Q21" sqref="Q21"/>
    </sheetView>
  </sheetViews>
  <sheetFormatPr defaultRowHeight="15" x14ac:dyDescent="0.25"/>
  <cols>
    <col min="2" max="2" width="15.7109375" bestFit="1" customWidth="1"/>
    <col min="3" max="3" width="15.140625" bestFit="1" customWidth="1"/>
    <col min="11" max="11" width="9.85546875" bestFit="1" customWidth="1"/>
  </cols>
  <sheetData>
    <row r="1" spans="1:11" x14ac:dyDescent="0.25">
      <c r="B1" t="s">
        <v>77</v>
      </c>
      <c r="C1">
        <f>'Parameter Page'!B15</f>
        <v>0.53065300000000004</v>
      </c>
      <c r="E1">
        <f>C1-0.05</f>
        <v>0.48065300000000005</v>
      </c>
      <c r="F1">
        <f>C1+0.05</f>
        <v>0.58065300000000009</v>
      </c>
    </row>
    <row r="2" spans="1:11" x14ac:dyDescent="0.25">
      <c r="C2" t="s">
        <v>54</v>
      </c>
      <c r="D2">
        <f>COUNT(B4:B204)</f>
        <v>101</v>
      </c>
      <c r="J2" t="s">
        <v>55</v>
      </c>
    </row>
    <row r="3" spans="1:11" x14ac:dyDescent="0.25">
      <c r="B3" t="s">
        <v>68</v>
      </c>
      <c r="C3" t="s">
        <v>57</v>
      </c>
      <c r="I3" t="str">
        <f>B3</f>
        <v>Sigma v1</v>
      </c>
      <c r="J3" t="s">
        <v>57</v>
      </c>
      <c r="K3" t="s">
        <v>59</v>
      </c>
    </row>
    <row r="4" spans="1:11" x14ac:dyDescent="0.25">
      <c r="A4" t="str">
        <f>TEXT(B4,"00.00%")</f>
        <v>48.07%</v>
      </c>
      <c r="B4">
        <f>E1</f>
        <v>0.48065300000000005</v>
      </c>
      <c r="I4" s="14">
        <f>C1-0.01</f>
        <v>0.52065300000000003</v>
      </c>
      <c r="J4">
        <v>827.82961544649936</v>
      </c>
      <c r="K4" t="s">
        <v>60</v>
      </c>
    </row>
    <row r="5" spans="1:11" x14ac:dyDescent="0.25">
      <c r="A5" t="str">
        <f t="shared" ref="A5:A68" si="0">TEXT(B5,"00.00%")</f>
        <v>48.17%</v>
      </c>
      <c r="B5">
        <f>B4+0.001</f>
        <v>0.48165300000000005</v>
      </c>
      <c r="I5" s="14">
        <f>C1</f>
        <v>0.53065300000000004</v>
      </c>
      <c r="J5">
        <v>827.63707949702325</v>
      </c>
      <c r="K5" s="11">
        <f>(J5-J4)/J4</f>
        <v>-2.3257919973334508E-4</v>
      </c>
    </row>
    <row r="6" spans="1:11" x14ac:dyDescent="0.25">
      <c r="A6" t="str">
        <f t="shared" si="0"/>
        <v>48.27%</v>
      </c>
      <c r="B6">
        <f t="shared" ref="B6:B69" si="1">B5+0.001</f>
        <v>0.48265300000000005</v>
      </c>
      <c r="I6" s="14">
        <f>C1+0.01</f>
        <v>0.54065300000000005</v>
      </c>
      <c r="J6">
        <v>827.45773987114046</v>
      </c>
      <c r="K6" s="11">
        <f>(J6-J5)/J5</f>
        <v>-2.1668872785615058E-4</v>
      </c>
    </row>
    <row r="7" spans="1:11" x14ac:dyDescent="0.25">
      <c r="A7" t="str">
        <f t="shared" si="0"/>
        <v>48.37%</v>
      </c>
      <c r="B7">
        <f t="shared" si="1"/>
        <v>0.48365300000000006</v>
      </c>
    </row>
    <row r="8" spans="1:11" x14ac:dyDescent="0.25">
      <c r="A8" t="str">
        <f t="shared" si="0"/>
        <v>48.47%</v>
      </c>
      <c r="B8">
        <f t="shared" si="1"/>
        <v>0.48465300000000006</v>
      </c>
    </row>
    <row r="9" spans="1:11" x14ac:dyDescent="0.25">
      <c r="A9" t="str">
        <f t="shared" si="0"/>
        <v>48.57%</v>
      </c>
      <c r="B9">
        <f t="shared" si="1"/>
        <v>0.48565300000000006</v>
      </c>
    </row>
    <row r="10" spans="1:11" x14ac:dyDescent="0.25">
      <c r="A10" t="str">
        <f t="shared" si="0"/>
        <v>48.67%</v>
      </c>
      <c r="B10">
        <f t="shared" si="1"/>
        <v>0.48665300000000006</v>
      </c>
    </row>
    <row r="11" spans="1:11" x14ac:dyDescent="0.25">
      <c r="A11" t="str">
        <f t="shared" si="0"/>
        <v>48.77%</v>
      </c>
      <c r="B11">
        <f t="shared" si="1"/>
        <v>0.48765300000000006</v>
      </c>
    </row>
    <row r="12" spans="1:11" x14ac:dyDescent="0.25">
      <c r="A12" t="str">
        <f t="shared" si="0"/>
        <v>48.87%</v>
      </c>
      <c r="B12">
        <f t="shared" si="1"/>
        <v>0.48865300000000006</v>
      </c>
    </row>
    <row r="13" spans="1:11" x14ac:dyDescent="0.25">
      <c r="A13" t="str">
        <f t="shared" si="0"/>
        <v>48.97%</v>
      </c>
      <c r="B13">
        <f t="shared" si="1"/>
        <v>0.48965300000000006</v>
      </c>
    </row>
    <row r="14" spans="1:11" x14ac:dyDescent="0.25">
      <c r="A14" t="str">
        <f t="shared" si="0"/>
        <v>49.07%</v>
      </c>
      <c r="B14">
        <f t="shared" si="1"/>
        <v>0.49065300000000006</v>
      </c>
    </row>
    <row r="15" spans="1:11" x14ac:dyDescent="0.25">
      <c r="A15" t="str">
        <f t="shared" si="0"/>
        <v>49.17%</v>
      </c>
      <c r="B15">
        <f t="shared" si="1"/>
        <v>0.49165300000000006</v>
      </c>
    </row>
    <row r="16" spans="1:11" x14ac:dyDescent="0.25">
      <c r="A16" t="str">
        <f t="shared" si="0"/>
        <v>49.27%</v>
      </c>
      <c r="B16">
        <f t="shared" si="1"/>
        <v>0.49265300000000006</v>
      </c>
    </row>
    <row r="17" spans="1:2" x14ac:dyDescent="0.25">
      <c r="A17" t="str">
        <f t="shared" si="0"/>
        <v>49.37%</v>
      </c>
      <c r="B17">
        <f t="shared" si="1"/>
        <v>0.49365300000000006</v>
      </c>
    </row>
    <row r="18" spans="1:2" x14ac:dyDescent="0.25">
      <c r="A18" t="str">
        <f t="shared" si="0"/>
        <v>49.47%</v>
      </c>
      <c r="B18">
        <f t="shared" si="1"/>
        <v>0.49465300000000006</v>
      </c>
    </row>
    <row r="19" spans="1:2" x14ac:dyDescent="0.25">
      <c r="A19" t="str">
        <f t="shared" si="0"/>
        <v>49.57%</v>
      </c>
      <c r="B19">
        <f t="shared" si="1"/>
        <v>0.49565300000000007</v>
      </c>
    </row>
    <row r="20" spans="1:2" x14ac:dyDescent="0.25">
      <c r="A20" t="str">
        <f t="shared" si="0"/>
        <v>49.67%</v>
      </c>
      <c r="B20">
        <f t="shared" si="1"/>
        <v>0.49665300000000007</v>
      </c>
    </row>
    <row r="21" spans="1:2" x14ac:dyDescent="0.25">
      <c r="A21" t="str">
        <f t="shared" si="0"/>
        <v>49.77%</v>
      </c>
      <c r="B21">
        <f t="shared" si="1"/>
        <v>0.49765300000000007</v>
      </c>
    </row>
    <row r="22" spans="1:2" x14ac:dyDescent="0.25">
      <c r="A22" t="str">
        <f t="shared" si="0"/>
        <v>49.87%</v>
      </c>
      <c r="B22">
        <f t="shared" si="1"/>
        <v>0.49865300000000007</v>
      </c>
    </row>
    <row r="23" spans="1:2" x14ac:dyDescent="0.25">
      <c r="A23" t="str">
        <f t="shared" si="0"/>
        <v>49.97%</v>
      </c>
      <c r="B23">
        <f t="shared" si="1"/>
        <v>0.49965300000000007</v>
      </c>
    </row>
    <row r="24" spans="1:2" x14ac:dyDescent="0.25">
      <c r="A24" t="str">
        <f t="shared" si="0"/>
        <v>50.07%</v>
      </c>
      <c r="B24">
        <f t="shared" si="1"/>
        <v>0.50065300000000001</v>
      </c>
    </row>
    <row r="25" spans="1:2" x14ac:dyDescent="0.25">
      <c r="A25" t="str">
        <f t="shared" si="0"/>
        <v>50.17%</v>
      </c>
      <c r="B25">
        <f t="shared" si="1"/>
        <v>0.50165300000000002</v>
      </c>
    </row>
    <row r="26" spans="1:2" x14ac:dyDescent="0.25">
      <c r="A26" t="str">
        <f t="shared" si="0"/>
        <v>50.27%</v>
      </c>
      <c r="B26">
        <f t="shared" si="1"/>
        <v>0.50265300000000002</v>
      </c>
    </row>
    <row r="27" spans="1:2" x14ac:dyDescent="0.25">
      <c r="A27" t="str">
        <f t="shared" si="0"/>
        <v>50.37%</v>
      </c>
      <c r="B27">
        <f t="shared" si="1"/>
        <v>0.50365300000000002</v>
      </c>
    </row>
    <row r="28" spans="1:2" x14ac:dyDescent="0.25">
      <c r="A28" t="str">
        <f t="shared" si="0"/>
        <v>50.47%</v>
      </c>
      <c r="B28">
        <f t="shared" si="1"/>
        <v>0.50465300000000002</v>
      </c>
    </row>
    <row r="29" spans="1:2" x14ac:dyDescent="0.25">
      <c r="A29" t="str">
        <f t="shared" si="0"/>
        <v>50.57%</v>
      </c>
      <c r="B29">
        <f t="shared" si="1"/>
        <v>0.50565300000000002</v>
      </c>
    </row>
    <row r="30" spans="1:2" x14ac:dyDescent="0.25">
      <c r="A30" t="str">
        <f t="shared" si="0"/>
        <v>50.67%</v>
      </c>
      <c r="B30">
        <f t="shared" si="1"/>
        <v>0.50665300000000002</v>
      </c>
    </row>
    <row r="31" spans="1:2" x14ac:dyDescent="0.25">
      <c r="A31" t="str">
        <f t="shared" si="0"/>
        <v>50.77%</v>
      </c>
      <c r="B31">
        <f t="shared" si="1"/>
        <v>0.50765300000000002</v>
      </c>
    </row>
    <row r="32" spans="1:2" x14ac:dyDescent="0.25">
      <c r="A32" t="str">
        <f t="shared" si="0"/>
        <v>50.87%</v>
      </c>
      <c r="B32">
        <f t="shared" si="1"/>
        <v>0.50865300000000002</v>
      </c>
    </row>
    <row r="33" spans="1:2" x14ac:dyDescent="0.25">
      <c r="A33" t="str">
        <f t="shared" si="0"/>
        <v>50.97%</v>
      </c>
      <c r="B33">
        <f t="shared" si="1"/>
        <v>0.50965300000000002</v>
      </c>
    </row>
    <row r="34" spans="1:2" x14ac:dyDescent="0.25">
      <c r="A34" t="str">
        <f t="shared" si="0"/>
        <v>51.07%</v>
      </c>
      <c r="B34">
        <f t="shared" si="1"/>
        <v>0.51065300000000002</v>
      </c>
    </row>
    <row r="35" spans="1:2" x14ac:dyDescent="0.25">
      <c r="A35" t="str">
        <f t="shared" si="0"/>
        <v>51.17%</v>
      </c>
      <c r="B35">
        <f t="shared" si="1"/>
        <v>0.51165300000000002</v>
      </c>
    </row>
    <row r="36" spans="1:2" x14ac:dyDescent="0.25">
      <c r="A36" t="str">
        <f t="shared" si="0"/>
        <v>51.27%</v>
      </c>
      <c r="B36">
        <f t="shared" si="1"/>
        <v>0.51265300000000003</v>
      </c>
    </row>
    <row r="37" spans="1:2" x14ac:dyDescent="0.25">
      <c r="A37" t="str">
        <f t="shared" si="0"/>
        <v>51.37%</v>
      </c>
      <c r="B37">
        <f t="shared" si="1"/>
        <v>0.51365300000000003</v>
      </c>
    </row>
    <row r="38" spans="1:2" x14ac:dyDescent="0.25">
      <c r="A38" t="str">
        <f t="shared" si="0"/>
        <v>51.47%</v>
      </c>
      <c r="B38">
        <f t="shared" si="1"/>
        <v>0.51465300000000003</v>
      </c>
    </row>
    <row r="39" spans="1:2" x14ac:dyDescent="0.25">
      <c r="A39" t="str">
        <f t="shared" si="0"/>
        <v>51.57%</v>
      </c>
      <c r="B39">
        <f t="shared" si="1"/>
        <v>0.51565300000000003</v>
      </c>
    </row>
    <row r="40" spans="1:2" x14ac:dyDescent="0.25">
      <c r="A40" t="str">
        <f t="shared" si="0"/>
        <v>51.67%</v>
      </c>
      <c r="B40">
        <f t="shared" si="1"/>
        <v>0.51665300000000003</v>
      </c>
    </row>
    <row r="41" spans="1:2" x14ac:dyDescent="0.25">
      <c r="A41" t="str">
        <f t="shared" si="0"/>
        <v>51.77%</v>
      </c>
      <c r="B41">
        <f t="shared" si="1"/>
        <v>0.51765300000000003</v>
      </c>
    </row>
    <row r="42" spans="1:2" x14ac:dyDescent="0.25">
      <c r="A42" t="str">
        <f t="shared" si="0"/>
        <v>51.87%</v>
      </c>
      <c r="B42">
        <f t="shared" si="1"/>
        <v>0.51865300000000003</v>
      </c>
    </row>
    <row r="43" spans="1:2" x14ac:dyDescent="0.25">
      <c r="A43" t="str">
        <f t="shared" si="0"/>
        <v>51.97%</v>
      </c>
      <c r="B43">
        <f t="shared" si="1"/>
        <v>0.51965300000000003</v>
      </c>
    </row>
    <row r="44" spans="1:2" x14ac:dyDescent="0.25">
      <c r="A44" t="str">
        <f t="shared" si="0"/>
        <v>52.07%</v>
      </c>
      <c r="B44">
        <f t="shared" si="1"/>
        <v>0.52065300000000003</v>
      </c>
    </row>
    <row r="45" spans="1:2" x14ac:dyDescent="0.25">
      <c r="A45" t="str">
        <f t="shared" si="0"/>
        <v>52.17%</v>
      </c>
      <c r="B45">
        <f t="shared" si="1"/>
        <v>0.52165300000000003</v>
      </c>
    </row>
    <row r="46" spans="1:2" x14ac:dyDescent="0.25">
      <c r="A46" t="str">
        <f t="shared" si="0"/>
        <v>52.27%</v>
      </c>
      <c r="B46">
        <f t="shared" si="1"/>
        <v>0.52265300000000003</v>
      </c>
    </row>
    <row r="47" spans="1:2" x14ac:dyDescent="0.25">
      <c r="A47" t="str">
        <f t="shared" si="0"/>
        <v>52.37%</v>
      </c>
      <c r="B47">
        <f t="shared" si="1"/>
        <v>0.52365300000000004</v>
      </c>
    </row>
    <row r="48" spans="1:2" x14ac:dyDescent="0.25">
      <c r="A48" t="str">
        <f t="shared" si="0"/>
        <v>52.47%</v>
      </c>
      <c r="B48">
        <f t="shared" si="1"/>
        <v>0.52465300000000004</v>
      </c>
    </row>
    <row r="49" spans="1:2" x14ac:dyDescent="0.25">
      <c r="A49" t="str">
        <f t="shared" si="0"/>
        <v>52.57%</v>
      </c>
      <c r="B49">
        <f t="shared" si="1"/>
        <v>0.52565300000000004</v>
      </c>
    </row>
    <row r="50" spans="1:2" x14ac:dyDescent="0.25">
      <c r="A50" t="str">
        <f t="shared" si="0"/>
        <v>52.67%</v>
      </c>
      <c r="B50">
        <f t="shared" si="1"/>
        <v>0.52665300000000004</v>
      </c>
    </row>
    <row r="51" spans="1:2" x14ac:dyDescent="0.25">
      <c r="A51" t="str">
        <f t="shared" si="0"/>
        <v>52.77%</v>
      </c>
      <c r="B51">
        <f t="shared" si="1"/>
        <v>0.52765300000000004</v>
      </c>
    </row>
    <row r="52" spans="1:2" x14ac:dyDescent="0.25">
      <c r="A52" t="str">
        <f t="shared" si="0"/>
        <v>52.87%</v>
      </c>
      <c r="B52">
        <f t="shared" si="1"/>
        <v>0.52865300000000004</v>
      </c>
    </row>
    <row r="53" spans="1:2" x14ac:dyDescent="0.25">
      <c r="A53" t="str">
        <f t="shared" si="0"/>
        <v>52.97%</v>
      </c>
      <c r="B53">
        <f t="shared" si="1"/>
        <v>0.52965300000000004</v>
      </c>
    </row>
    <row r="54" spans="1:2" x14ac:dyDescent="0.25">
      <c r="A54" t="str">
        <f t="shared" si="0"/>
        <v>53.07%</v>
      </c>
      <c r="B54">
        <f t="shared" si="1"/>
        <v>0.53065300000000004</v>
      </c>
    </row>
    <row r="55" spans="1:2" x14ac:dyDescent="0.25">
      <c r="A55" t="str">
        <f t="shared" si="0"/>
        <v>53.17%</v>
      </c>
      <c r="B55">
        <f t="shared" si="1"/>
        <v>0.53165300000000004</v>
      </c>
    </row>
    <row r="56" spans="1:2" x14ac:dyDescent="0.25">
      <c r="A56" t="str">
        <f t="shared" si="0"/>
        <v>53.27%</v>
      </c>
      <c r="B56">
        <f t="shared" si="1"/>
        <v>0.53265300000000004</v>
      </c>
    </row>
    <row r="57" spans="1:2" x14ac:dyDescent="0.25">
      <c r="A57" t="str">
        <f t="shared" si="0"/>
        <v>53.37%</v>
      </c>
      <c r="B57">
        <f t="shared" si="1"/>
        <v>0.53365300000000004</v>
      </c>
    </row>
    <row r="58" spans="1:2" x14ac:dyDescent="0.25">
      <c r="A58" t="str">
        <f t="shared" si="0"/>
        <v>53.47%</v>
      </c>
      <c r="B58">
        <f t="shared" si="1"/>
        <v>0.53465300000000004</v>
      </c>
    </row>
    <row r="59" spans="1:2" x14ac:dyDescent="0.25">
      <c r="A59" t="str">
        <f t="shared" si="0"/>
        <v>53.57%</v>
      </c>
      <c r="B59">
        <f t="shared" si="1"/>
        <v>0.53565300000000005</v>
      </c>
    </row>
    <row r="60" spans="1:2" x14ac:dyDescent="0.25">
      <c r="A60" t="str">
        <f t="shared" si="0"/>
        <v>53.67%</v>
      </c>
      <c r="B60">
        <f t="shared" si="1"/>
        <v>0.53665300000000005</v>
      </c>
    </row>
    <row r="61" spans="1:2" x14ac:dyDescent="0.25">
      <c r="A61" t="str">
        <f t="shared" si="0"/>
        <v>53.77%</v>
      </c>
      <c r="B61">
        <f t="shared" si="1"/>
        <v>0.53765300000000005</v>
      </c>
    </row>
    <row r="62" spans="1:2" x14ac:dyDescent="0.25">
      <c r="A62" t="str">
        <f t="shared" si="0"/>
        <v>53.87%</v>
      </c>
      <c r="B62">
        <f t="shared" si="1"/>
        <v>0.53865300000000005</v>
      </c>
    </row>
    <row r="63" spans="1:2" x14ac:dyDescent="0.25">
      <c r="A63" t="str">
        <f t="shared" si="0"/>
        <v>53.97%</v>
      </c>
      <c r="B63">
        <f t="shared" si="1"/>
        <v>0.53965300000000005</v>
      </c>
    </row>
    <row r="64" spans="1:2" x14ac:dyDescent="0.25">
      <c r="A64" t="str">
        <f t="shared" si="0"/>
        <v>54.07%</v>
      </c>
      <c r="B64">
        <f t="shared" si="1"/>
        <v>0.54065300000000005</v>
      </c>
    </row>
    <row r="65" spans="1:2" x14ac:dyDescent="0.25">
      <c r="A65" t="str">
        <f t="shared" si="0"/>
        <v>54.17%</v>
      </c>
      <c r="B65">
        <f t="shared" si="1"/>
        <v>0.54165300000000005</v>
      </c>
    </row>
    <row r="66" spans="1:2" x14ac:dyDescent="0.25">
      <c r="A66" t="str">
        <f t="shared" si="0"/>
        <v>54.27%</v>
      </c>
      <c r="B66">
        <f t="shared" si="1"/>
        <v>0.54265300000000005</v>
      </c>
    </row>
    <row r="67" spans="1:2" x14ac:dyDescent="0.25">
      <c r="A67" t="str">
        <f t="shared" si="0"/>
        <v>54.37%</v>
      </c>
      <c r="B67">
        <f t="shared" si="1"/>
        <v>0.54365300000000005</v>
      </c>
    </row>
    <row r="68" spans="1:2" x14ac:dyDescent="0.25">
      <c r="A68" t="str">
        <f t="shared" si="0"/>
        <v>54.47%</v>
      </c>
      <c r="B68">
        <f t="shared" si="1"/>
        <v>0.54465300000000005</v>
      </c>
    </row>
    <row r="69" spans="1:2" x14ac:dyDescent="0.25">
      <c r="A69" t="str">
        <f t="shared" ref="A69:A104" si="2">TEXT(B69,"00.00%")</f>
        <v>54.57%</v>
      </c>
      <c r="B69">
        <f t="shared" si="1"/>
        <v>0.54565300000000005</v>
      </c>
    </row>
    <row r="70" spans="1:2" x14ac:dyDescent="0.25">
      <c r="A70" t="str">
        <f t="shared" si="2"/>
        <v>54.67%</v>
      </c>
      <c r="B70">
        <f t="shared" ref="B70:B104" si="3">B69+0.001</f>
        <v>0.54665300000000006</v>
      </c>
    </row>
    <row r="71" spans="1:2" x14ac:dyDescent="0.25">
      <c r="A71" t="str">
        <f t="shared" si="2"/>
        <v>54.77%</v>
      </c>
      <c r="B71">
        <f t="shared" si="3"/>
        <v>0.54765300000000006</v>
      </c>
    </row>
    <row r="72" spans="1:2" x14ac:dyDescent="0.25">
      <c r="A72" t="str">
        <f t="shared" si="2"/>
        <v>54.87%</v>
      </c>
      <c r="B72">
        <f t="shared" si="3"/>
        <v>0.54865300000000006</v>
      </c>
    </row>
    <row r="73" spans="1:2" x14ac:dyDescent="0.25">
      <c r="A73" t="str">
        <f t="shared" si="2"/>
        <v>54.97%</v>
      </c>
      <c r="B73">
        <f t="shared" si="3"/>
        <v>0.54965300000000006</v>
      </c>
    </row>
    <row r="74" spans="1:2" x14ac:dyDescent="0.25">
      <c r="A74" t="str">
        <f t="shared" si="2"/>
        <v>55.07%</v>
      </c>
      <c r="B74">
        <f t="shared" si="3"/>
        <v>0.55065300000000006</v>
      </c>
    </row>
    <row r="75" spans="1:2" x14ac:dyDescent="0.25">
      <c r="A75" t="str">
        <f t="shared" si="2"/>
        <v>55.17%</v>
      </c>
      <c r="B75">
        <f t="shared" si="3"/>
        <v>0.55165300000000006</v>
      </c>
    </row>
    <row r="76" spans="1:2" x14ac:dyDescent="0.25">
      <c r="A76" t="str">
        <f t="shared" si="2"/>
        <v>55.27%</v>
      </c>
      <c r="B76">
        <f t="shared" si="3"/>
        <v>0.55265300000000006</v>
      </c>
    </row>
    <row r="77" spans="1:2" x14ac:dyDescent="0.25">
      <c r="A77" t="str">
        <f t="shared" si="2"/>
        <v>55.37%</v>
      </c>
      <c r="B77">
        <f t="shared" si="3"/>
        <v>0.55365300000000006</v>
      </c>
    </row>
    <row r="78" spans="1:2" x14ac:dyDescent="0.25">
      <c r="A78" t="str">
        <f t="shared" si="2"/>
        <v>55.47%</v>
      </c>
      <c r="B78">
        <f t="shared" si="3"/>
        <v>0.55465300000000006</v>
      </c>
    </row>
    <row r="79" spans="1:2" x14ac:dyDescent="0.25">
      <c r="A79" t="str">
        <f t="shared" si="2"/>
        <v>55.57%</v>
      </c>
      <c r="B79">
        <f t="shared" si="3"/>
        <v>0.55565300000000006</v>
      </c>
    </row>
    <row r="80" spans="1:2" x14ac:dyDescent="0.25">
      <c r="A80" t="str">
        <f t="shared" si="2"/>
        <v>55.67%</v>
      </c>
      <c r="B80">
        <f t="shared" si="3"/>
        <v>0.55665300000000006</v>
      </c>
    </row>
    <row r="81" spans="1:2" x14ac:dyDescent="0.25">
      <c r="A81" t="str">
        <f t="shared" si="2"/>
        <v>55.77%</v>
      </c>
      <c r="B81">
        <f t="shared" si="3"/>
        <v>0.55765300000000007</v>
      </c>
    </row>
    <row r="82" spans="1:2" x14ac:dyDescent="0.25">
      <c r="A82" t="str">
        <f t="shared" si="2"/>
        <v>55.87%</v>
      </c>
      <c r="B82">
        <f t="shared" si="3"/>
        <v>0.55865300000000007</v>
      </c>
    </row>
    <row r="83" spans="1:2" x14ac:dyDescent="0.25">
      <c r="A83" t="str">
        <f t="shared" si="2"/>
        <v>55.97%</v>
      </c>
      <c r="B83">
        <f t="shared" si="3"/>
        <v>0.55965300000000007</v>
      </c>
    </row>
    <row r="84" spans="1:2" x14ac:dyDescent="0.25">
      <c r="A84" t="str">
        <f t="shared" si="2"/>
        <v>56.07%</v>
      </c>
      <c r="B84">
        <f t="shared" si="3"/>
        <v>0.56065300000000007</v>
      </c>
    </row>
    <row r="85" spans="1:2" x14ac:dyDescent="0.25">
      <c r="A85" t="str">
        <f t="shared" si="2"/>
        <v>56.17%</v>
      </c>
      <c r="B85">
        <f t="shared" si="3"/>
        <v>0.56165300000000007</v>
      </c>
    </row>
    <row r="86" spans="1:2" x14ac:dyDescent="0.25">
      <c r="A86" t="str">
        <f t="shared" si="2"/>
        <v>56.27%</v>
      </c>
      <c r="B86">
        <f t="shared" si="3"/>
        <v>0.56265300000000007</v>
      </c>
    </row>
    <row r="87" spans="1:2" x14ac:dyDescent="0.25">
      <c r="A87" t="str">
        <f t="shared" si="2"/>
        <v>56.37%</v>
      </c>
      <c r="B87">
        <f t="shared" si="3"/>
        <v>0.56365300000000007</v>
      </c>
    </row>
    <row r="88" spans="1:2" x14ac:dyDescent="0.25">
      <c r="A88" t="str">
        <f t="shared" si="2"/>
        <v>56.47%</v>
      </c>
      <c r="B88">
        <f t="shared" si="3"/>
        <v>0.56465300000000007</v>
      </c>
    </row>
    <row r="89" spans="1:2" x14ac:dyDescent="0.25">
      <c r="A89" t="str">
        <f t="shared" si="2"/>
        <v>56.57%</v>
      </c>
      <c r="B89">
        <f t="shared" si="3"/>
        <v>0.56565300000000007</v>
      </c>
    </row>
    <row r="90" spans="1:2" x14ac:dyDescent="0.25">
      <c r="A90" t="str">
        <f t="shared" si="2"/>
        <v>56.67%</v>
      </c>
      <c r="B90">
        <f t="shared" si="3"/>
        <v>0.56665300000000007</v>
      </c>
    </row>
    <row r="91" spans="1:2" x14ac:dyDescent="0.25">
      <c r="A91" t="str">
        <f t="shared" si="2"/>
        <v>56.77%</v>
      </c>
      <c r="B91">
        <f t="shared" si="3"/>
        <v>0.56765300000000007</v>
      </c>
    </row>
    <row r="92" spans="1:2" x14ac:dyDescent="0.25">
      <c r="A92" t="str">
        <f t="shared" si="2"/>
        <v>56.87%</v>
      </c>
      <c r="B92">
        <f t="shared" si="3"/>
        <v>0.56865300000000008</v>
      </c>
    </row>
    <row r="93" spans="1:2" x14ac:dyDescent="0.25">
      <c r="A93" t="str">
        <f t="shared" si="2"/>
        <v>56.97%</v>
      </c>
      <c r="B93">
        <f t="shared" si="3"/>
        <v>0.56965300000000008</v>
      </c>
    </row>
    <row r="94" spans="1:2" x14ac:dyDescent="0.25">
      <c r="A94" t="str">
        <f t="shared" si="2"/>
        <v>57.07%</v>
      </c>
      <c r="B94">
        <f t="shared" si="3"/>
        <v>0.57065300000000008</v>
      </c>
    </row>
    <row r="95" spans="1:2" x14ac:dyDescent="0.25">
      <c r="A95" t="str">
        <f t="shared" si="2"/>
        <v>57.17%</v>
      </c>
      <c r="B95">
        <f t="shared" si="3"/>
        <v>0.57165300000000008</v>
      </c>
    </row>
    <row r="96" spans="1:2" x14ac:dyDescent="0.25">
      <c r="A96" t="str">
        <f t="shared" si="2"/>
        <v>57.27%</v>
      </c>
      <c r="B96">
        <f t="shared" si="3"/>
        <v>0.57265300000000008</v>
      </c>
    </row>
    <row r="97" spans="1:2" x14ac:dyDescent="0.25">
      <c r="A97" t="str">
        <f t="shared" si="2"/>
        <v>57.37%</v>
      </c>
      <c r="B97">
        <f t="shared" si="3"/>
        <v>0.57365300000000008</v>
      </c>
    </row>
    <row r="98" spans="1:2" x14ac:dyDescent="0.25">
      <c r="A98" t="str">
        <f t="shared" si="2"/>
        <v>57.47%</v>
      </c>
      <c r="B98">
        <f t="shared" si="3"/>
        <v>0.57465300000000008</v>
      </c>
    </row>
    <row r="99" spans="1:2" x14ac:dyDescent="0.25">
      <c r="A99" t="str">
        <f t="shared" si="2"/>
        <v>57.57%</v>
      </c>
      <c r="B99">
        <f t="shared" si="3"/>
        <v>0.57565300000000008</v>
      </c>
    </row>
    <row r="100" spans="1:2" x14ac:dyDescent="0.25">
      <c r="A100" t="str">
        <f t="shared" si="2"/>
        <v>57.67%</v>
      </c>
      <c r="B100">
        <f t="shared" si="3"/>
        <v>0.57665300000000008</v>
      </c>
    </row>
    <row r="101" spans="1:2" x14ac:dyDescent="0.25">
      <c r="A101" t="str">
        <f t="shared" si="2"/>
        <v>57.77%</v>
      </c>
      <c r="B101">
        <f t="shared" si="3"/>
        <v>0.57765300000000008</v>
      </c>
    </row>
    <row r="102" spans="1:2" x14ac:dyDescent="0.25">
      <c r="A102" t="str">
        <f t="shared" si="2"/>
        <v>57.87%</v>
      </c>
      <c r="B102">
        <f t="shared" si="3"/>
        <v>0.57865300000000008</v>
      </c>
    </row>
    <row r="103" spans="1:2" x14ac:dyDescent="0.25">
      <c r="A103" t="str">
        <f t="shared" si="2"/>
        <v>57.97%</v>
      </c>
      <c r="B103">
        <f t="shared" si="3"/>
        <v>0.57965300000000008</v>
      </c>
    </row>
    <row r="104" spans="1:2" x14ac:dyDescent="0.25">
      <c r="A104" t="str">
        <f t="shared" si="2"/>
        <v>58.07%</v>
      </c>
      <c r="B104">
        <f t="shared" si="3"/>
        <v>0.58065300000000009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eet10.heston_change_sigma_v1">
                <anchor moveWithCells="1" sizeWithCells="1">
                  <from>
                    <xdr:col>5</xdr:col>
                    <xdr:colOff>28575</xdr:colOff>
                    <xdr:row>7</xdr:row>
                    <xdr:rowOff>123825</xdr:rowOff>
                  </from>
                  <to>
                    <xdr:col>7</xdr:col>
                    <xdr:colOff>133350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K104"/>
  <sheetViews>
    <sheetView workbookViewId="0">
      <selection activeCell="D12" sqref="D12"/>
    </sheetView>
  </sheetViews>
  <sheetFormatPr defaultRowHeight="15" x14ac:dyDescent="0.25"/>
  <cols>
    <col min="2" max="2" width="15.7109375" bestFit="1" customWidth="1"/>
    <col min="3" max="3" width="15.140625" bestFit="1" customWidth="1"/>
    <col min="11" max="11" width="9.85546875" bestFit="1" customWidth="1"/>
  </cols>
  <sheetData>
    <row r="1" spans="1:11" x14ac:dyDescent="0.25">
      <c r="B1" t="s">
        <v>78</v>
      </c>
      <c r="C1">
        <f>'Parameter Page'!E15</f>
        <v>0.99936100000000005</v>
      </c>
      <c r="E1">
        <f>C1-0.05</f>
        <v>0.94936100000000001</v>
      </c>
      <c r="F1">
        <f>C1+0.05</f>
        <v>1.049361</v>
      </c>
    </row>
    <row r="2" spans="1:11" x14ac:dyDescent="0.25">
      <c r="C2" t="s">
        <v>54</v>
      </c>
      <c r="D2">
        <f>COUNT(B4:B204)</f>
        <v>101</v>
      </c>
      <c r="J2" t="s">
        <v>55</v>
      </c>
    </row>
    <row r="3" spans="1:11" x14ac:dyDescent="0.25">
      <c r="B3" t="s">
        <v>79</v>
      </c>
      <c r="C3" t="s">
        <v>57</v>
      </c>
      <c r="I3" t="str">
        <f>B3</f>
        <v>Sigma v2</v>
      </c>
      <c r="J3" t="s">
        <v>57</v>
      </c>
      <c r="K3" t="s">
        <v>59</v>
      </c>
    </row>
    <row r="4" spans="1:11" x14ac:dyDescent="0.25">
      <c r="A4" t="str">
        <f>TEXT(B4,"00.00%")</f>
        <v>94.94%</v>
      </c>
      <c r="B4">
        <f>E1</f>
        <v>0.94936100000000001</v>
      </c>
      <c r="I4" s="13">
        <f>C1-0.01</f>
        <v>0.98936100000000005</v>
      </c>
      <c r="J4">
        <v>796.26213911505658</v>
      </c>
      <c r="K4" t="s">
        <v>60</v>
      </c>
    </row>
    <row r="5" spans="1:11" x14ac:dyDescent="0.25">
      <c r="A5" t="str">
        <f t="shared" ref="A5:A68" si="0">TEXT(B5,"00.00%")</f>
        <v>95.04%</v>
      </c>
      <c r="B5">
        <f>B4+0.001</f>
        <v>0.95036100000000001</v>
      </c>
      <c r="I5" s="13">
        <f>C1</f>
        <v>0.99936100000000005</v>
      </c>
      <c r="J5">
        <v>796.6308535397585</v>
      </c>
      <c r="K5" s="11">
        <f>(J5-J4)/J4</f>
        <v>4.6305658223521636E-4</v>
      </c>
    </row>
    <row r="6" spans="1:11" x14ac:dyDescent="0.25">
      <c r="A6" t="str">
        <f t="shared" si="0"/>
        <v>95.14%</v>
      </c>
      <c r="B6">
        <f t="shared" ref="B6:B69" si="1">B5+0.001</f>
        <v>0.95136100000000001</v>
      </c>
      <c r="I6" s="13">
        <f>C1+0.01</f>
        <v>1.009361</v>
      </c>
      <c r="J6">
        <v>796.21995591459881</v>
      </c>
      <c r="K6" s="11">
        <f>(J6-J5)/J5</f>
        <v>-5.157942644750756E-4</v>
      </c>
    </row>
    <row r="7" spans="1:11" x14ac:dyDescent="0.25">
      <c r="A7" t="str">
        <f t="shared" si="0"/>
        <v>95.24%</v>
      </c>
      <c r="B7">
        <f t="shared" si="1"/>
        <v>0.95236100000000001</v>
      </c>
    </row>
    <row r="8" spans="1:11" x14ac:dyDescent="0.25">
      <c r="A8" t="str">
        <f t="shared" si="0"/>
        <v>95.34%</v>
      </c>
      <c r="B8">
        <f t="shared" si="1"/>
        <v>0.95336100000000001</v>
      </c>
    </row>
    <row r="9" spans="1:11" x14ac:dyDescent="0.25">
      <c r="A9" t="str">
        <f t="shared" si="0"/>
        <v>95.44%</v>
      </c>
      <c r="B9">
        <f t="shared" si="1"/>
        <v>0.95436100000000001</v>
      </c>
    </row>
    <row r="10" spans="1:11" x14ac:dyDescent="0.25">
      <c r="A10" t="str">
        <f t="shared" si="0"/>
        <v>95.54%</v>
      </c>
      <c r="B10">
        <f t="shared" si="1"/>
        <v>0.95536100000000002</v>
      </c>
    </row>
    <row r="11" spans="1:11" x14ac:dyDescent="0.25">
      <c r="A11" t="str">
        <f t="shared" si="0"/>
        <v>95.64%</v>
      </c>
      <c r="B11">
        <f t="shared" si="1"/>
        <v>0.95636100000000002</v>
      </c>
    </row>
    <row r="12" spans="1:11" x14ac:dyDescent="0.25">
      <c r="A12" t="str">
        <f t="shared" si="0"/>
        <v>95.74%</v>
      </c>
      <c r="B12">
        <f t="shared" si="1"/>
        <v>0.95736100000000002</v>
      </c>
    </row>
    <row r="13" spans="1:11" x14ac:dyDescent="0.25">
      <c r="A13" t="str">
        <f t="shared" si="0"/>
        <v>95.84%</v>
      </c>
      <c r="B13">
        <f t="shared" si="1"/>
        <v>0.95836100000000002</v>
      </c>
    </row>
    <row r="14" spans="1:11" x14ac:dyDescent="0.25">
      <c r="A14" t="str">
        <f t="shared" si="0"/>
        <v>95.94%</v>
      </c>
      <c r="B14">
        <f t="shared" si="1"/>
        <v>0.95936100000000002</v>
      </c>
    </row>
    <row r="15" spans="1:11" x14ac:dyDescent="0.25">
      <c r="A15" t="str">
        <f t="shared" si="0"/>
        <v>96.04%</v>
      </c>
      <c r="B15">
        <f t="shared" si="1"/>
        <v>0.96036100000000002</v>
      </c>
    </row>
    <row r="16" spans="1:11" x14ac:dyDescent="0.25">
      <c r="A16" t="str">
        <f t="shared" si="0"/>
        <v>96.14%</v>
      </c>
      <c r="B16">
        <f t="shared" si="1"/>
        <v>0.96136100000000002</v>
      </c>
    </row>
    <row r="17" spans="1:2" x14ac:dyDescent="0.25">
      <c r="A17" t="str">
        <f t="shared" si="0"/>
        <v>96.24%</v>
      </c>
      <c r="B17">
        <f t="shared" si="1"/>
        <v>0.96236100000000002</v>
      </c>
    </row>
    <row r="18" spans="1:2" x14ac:dyDescent="0.25">
      <c r="A18" t="str">
        <f t="shared" si="0"/>
        <v>96.34%</v>
      </c>
      <c r="B18">
        <f t="shared" si="1"/>
        <v>0.96336100000000002</v>
      </c>
    </row>
    <row r="19" spans="1:2" x14ac:dyDescent="0.25">
      <c r="A19" t="str">
        <f t="shared" si="0"/>
        <v>96.44%</v>
      </c>
      <c r="B19">
        <f t="shared" si="1"/>
        <v>0.96436100000000002</v>
      </c>
    </row>
    <row r="20" spans="1:2" x14ac:dyDescent="0.25">
      <c r="A20" t="str">
        <f t="shared" si="0"/>
        <v>96.54%</v>
      </c>
      <c r="B20">
        <f t="shared" si="1"/>
        <v>0.96536100000000002</v>
      </c>
    </row>
    <row r="21" spans="1:2" x14ac:dyDescent="0.25">
      <c r="A21" t="str">
        <f t="shared" si="0"/>
        <v>96.64%</v>
      </c>
      <c r="B21">
        <f t="shared" si="1"/>
        <v>0.96636100000000003</v>
      </c>
    </row>
    <row r="22" spans="1:2" x14ac:dyDescent="0.25">
      <c r="A22" t="str">
        <f t="shared" si="0"/>
        <v>96.74%</v>
      </c>
      <c r="B22">
        <f t="shared" si="1"/>
        <v>0.96736100000000003</v>
      </c>
    </row>
    <row r="23" spans="1:2" x14ac:dyDescent="0.25">
      <c r="A23" t="str">
        <f t="shared" si="0"/>
        <v>96.84%</v>
      </c>
      <c r="B23">
        <f t="shared" si="1"/>
        <v>0.96836100000000003</v>
      </c>
    </row>
    <row r="24" spans="1:2" x14ac:dyDescent="0.25">
      <c r="A24" t="str">
        <f t="shared" si="0"/>
        <v>96.94%</v>
      </c>
      <c r="B24">
        <f t="shared" si="1"/>
        <v>0.96936100000000003</v>
      </c>
    </row>
    <row r="25" spans="1:2" x14ac:dyDescent="0.25">
      <c r="A25" t="str">
        <f t="shared" si="0"/>
        <v>97.04%</v>
      </c>
      <c r="B25">
        <f t="shared" si="1"/>
        <v>0.97036100000000003</v>
      </c>
    </row>
    <row r="26" spans="1:2" x14ac:dyDescent="0.25">
      <c r="A26" t="str">
        <f t="shared" si="0"/>
        <v>97.14%</v>
      </c>
      <c r="B26">
        <f t="shared" si="1"/>
        <v>0.97136100000000003</v>
      </c>
    </row>
    <row r="27" spans="1:2" x14ac:dyDescent="0.25">
      <c r="A27" t="str">
        <f t="shared" si="0"/>
        <v>97.24%</v>
      </c>
      <c r="B27">
        <f t="shared" si="1"/>
        <v>0.97236100000000003</v>
      </c>
    </row>
    <row r="28" spans="1:2" x14ac:dyDescent="0.25">
      <c r="A28" t="str">
        <f t="shared" si="0"/>
        <v>97.34%</v>
      </c>
      <c r="B28">
        <f t="shared" si="1"/>
        <v>0.97336100000000003</v>
      </c>
    </row>
    <row r="29" spans="1:2" x14ac:dyDescent="0.25">
      <c r="A29" t="str">
        <f t="shared" si="0"/>
        <v>97.44%</v>
      </c>
      <c r="B29">
        <f t="shared" si="1"/>
        <v>0.97436100000000003</v>
      </c>
    </row>
    <row r="30" spans="1:2" x14ac:dyDescent="0.25">
      <c r="A30" t="str">
        <f t="shared" si="0"/>
        <v>97.54%</v>
      </c>
      <c r="B30">
        <f t="shared" si="1"/>
        <v>0.97536100000000003</v>
      </c>
    </row>
    <row r="31" spans="1:2" x14ac:dyDescent="0.25">
      <c r="A31" t="str">
        <f t="shared" si="0"/>
        <v>97.64%</v>
      </c>
      <c r="B31">
        <f t="shared" si="1"/>
        <v>0.97636100000000003</v>
      </c>
    </row>
    <row r="32" spans="1:2" x14ac:dyDescent="0.25">
      <c r="A32" t="str">
        <f t="shared" si="0"/>
        <v>97.74%</v>
      </c>
      <c r="B32">
        <f t="shared" si="1"/>
        <v>0.97736100000000004</v>
      </c>
    </row>
    <row r="33" spans="1:2" x14ac:dyDescent="0.25">
      <c r="A33" t="str">
        <f t="shared" si="0"/>
        <v>97.84%</v>
      </c>
      <c r="B33">
        <f t="shared" si="1"/>
        <v>0.97836100000000004</v>
      </c>
    </row>
    <row r="34" spans="1:2" x14ac:dyDescent="0.25">
      <c r="A34" t="str">
        <f t="shared" si="0"/>
        <v>97.94%</v>
      </c>
      <c r="B34">
        <f t="shared" si="1"/>
        <v>0.97936100000000004</v>
      </c>
    </row>
    <row r="35" spans="1:2" x14ac:dyDescent="0.25">
      <c r="A35" t="str">
        <f t="shared" si="0"/>
        <v>98.04%</v>
      </c>
      <c r="B35">
        <f t="shared" si="1"/>
        <v>0.98036100000000004</v>
      </c>
    </row>
    <row r="36" spans="1:2" x14ac:dyDescent="0.25">
      <c r="A36" t="str">
        <f t="shared" si="0"/>
        <v>98.14%</v>
      </c>
      <c r="B36">
        <f t="shared" si="1"/>
        <v>0.98136100000000004</v>
      </c>
    </row>
    <row r="37" spans="1:2" x14ac:dyDescent="0.25">
      <c r="A37" t="str">
        <f t="shared" si="0"/>
        <v>98.24%</v>
      </c>
      <c r="B37">
        <f t="shared" si="1"/>
        <v>0.98236100000000004</v>
      </c>
    </row>
    <row r="38" spans="1:2" x14ac:dyDescent="0.25">
      <c r="A38" t="str">
        <f t="shared" si="0"/>
        <v>98.34%</v>
      </c>
      <c r="B38">
        <f t="shared" si="1"/>
        <v>0.98336100000000004</v>
      </c>
    </row>
    <row r="39" spans="1:2" x14ac:dyDescent="0.25">
      <c r="A39" t="str">
        <f t="shared" si="0"/>
        <v>98.44%</v>
      </c>
      <c r="B39">
        <f t="shared" si="1"/>
        <v>0.98436100000000004</v>
      </c>
    </row>
    <row r="40" spans="1:2" x14ac:dyDescent="0.25">
      <c r="A40" t="str">
        <f t="shared" si="0"/>
        <v>98.54%</v>
      </c>
      <c r="B40">
        <f t="shared" si="1"/>
        <v>0.98536100000000004</v>
      </c>
    </row>
    <row r="41" spans="1:2" x14ac:dyDescent="0.25">
      <c r="A41" t="str">
        <f t="shared" si="0"/>
        <v>98.64%</v>
      </c>
      <c r="B41">
        <f t="shared" si="1"/>
        <v>0.98636100000000004</v>
      </c>
    </row>
    <row r="42" spans="1:2" x14ac:dyDescent="0.25">
      <c r="A42" t="str">
        <f t="shared" si="0"/>
        <v>98.74%</v>
      </c>
      <c r="B42">
        <f t="shared" si="1"/>
        <v>0.98736100000000004</v>
      </c>
    </row>
    <row r="43" spans="1:2" x14ac:dyDescent="0.25">
      <c r="A43" t="str">
        <f t="shared" si="0"/>
        <v>98.84%</v>
      </c>
      <c r="B43">
        <f t="shared" si="1"/>
        <v>0.98836100000000005</v>
      </c>
    </row>
    <row r="44" spans="1:2" x14ac:dyDescent="0.25">
      <c r="A44" t="str">
        <f t="shared" si="0"/>
        <v>98.94%</v>
      </c>
      <c r="B44">
        <f t="shared" si="1"/>
        <v>0.98936100000000005</v>
      </c>
    </row>
    <row r="45" spans="1:2" x14ac:dyDescent="0.25">
      <c r="A45" t="str">
        <f t="shared" si="0"/>
        <v>99.04%</v>
      </c>
      <c r="B45">
        <f t="shared" si="1"/>
        <v>0.99036100000000005</v>
      </c>
    </row>
    <row r="46" spans="1:2" x14ac:dyDescent="0.25">
      <c r="A46" t="str">
        <f t="shared" si="0"/>
        <v>99.14%</v>
      </c>
      <c r="B46">
        <f t="shared" si="1"/>
        <v>0.99136100000000005</v>
      </c>
    </row>
    <row r="47" spans="1:2" x14ac:dyDescent="0.25">
      <c r="A47" t="str">
        <f t="shared" si="0"/>
        <v>99.24%</v>
      </c>
      <c r="B47">
        <f t="shared" si="1"/>
        <v>0.99236100000000005</v>
      </c>
    </row>
    <row r="48" spans="1:2" x14ac:dyDescent="0.25">
      <c r="A48" t="str">
        <f t="shared" si="0"/>
        <v>99.34%</v>
      </c>
      <c r="B48">
        <f t="shared" si="1"/>
        <v>0.99336100000000005</v>
      </c>
    </row>
    <row r="49" spans="1:2" x14ac:dyDescent="0.25">
      <c r="A49" t="str">
        <f t="shared" si="0"/>
        <v>99.44%</v>
      </c>
      <c r="B49">
        <f t="shared" si="1"/>
        <v>0.99436100000000005</v>
      </c>
    </row>
    <row r="50" spans="1:2" x14ac:dyDescent="0.25">
      <c r="A50" t="str">
        <f t="shared" si="0"/>
        <v>99.54%</v>
      </c>
      <c r="B50">
        <f t="shared" si="1"/>
        <v>0.99536100000000005</v>
      </c>
    </row>
    <row r="51" spans="1:2" x14ac:dyDescent="0.25">
      <c r="A51" t="str">
        <f t="shared" si="0"/>
        <v>99.64%</v>
      </c>
      <c r="B51">
        <f t="shared" si="1"/>
        <v>0.99636100000000005</v>
      </c>
    </row>
    <row r="52" spans="1:2" x14ac:dyDescent="0.25">
      <c r="A52" t="str">
        <f t="shared" si="0"/>
        <v>99.74%</v>
      </c>
      <c r="B52">
        <f t="shared" si="1"/>
        <v>0.99736100000000005</v>
      </c>
    </row>
    <row r="53" spans="1:2" x14ac:dyDescent="0.25">
      <c r="A53" t="str">
        <f t="shared" si="0"/>
        <v>99.84%</v>
      </c>
      <c r="B53">
        <f t="shared" si="1"/>
        <v>0.99836100000000005</v>
      </c>
    </row>
    <row r="54" spans="1:2" x14ac:dyDescent="0.25">
      <c r="A54" t="str">
        <f t="shared" si="0"/>
        <v>99.94%</v>
      </c>
      <c r="B54">
        <f t="shared" si="1"/>
        <v>0.99936100000000005</v>
      </c>
    </row>
    <row r="55" spans="1:2" x14ac:dyDescent="0.25">
      <c r="A55" t="str">
        <f t="shared" si="0"/>
        <v>100.04%</v>
      </c>
      <c r="B55">
        <f t="shared" si="1"/>
        <v>1.0003610000000001</v>
      </c>
    </row>
    <row r="56" spans="1:2" x14ac:dyDescent="0.25">
      <c r="A56" t="str">
        <f t="shared" si="0"/>
        <v>100.14%</v>
      </c>
      <c r="B56">
        <f t="shared" si="1"/>
        <v>1.0013609999999999</v>
      </c>
    </row>
    <row r="57" spans="1:2" x14ac:dyDescent="0.25">
      <c r="A57" t="str">
        <f t="shared" si="0"/>
        <v>100.24%</v>
      </c>
      <c r="B57">
        <f t="shared" si="1"/>
        <v>1.0023609999999998</v>
      </c>
    </row>
    <row r="58" spans="1:2" x14ac:dyDescent="0.25">
      <c r="A58" t="str">
        <f t="shared" si="0"/>
        <v>100.34%</v>
      </c>
      <c r="B58">
        <f t="shared" si="1"/>
        <v>1.0033609999999997</v>
      </c>
    </row>
    <row r="59" spans="1:2" x14ac:dyDescent="0.25">
      <c r="A59" t="str">
        <f t="shared" si="0"/>
        <v>100.44%</v>
      </c>
      <c r="B59">
        <f t="shared" si="1"/>
        <v>1.0043609999999996</v>
      </c>
    </row>
    <row r="60" spans="1:2" x14ac:dyDescent="0.25">
      <c r="A60" t="str">
        <f t="shared" si="0"/>
        <v>100.54%</v>
      </c>
      <c r="B60">
        <f t="shared" si="1"/>
        <v>1.0053609999999995</v>
      </c>
    </row>
    <row r="61" spans="1:2" x14ac:dyDescent="0.25">
      <c r="A61" t="str">
        <f t="shared" si="0"/>
        <v>100.64%</v>
      </c>
      <c r="B61">
        <f t="shared" si="1"/>
        <v>1.0063609999999994</v>
      </c>
    </row>
    <row r="62" spans="1:2" x14ac:dyDescent="0.25">
      <c r="A62" t="str">
        <f t="shared" si="0"/>
        <v>100.74%</v>
      </c>
      <c r="B62">
        <f t="shared" si="1"/>
        <v>1.0073609999999993</v>
      </c>
    </row>
    <row r="63" spans="1:2" x14ac:dyDescent="0.25">
      <c r="A63" t="str">
        <f t="shared" si="0"/>
        <v>100.84%</v>
      </c>
      <c r="B63">
        <f t="shared" si="1"/>
        <v>1.0083609999999992</v>
      </c>
    </row>
    <row r="64" spans="1:2" x14ac:dyDescent="0.25">
      <c r="A64" t="str">
        <f t="shared" si="0"/>
        <v>100.94%</v>
      </c>
      <c r="B64">
        <f t="shared" si="1"/>
        <v>1.0093609999999991</v>
      </c>
    </row>
    <row r="65" spans="1:2" x14ac:dyDescent="0.25">
      <c r="A65" t="str">
        <f t="shared" si="0"/>
        <v>101.04%</v>
      </c>
      <c r="B65">
        <f t="shared" si="1"/>
        <v>1.010360999999999</v>
      </c>
    </row>
    <row r="66" spans="1:2" x14ac:dyDescent="0.25">
      <c r="A66" t="str">
        <f t="shared" si="0"/>
        <v>101.14%</v>
      </c>
      <c r="B66">
        <f t="shared" si="1"/>
        <v>1.0113609999999988</v>
      </c>
    </row>
    <row r="67" spans="1:2" x14ac:dyDescent="0.25">
      <c r="A67" t="str">
        <f t="shared" si="0"/>
        <v>101.24%</v>
      </c>
      <c r="B67">
        <f t="shared" si="1"/>
        <v>1.0123609999999987</v>
      </c>
    </row>
    <row r="68" spans="1:2" x14ac:dyDescent="0.25">
      <c r="A68" t="str">
        <f t="shared" si="0"/>
        <v>101.34%</v>
      </c>
      <c r="B68">
        <f t="shared" si="1"/>
        <v>1.0133609999999986</v>
      </c>
    </row>
    <row r="69" spans="1:2" x14ac:dyDescent="0.25">
      <c r="A69" t="str">
        <f t="shared" ref="A69:A104" si="2">TEXT(B69,"00.00%")</f>
        <v>101.44%</v>
      </c>
      <c r="B69">
        <f t="shared" si="1"/>
        <v>1.0143609999999985</v>
      </c>
    </row>
    <row r="70" spans="1:2" x14ac:dyDescent="0.25">
      <c r="A70" t="str">
        <f t="shared" si="2"/>
        <v>101.54%</v>
      </c>
      <c r="B70">
        <f t="shared" ref="B70:B104" si="3">B69+0.001</f>
        <v>1.0153609999999984</v>
      </c>
    </row>
    <row r="71" spans="1:2" x14ac:dyDescent="0.25">
      <c r="A71" t="str">
        <f t="shared" si="2"/>
        <v>101.64%</v>
      </c>
      <c r="B71">
        <f t="shared" si="3"/>
        <v>1.0163609999999983</v>
      </c>
    </row>
    <row r="72" spans="1:2" x14ac:dyDescent="0.25">
      <c r="A72" t="str">
        <f t="shared" si="2"/>
        <v>101.74%</v>
      </c>
      <c r="B72">
        <f t="shared" si="3"/>
        <v>1.0173609999999982</v>
      </c>
    </row>
    <row r="73" spans="1:2" x14ac:dyDescent="0.25">
      <c r="A73" t="str">
        <f t="shared" si="2"/>
        <v>101.84%</v>
      </c>
      <c r="B73">
        <f t="shared" si="3"/>
        <v>1.0183609999999981</v>
      </c>
    </row>
    <row r="74" spans="1:2" x14ac:dyDescent="0.25">
      <c r="A74" t="str">
        <f t="shared" si="2"/>
        <v>101.94%</v>
      </c>
      <c r="B74">
        <f t="shared" si="3"/>
        <v>1.019360999999998</v>
      </c>
    </row>
    <row r="75" spans="1:2" x14ac:dyDescent="0.25">
      <c r="A75" t="str">
        <f t="shared" si="2"/>
        <v>102.04%</v>
      </c>
      <c r="B75">
        <f t="shared" si="3"/>
        <v>1.0203609999999979</v>
      </c>
    </row>
    <row r="76" spans="1:2" x14ac:dyDescent="0.25">
      <c r="A76" t="str">
        <f t="shared" si="2"/>
        <v>102.14%</v>
      </c>
      <c r="B76">
        <f t="shared" si="3"/>
        <v>1.0213609999999977</v>
      </c>
    </row>
    <row r="77" spans="1:2" x14ac:dyDescent="0.25">
      <c r="A77" t="str">
        <f t="shared" si="2"/>
        <v>102.24%</v>
      </c>
      <c r="B77">
        <f t="shared" si="3"/>
        <v>1.0223609999999976</v>
      </c>
    </row>
    <row r="78" spans="1:2" x14ac:dyDescent="0.25">
      <c r="A78" t="str">
        <f t="shared" si="2"/>
        <v>102.34%</v>
      </c>
      <c r="B78">
        <f t="shared" si="3"/>
        <v>1.0233609999999975</v>
      </c>
    </row>
    <row r="79" spans="1:2" x14ac:dyDescent="0.25">
      <c r="A79" t="str">
        <f t="shared" si="2"/>
        <v>102.44%</v>
      </c>
      <c r="B79">
        <f t="shared" si="3"/>
        <v>1.0243609999999974</v>
      </c>
    </row>
    <row r="80" spans="1:2" x14ac:dyDescent="0.25">
      <c r="A80" t="str">
        <f t="shared" si="2"/>
        <v>102.54%</v>
      </c>
      <c r="B80">
        <f t="shared" si="3"/>
        <v>1.0253609999999973</v>
      </c>
    </row>
    <row r="81" spans="1:2" x14ac:dyDescent="0.25">
      <c r="A81" t="str">
        <f t="shared" si="2"/>
        <v>102.64%</v>
      </c>
      <c r="B81">
        <f t="shared" si="3"/>
        <v>1.0263609999999972</v>
      </c>
    </row>
    <row r="82" spans="1:2" x14ac:dyDescent="0.25">
      <c r="A82" t="str">
        <f t="shared" si="2"/>
        <v>102.74%</v>
      </c>
      <c r="B82">
        <f t="shared" si="3"/>
        <v>1.0273609999999971</v>
      </c>
    </row>
    <row r="83" spans="1:2" x14ac:dyDescent="0.25">
      <c r="A83" t="str">
        <f t="shared" si="2"/>
        <v>102.84%</v>
      </c>
      <c r="B83">
        <f t="shared" si="3"/>
        <v>1.028360999999997</v>
      </c>
    </row>
    <row r="84" spans="1:2" x14ac:dyDescent="0.25">
      <c r="A84" t="str">
        <f t="shared" si="2"/>
        <v>102.94%</v>
      </c>
      <c r="B84">
        <f t="shared" si="3"/>
        <v>1.0293609999999969</v>
      </c>
    </row>
    <row r="85" spans="1:2" x14ac:dyDescent="0.25">
      <c r="A85" t="str">
        <f t="shared" si="2"/>
        <v>103.04%</v>
      </c>
      <c r="B85">
        <f t="shared" si="3"/>
        <v>1.0303609999999968</v>
      </c>
    </row>
    <row r="86" spans="1:2" x14ac:dyDescent="0.25">
      <c r="A86" t="str">
        <f t="shared" si="2"/>
        <v>103.14%</v>
      </c>
      <c r="B86">
        <f t="shared" si="3"/>
        <v>1.0313609999999966</v>
      </c>
    </row>
    <row r="87" spans="1:2" x14ac:dyDescent="0.25">
      <c r="A87" t="str">
        <f t="shared" si="2"/>
        <v>103.24%</v>
      </c>
      <c r="B87">
        <f t="shared" si="3"/>
        <v>1.0323609999999965</v>
      </c>
    </row>
    <row r="88" spans="1:2" x14ac:dyDescent="0.25">
      <c r="A88" t="str">
        <f t="shared" si="2"/>
        <v>103.34%</v>
      </c>
      <c r="B88">
        <f t="shared" si="3"/>
        <v>1.0333609999999964</v>
      </c>
    </row>
    <row r="89" spans="1:2" x14ac:dyDescent="0.25">
      <c r="A89" t="str">
        <f t="shared" si="2"/>
        <v>103.44%</v>
      </c>
      <c r="B89">
        <f t="shared" si="3"/>
        <v>1.0343609999999963</v>
      </c>
    </row>
    <row r="90" spans="1:2" x14ac:dyDescent="0.25">
      <c r="A90" t="str">
        <f t="shared" si="2"/>
        <v>103.54%</v>
      </c>
      <c r="B90">
        <f t="shared" si="3"/>
        <v>1.0353609999999962</v>
      </c>
    </row>
    <row r="91" spans="1:2" x14ac:dyDescent="0.25">
      <c r="A91" t="str">
        <f t="shared" si="2"/>
        <v>103.64%</v>
      </c>
      <c r="B91">
        <f t="shared" si="3"/>
        <v>1.0363609999999961</v>
      </c>
    </row>
    <row r="92" spans="1:2" x14ac:dyDescent="0.25">
      <c r="A92" t="str">
        <f t="shared" si="2"/>
        <v>103.74%</v>
      </c>
      <c r="B92">
        <f t="shared" si="3"/>
        <v>1.037360999999996</v>
      </c>
    </row>
    <row r="93" spans="1:2" x14ac:dyDescent="0.25">
      <c r="A93" t="str">
        <f t="shared" si="2"/>
        <v>103.84%</v>
      </c>
      <c r="B93">
        <f t="shared" si="3"/>
        <v>1.0383609999999959</v>
      </c>
    </row>
    <row r="94" spans="1:2" x14ac:dyDescent="0.25">
      <c r="A94" t="str">
        <f t="shared" si="2"/>
        <v>103.94%</v>
      </c>
      <c r="B94">
        <f t="shared" si="3"/>
        <v>1.0393609999999958</v>
      </c>
    </row>
    <row r="95" spans="1:2" x14ac:dyDescent="0.25">
      <c r="A95" t="str">
        <f t="shared" si="2"/>
        <v>104.04%</v>
      </c>
      <c r="B95">
        <f t="shared" si="3"/>
        <v>1.0403609999999957</v>
      </c>
    </row>
    <row r="96" spans="1:2" x14ac:dyDescent="0.25">
      <c r="A96" t="str">
        <f t="shared" si="2"/>
        <v>104.14%</v>
      </c>
      <c r="B96">
        <f t="shared" si="3"/>
        <v>1.0413609999999955</v>
      </c>
    </row>
    <row r="97" spans="1:2" x14ac:dyDescent="0.25">
      <c r="A97" t="str">
        <f t="shared" si="2"/>
        <v>104.24%</v>
      </c>
      <c r="B97">
        <f t="shared" si="3"/>
        <v>1.0423609999999954</v>
      </c>
    </row>
    <row r="98" spans="1:2" x14ac:dyDescent="0.25">
      <c r="A98" t="str">
        <f t="shared" si="2"/>
        <v>104.34%</v>
      </c>
      <c r="B98">
        <f t="shared" si="3"/>
        <v>1.0433609999999953</v>
      </c>
    </row>
    <row r="99" spans="1:2" x14ac:dyDescent="0.25">
      <c r="A99" t="str">
        <f t="shared" si="2"/>
        <v>104.44%</v>
      </c>
      <c r="B99">
        <f t="shared" si="3"/>
        <v>1.0443609999999952</v>
      </c>
    </row>
    <row r="100" spans="1:2" x14ac:dyDescent="0.25">
      <c r="A100" t="str">
        <f t="shared" si="2"/>
        <v>104.54%</v>
      </c>
      <c r="B100">
        <f t="shared" si="3"/>
        <v>1.0453609999999951</v>
      </c>
    </row>
    <row r="101" spans="1:2" x14ac:dyDescent="0.25">
      <c r="A101" t="str">
        <f t="shared" si="2"/>
        <v>104.64%</v>
      </c>
      <c r="B101">
        <f t="shared" si="3"/>
        <v>1.046360999999995</v>
      </c>
    </row>
    <row r="102" spans="1:2" x14ac:dyDescent="0.25">
      <c r="A102" t="str">
        <f t="shared" si="2"/>
        <v>104.74%</v>
      </c>
      <c r="B102">
        <f t="shared" si="3"/>
        <v>1.0473609999999949</v>
      </c>
    </row>
    <row r="103" spans="1:2" x14ac:dyDescent="0.25">
      <c r="A103" t="str">
        <f t="shared" si="2"/>
        <v>104.84%</v>
      </c>
      <c r="B103">
        <f t="shared" si="3"/>
        <v>1.0483609999999948</v>
      </c>
    </row>
    <row r="104" spans="1:2" x14ac:dyDescent="0.25">
      <c r="A104" t="str">
        <f t="shared" si="2"/>
        <v>104.94%</v>
      </c>
      <c r="B104">
        <f t="shared" si="3"/>
        <v>1.0493609999999947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Sheet11.heston_change_sigma_v2">
                <anchor moveWithCells="1" sizeWithCells="1">
                  <from>
                    <xdr:col>5</xdr:col>
                    <xdr:colOff>28575</xdr:colOff>
                    <xdr:row>7</xdr:row>
                    <xdr:rowOff>123825</xdr:rowOff>
                  </from>
                  <to>
                    <xdr:col>7</xdr:col>
                    <xdr:colOff>133350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K104"/>
  <sheetViews>
    <sheetView workbookViewId="0">
      <selection activeCell="L17" sqref="L17"/>
    </sheetView>
  </sheetViews>
  <sheetFormatPr defaultRowHeight="15" x14ac:dyDescent="0.25"/>
  <cols>
    <col min="2" max="2" width="15.7109375" bestFit="1" customWidth="1"/>
    <col min="3" max="3" width="15.140625" bestFit="1" customWidth="1"/>
    <col min="11" max="11" width="9.85546875" bestFit="1" customWidth="1"/>
  </cols>
  <sheetData>
    <row r="1" spans="1:11" x14ac:dyDescent="0.25">
      <c r="B1" t="s">
        <v>80</v>
      </c>
      <c r="C1">
        <f>'Parameter Page'!H15</f>
        <v>0.99679300000000004</v>
      </c>
      <c r="E1">
        <f>C1-0.05</f>
        <v>0.946793</v>
      </c>
      <c r="F1">
        <f>C1+0.05</f>
        <v>1.0467930000000001</v>
      </c>
    </row>
    <row r="2" spans="1:11" x14ac:dyDescent="0.25">
      <c r="C2" t="s">
        <v>54</v>
      </c>
      <c r="D2">
        <f>COUNT(B4:B204)</f>
        <v>101</v>
      </c>
      <c r="J2" t="s">
        <v>55</v>
      </c>
    </row>
    <row r="3" spans="1:11" x14ac:dyDescent="0.25">
      <c r="B3" t="s">
        <v>81</v>
      </c>
      <c r="C3" t="s">
        <v>57</v>
      </c>
      <c r="I3" t="str">
        <f>B3</f>
        <v>Sigma v3</v>
      </c>
      <c r="J3" t="s">
        <v>57</v>
      </c>
      <c r="K3" t="s">
        <v>59</v>
      </c>
    </row>
    <row r="4" spans="1:11" x14ac:dyDescent="0.25">
      <c r="A4" t="str">
        <f>TEXT(B4,"00.00%")</f>
        <v>94.68%</v>
      </c>
      <c r="B4">
        <f>E1</f>
        <v>0.946793</v>
      </c>
      <c r="I4" s="13">
        <f>C1-0.01</f>
        <v>0.98679300000000003</v>
      </c>
      <c r="J4">
        <v>811.90261297696793</v>
      </c>
      <c r="K4" t="s">
        <v>60</v>
      </c>
    </row>
    <row r="5" spans="1:11" x14ac:dyDescent="0.25">
      <c r="A5" t="str">
        <f t="shared" ref="A5:A68" si="0">TEXT(B5,"00.00%")</f>
        <v>94.78%</v>
      </c>
      <c r="B5">
        <f>B4+0.001</f>
        <v>0.947793</v>
      </c>
      <c r="I5" s="13">
        <f>C1</f>
        <v>0.99679300000000004</v>
      </c>
      <c r="J5">
        <v>812.51457530072753</v>
      </c>
      <c r="K5" s="11">
        <f>(J5-J4)/J4</f>
        <v>7.5373858142387693E-4</v>
      </c>
    </row>
    <row r="6" spans="1:11" x14ac:dyDescent="0.25">
      <c r="A6" t="str">
        <f t="shared" si="0"/>
        <v>94.88%</v>
      </c>
      <c r="B6">
        <f t="shared" ref="B6:B69" si="1">B5+0.001</f>
        <v>0.948793</v>
      </c>
      <c r="I6" s="13">
        <f>C1+0.01</f>
        <v>1.006793</v>
      </c>
      <c r="J6">
        <v>812.14448176637848</v>
      </c>
      <c r="K6" s="11">
        <f>(J6-J5)/J5</f>
        <v>-4.5549156359696557E-4</v>
      </c>
    </row>
    <row r="7" spans="1:11" x14ac:dyDescent="0.25">
      <c r="A7" t="str">
        <f t="shared" si="0"/>
        <v>94.98%</v>
      </c>
      <c r="B7">
        <f t="shared" si="1"/>
        <v>0.949793</v>
      </c>
    </row>
    <row r="8" spans="1:11" x14ac:dyDescent="0.25">
      <c r="A8" t="str">
        <f t="shared" si="0"/>
        <v>95.08%</v>
      </c>
      <c r="B8">
        <f t="shared" si="1"/>
        <v>0.950793</v>
      </c>
    </row>
    <row r="9" spans="1:11" x14ac:dyDescent="0.25">
      <c r="A9" t="str">
        <f t="shared" si="0"/>
        <v>95.18%</v>
      </c>
      <c r="B9">
        <f t="shared" si="1"/>
        <v>0.951793</v>
      </c>
    </row>
    <row r="10" spans="1:11" x14ac:dyDescent="0.25">
      <c r="A10" t="str">
        <f t="shared" si="0"/>
        <v>95.28%</v>
      </c>
      <c r="B10">
        <f t="shared" si="1"/>
        <v>0.952793</v>
      </c>
    </row>
    <row r="11" spans="1:11" x14ac:dyDescent="0.25">
      <c r="A11" t="str">
        <f t="shared" si="0"/>
        <v>95.38%</v>
      </c>
      <c r="B11">
        <f t="shared" si="1"/>
        <v>0.953793</v>
      </c>
    </row>
    <row r="12" spans="1:11" x14ac:dyDescent="0.25">
      <c r="A12" t="str">
        <f t="shared" si="0"/>
        <v>95.48%</v>
      </c>
      <c r="B12">
        <f t="shared" si="1"/>
        <v>0.954793</v>
      </c>
    </row>
    <row r="13" spans="1:11" x14ac:dyDescent="0.25">
      <c r="A13" t="str">
        <f t="shared" si="0"/>
        <v>95.58%</v>
      </c>
      <c r="B13">
        <f t="shared" si="1"/>
        <v>0.955793</v>
      </c>
    </row>
    <row r="14" spans="1:11" x14ac:dyDescent="0.25">
      <c r="A14" t="str">
        <f t="shared" si="0"/>
        <v>95.68%</v>
      </c>
      <c r="B14">
        <f t="shared" si="1"/>
        <v>0.956793</v>
      </c>
    </row>
    <row r="15" spans="1:11" x14ac:dyDescent="0.25">
      <c r="A15" t="str">
        <f t="shared" si="0"/>
        <v>95.78%</v>
      </c>
      <c r="B15">
        <f t="shared" si="1"/>
        <v>0.95779300000000001</v>
      </c>
    </row>
    <row r="16" spans="1:11" x14ac:dyDescent="0.25">
      <c r="A16" t="str">
        <f t="shared" si="0"/>
        <v>95.88%</v>
      </c>
      <c r="B16">
        <f t="shared" si="1"/>
        <v>0.95879300000000001</v>
      </c>
    </row>
    <row r="17" spans="1:2" x14ac:dyDescent="0.25">
      <c r="A17" t="str">
        <f t="shared" si="0"/>
        <v>95.98%</v>
      </c>
      <c r="B17">
        <f t="shared" si="1"/>
        <v>0.95979300000000001</v>
      </c>
    </row>
    <row r="18" spans="1:2" x14ac:dyDescent="0.25">
      <c r="A18" t="str">
        <f t="shared" si="0"/>
        <v>96.08%</v>
      </c>
      <c r="B18">
        <f t="shared" si="1"/>
        <v>0.96079300000000001</v>
      </c>
    </row>
    <row r="19" spans="1:2" x14ac:dyDescent="0.25">
      <c r="A19" t="str">
        <f t="shared" si="0"/>
        <v>96.18%</v>
      </c>
      <c r="B19">
        <f t="shared" si="1"/>
        <v>0.96179300000000001</v>
      </c>
    </row>
    <row r="20" spans="1:2" x14ac:dyDescent="0.25">
      <c r="A20" t="str">
        <f t="shared" si="0"/>
        <v>96.28%</v>
      </c>
      <c r="B20">
        <f t="shared" si="1"/>
        <v>0.96279300000000001</v>
      </c>
    </row>
    <row r="21" spans="1:2" x14ac:dyDescent="0.25">
      <c r="A21" t="str">
        <f t="shared" si="0"/>
        <v>96.38%</v>
      </c>
      <c r="B21">
        <f t="shared" si="1"/>
        <v>0.96379300000000001</v>
      </c>
    </row>
    <row r="22" spans="1:2" x14ac:dyDescent="0.25">
      <c r="A22" t="str">
        <f t="shared" si="0"/>
        <v>96.48%</v>
      </c>
      <c r="B22">
        <f t="shared" si="1"/>
        <v>0.96479300000000001</v>
      </c>
    </row>
    <row r="23" spans="1:2" x14ac:dyDescent="0.25">
      <c r="A23" t="str">
        <f t="shared" si="0"/>
        <v>96.58%</v>
      </c>
      <c r="B23">
        <f t="shared" si="1"/>
        <v>0.96579300000000001</v>
      </c>
    </row>
    <row r="24" spans="1:2" x14ac:dyDescent="0.25">
      <c r="A24" t="str">
        <f t="shared" si="0"/>
        <v>96.68%</v>
      </c>
      <c r="B24">
        <f t="shared" si="1"/>
        <v>0.96679300000000001</v>
      </c>
    </row>
    <row r="25" spans="1:2" x14ac:dyDescent="0.25">
      <c r="A25" t="str">
        <f t="shared" si="0"/>
        <v>96.78%</v>
      </c>
      <c r="B25">
        <f t="shared" si="1"/>
        <v>0.96779300000000001</v>
      </c>
    </row>
    <row r="26" spans="1:2" x14ac:dyDescent="0.25">
      <c r="A26" t="str">
        <f t="shared" si="0"/>
        <v>96.88%</v>
      </c>
      <c r="B26">
        <f t="shared" si="1"/>
        <v>0.96879300000000002</v>
      </c>
    </row>
    <row r="27" spans="1:2" x14ac:dyDescent="0.25">
      <c r="A27" t="str">
        <f t="shared" si="0"/>
        <v>96.98%</v>
      </c>
      <c r="B27">
        <f t="shared" si="1"/>
        <v>0.96979300000000002</v>
      </c>
    </row>
    <row r="28" spans="1:2" x14ac:dyDescent="0.25">
      <c r="A28" t="str">
        <f t="shared" si="0"/>
        <v>97.08%</v>
      </c>
      <c r="B28">
        <f t="shared" si="1"/>
        <v>0.97079300000000002</v>
      </c>
    </row>
    <row r="29" spans="1:2" x14ac:dyDescent="0.25">
      <c r="A29" t="str">
        <f t="shared" si="0"/>
        <v>97.18%</v>
      </c>
      <c r="B29">
        <f t="shared" si="1"/>
        <v>0.97179300000000002</v>
      </c>
    </row>
    <row r="30" spans="1:2" x14ac:dyDescent="0.25">
      <c r="A30" t="str">
        <f t="shared" si="0"/>
        <v>97.28%</v>
      </c>
      <c r="B30">
        <f t="shared" si="1"/>
        <v>0.97279300000000002</v>
      </c>
    </row>
    <row r="31" spans="1:2" x14ac:dyDescent="0.25">
      <c r="A31" t="str">
        <f t="shared" si="0"/>
        <v>97.38%</v>
      </c>
      <c r="B31">
        <f t="shared" si="1"/>
        <v>0.97379300000000002</v>
      </c>
    </row>
    <row r="32" spans="1:2" x14ac:dyDescent="0.25">
      <c r="A32" t="str">
        <f t="shared" si="0"/>
        <v>97.48%</v>
      </c>
      <c r="B32">
        <f t="shared" si="1"/>
        <v>0.97479300000000002</v>
      </c>
    </row>
    <row r="33" spans="1:2" x14ac:dyDescent="0.25">
      <c r="A33" t="str">
        <f t="shared" si="0"/>
        <v>97.58%</v>
      </c>
      <c r="B33">
        <f t="shared" si="1"/>
        <v>0.97579300000000002</v>
      </c>
    </row>
    <row r="34" spans="1:2" x14ac:dyDescent="0.25">
      <c r="A34" t="str">
        <f t="shared" si="0"/>
        <v>97.68%</v>
      </c>
      <c r="B34">
        <f t="shared" si="1"/>
        <v>0.97679300000000002</v>
      </c>
    </row>
    <row r="35" spans="1:2" x14ac:dyDescent="0.25">
      <c r="A35" t="str">
        <f t="shared" si="0"/>
        <v>97.78%</v>
      </c>
      <c r="B35">
        <f t="shared" si="1"/>
        <v>0.97779300000000002</v>
      </c>
    </row>
    <row r="36" spans="1:2" x14ac:dyDescent="0.25">
      <c r="A36" t="str">
        <f t="shared" si="0"/>
        <v>97.88%</v>
      </c>
      <c r="B36">
        <f t="shared" si="1"/>
        <v>0.97879300000000002</v>
      </c>
    </row>
    <row r="37" spans="1:2" x14ac:dyDescent="0.25">
      <c r="A37" t="str">
        <f t="shared" si="0"/>
        <v>97.98%</v>
      </c>
      <c r="B37">
        <f t="shared" si="1"/>
        <v>0.97979300000000003</v>
      </c>
    </row>
    <row r="38" spans="1:2" x14ac:dyDescent="0.25">
      <c r="A38" t="str">
        <f t="shared" si="0"/>
        <v>98.08%</v>
      </c>
      <c r="B38">
        <f t="shared" si="1"/>
        <v>0.98079300000000003</v>
      </c>
    </row>
    <row r="39" spans="1:2" x14ac:dyDescent="0.25">
      <c r="A39" t="str">
        <f t="shared" si="0"/>
        <v>98.18%</v>
      </c>
      <c r="B39">
        <f t="shared" si="1"/>
        <v>0.98179300000000003</v>
      </c>
    </row>
    <row r="40" spans="1:2" x14ac:dyDescent="0.25">
      <c r="A40" t="str">
        <f t="shared" si="0"/>
        <v>98.28%</v>
      </c>
      <c r="B40">
        <f t="shared" si="1"/>
        <v>0.98279300000000003</v>
      </c>
    </row>
    <row r="41" spans="1:2" x14ac:dyDescent="0.25">
      <c r="A41" t="str">
        <f t="shared" si="0"/>
        <v>98.38%</v>
      </c>
      <c r="B41">
        <f t="shared" si="1"/>
        <v>0.98379300000000003</v>
      </c>
    </row>
    <row r="42" spans="1:2" x14ac:dyDescent="0.25">
      <c r="A42" t="str">
        <f t="shared" si="0"/>
        <v>98.48%</v>
      </c>
      <c r="B42">
        <f t="shared" si="1"/>
        <v>0.98479300000000003</v>
      </c>
    </row>
    <row r="43" spans="1:2" x14ac:dyDescent="0.25">
      <c r="A43" t="str">
        <f t="shared" si="0"/>
        <v>98.58%</v>
      </c>
      <c r="B43">
        <f t="shared" si="1"/>
        <v>0.98579300000000003</v>
      </c>
    </row>
    <row r="44" spans="1:2" x14ac:dyDescent="0.25">
      <c r="A44" t="str">
        <f t="shared" si="0"/>
        <v>98.68%</v>
      </c>
      <c r="B44">
        <f t="shared" si="1"/>
        <v>0.98679300000000003</v>
      </c>
    </row>
    <row r="45" spans="1:2" x14ac:dyDescent="0.25">
      <c r="A45" t="str">
        <f t="shared" si="0"/>
        <v>98.78%</v>
      </c>
      <c r="B45">
        <f t="shared" si="1"/>
        <v>0.98779300000000003</v>
      </c>
    </row>
    <row r="46" spans="1:2" x14ac:dyDescent="0.25">
      <c r="A46" t="str">
        <f t="shared" si="0"/>
        <v>98.88%</v>
      </c>
      <c r="B46">
        <f t="shared" si="1"/>
        <v>0.98879300000000003</v>
      </c>
    </row>
    <row r="47" spans="1:2" x14ac:dyDescent="0.25">
      <c r="A47" t="str">
        <f t="shared" si="0"/>
        <v>98.98%</v>
      </c>
      <c r="B47">
        <f t="shared" si="1"/>
        <v>0.98979300000000003</v>
      </c>
    </row>
    <row r="48" spans="1:2" x14ac:dyDescent="0.25">
      <c r="A48" t="str">
        <f t="shared" si="0"/>
        <v>99.08%</v>
      </c>
      <c r="B48">
        <f t="shared" si="1"/>
        <v>0.99079300000000003</v>
      </c>
    </row>
    <row r="49" spans="1:2" x14ac:dyDescent="0.25">
      <c r="A49" t="str">
        <f t="shared" si="0"/>
        <v>99.18%</v>
      </c>
      <c r="B49">
        <f t="shared" si="1"/>
        <v>0.99179300000000004</v>
      </c>
    </row>
    <row r="50" spans="1:2" x14ac:dyDescent="0.25">
      <c r="A50" t="str">
        <f t="shared" si="0"/>
        <v>99.28%</v>
      </c>
      <c r="B50">
        <f t="shared" si="1"/>
        <v>0.99279300000000004</v>
      </c>
    </row>
    <row r="51" spans="1:2" x14ac:dyDescent="0.25">
      <c r="A51" t="str">
        <f t="shared" si="0"/>
        <v>99.38%</v>
      </c>
      <c r="B51">
        <f t="shared" si="1"/>
        <v>0.99379300000000004</v>
      </c>
    </row>
    <row r="52" spans="1:2" x14ac:dyDescent="0.25">
      <c r="A52" t="str">
        <f t="shared" si="0"/>
        <v>99.48%</v>
      </c>
      <c r="B52">
        <f t="shared" si="1"/>
        <v>0.99479300000000004</v>
      </c>
    </row>
    <row r="53" spans="1:2" x14ac:dyDescent="0.25">
      <c r="A53" t="str">
        <f t="shared" si="0"/>
        <v>99.58%</v>
      </c>
      <c r="B53">
        <f t="shared" si="1"/>
        <v>0.99579300000000004</v>
      </c>
    </row>
    <row r="54" spans="1:2" x14ac:dyDescent="0.25">
      <c r="A54" t="str">
        <f t="shared" si="0"/>
        <v>99.68%</v>
      </c>
      <c r="B54">
        <f t="shared" si="1"/>
        <v>0.99679300000000004</v>
      </c>
    </row>
    <row r="55" spans="1:2" x14ac:dyDescent="0.25">
      <c r="A55" t="str">
        <f t="shared" si="0"/>
        <v>99.78%</v>
      </c>
      <c r="B55">
        <f t="shared" si="1"/>
        <v>0.99779300000000004</v>
      </c>
    </row>
    <row r="56" spans="1:2" x14ac:dyDescent="0.25">
      <c r="A56" t="str">
        <f t="shared" si="0"/>
        <v>99.88%</v>
      </c>
      <c r="B56">
        <f t="shared" si="1"/>
        <v>0.99879300000000004</v>
      </c>
    </row>
    <row r="57" spans="1:2" x14ac:dyDescent="0.25">
      <c r="A57" t="str">
        <f t="shared" si="0"/>
        <v>99.98%</v>
      </c>
      <c r="B57">
        <f t="shared" si="1"/>
        <v>0.99979300000000004</v>
      </c>
    </row>
    <row r="58" spans="1:2" x14ac:dyDescent="0.25">
      <c r="A58" t="str">
        <f t="shared" si="0"/>
        <v>100.08%</v>
      </c>
      <c r="B58">
        <f t="shared" si="1"/>
        <v>1.000793</v>
      </c>
    </row>
    <row r="59" spans="1:2" x14ac:dyDescent="0.25">
      <c r="A59" t="str">
        <f t="shared" si="0"/>
        <v>100.18%</v>
      </c>
      <c r="B59">
        <f t="shared" si="1"/>
        <v>1.0017929999999999</v>
      </c>
    </row>
    <row r="60" spans="1:2" x14ac:dyDescent="0.25">
      <c r="A60" t="str">
        <f t="shared" si="0"/>
        <v>100.28%</v>
      </c>
      <c r="B60">
        <f t="shared" si="1"/>
        <v>1.0027929999999998</v>
      </c>
    </row>
    <row r="61" spans="1:2" x14ac:dyDescent="0.25">
      <c r="A61" t="str">
        <f t="shared" si="0"/>
        <v>100.38%</v>
      </c>
      <c r="B61">
        <f t="shared" si="1"/>
        <v>1.0037929999999997</v>
      </c>
    </row>
    <row r="62" spans="1:2" x14ac:dyDescent="0.25">
      <c r="A62" t="str">
        <f t="shared" si="0"/>
        <v>100.48%</v>
      </c>
      <c r="B62">
        <f t="shared" si="1"/>
        <v>1.0047929999999996</v>
      </c>
    </row>
    <row r="63" spans="1:2" x14ac:dyDescent="0.25">
      <c r="A63" t="str">
        <f t="shared" si="0"/>
        <v>100.58%</v>
      </c>
      <c r="B63">
        <f t="shared" si="1"/>
        <v>1.0057929999999995</v>
      </c>
    </row>
    <row r="64" spans="1:2" x14ac:dyDescent="0.25">
      <c r="A64" t="str">
        <f t="shared" si="0"/>
        <v>100.68%</v>
      </c>
      <c r="B64">
        <f t="shared" si="1"/>
        <v>1.0067929999999994</v>
      </c>
    </row>
    <row r="65" spans="1:2" x14ac:dyDescent="0.25">
      <c r="A65" t="str">
        <f t="shared" si="0"/>
        <v>100.78%</v>
      </c>
      <c r="B65">
        <f t="shared" si="1"/>
        <v>1.0077929999999993</v>
      </c>
    </row>
    <row r="66" spans="1:2" x14ac:dyDescent="0.25">
      <c r="A66" t="str">
        <f t="shared" si="0"/>
        <v>100.88%</v>
      </c>
      <c r="B66">
        <f t="shared" si="1"/>
        <v>1.0087929999999992</v>
      </c>
    </row>
    <row r="67" spans="1:2" x14ac:dyDescent="0.25">
      <c r="A67" t="str">
        <f t="shared" si="0"/>
        <v>100.98%</v>
      </c>
      <c r="B67">
        <f t="shared" si="1"/>
        <v>1.0097929999999991</v>
      </c>
    </row>
    <row r="68" spans="1:2" x14ac:dyDescent="0.25">
      <c r="A68" t="str">
        <f t="shared" si="0"/>
        <v>101.08%</v>
      </c>
      <c r="B68">
        <f t="shared" si="1"/>
        <v>1.0107929999999989</v>
      </c>
    </row>
    <row r="69" spans="1:2" x14ac:dyDescent="0.25">
      <c r="A69" t="str">
        <f t="shared" ref="A69:A104" si="2">TEXT(B69,"00.00%")</f>
        <v>101.18%</v>
      </c>
      <c r="B69">
        <f t="shared" si="1"/>
        <v>1.0117929999999988</v>
      </c>
    </row>
    <row r="70" spans="1:2" x14ac:dyDescent="0.25">
      <c r="A70" t="str">
        <f t="shared" si="2"/>
        <v>101.28%</v>
      </c>
      <c r="B70">
        <f t="shared" ref="B70:B104" si="3">B69+0.001</f>
        <v>1.0127929999999987</v>
      </c>
    </row>
    <row r="71" spans="1:2" x14ac:dyDescent="0.25">
      <c r="A71" t="str">
        <f t="shared" si="2"/>
        <v>101.38%</v>
      </c>
      <c r="B71">
        <f t="shared" si="3"/>
        <v>1.0137929999999986</v>
      </c>
    </row>
    <row r="72" spans="1:2" x14ac:dyDescent="0.25">
      <c r="A72" t="str">
        <f t="shared" si="2"/>
        <v>101.48%</v>
      </c>
      <c r="B72">
        <f t="shared" si="3"/>
        <v>1.0147929999999985</v>
      </c>
    </row>
    <row r="73" spans="1:2" x14ac:dyDescent="0.25">
      <c r="A73" t="str">
        <f t="shared" si="2"/>
        <v>101.58%</v>
      </c>
      <c r="B73">
        <f t="shared" si="3"/>
        <v>1.0157929999999984</v>
      </c>
    </row>
    <row r="74" spans="1:2" x14ac:dyDescent="0.25">
      <c r="A74" t="str">
        <f t="shared" si="2"/>
        <v>101.68%</v>
      </c>
      <c r="B74">
        <f t="shared" si="3"/>
        <v>1.0167929999999983</v>
      </c>
    </row>
    <row r="75" spans="1:2" x14ac:dyDescent="0.25">
      <c r="A75" t="str">
        <f t="shared" si="2"/>
        <v>101.78%</v>
      </c>
      <c r="B75">
        <f t="shared" si="3"/>
        <v>1.0177929999999982</v>
      </c>
    </row>
    <row r="76" spans="1:2" x14ac:dyDescent="0.25">
      <c r="A76" t="str">
        <f t="shared" si="2"/>
        <v>101.88%</v>
      </c>
      <c r="B76">
        <f t="shared" si="3"/>
        <v>1.0187929999999981</v>
      </c>
    </row>
    <row r="77" spans="1:2" x14ac:dyDescent="0.25">
      <c r="A77" t="str">
        <f t="shared" si="2"/>
        <v>101.98%</v>
      </c>
      <c r="B77">
        <f t="shared" si="3"/>
        <v>1.019792999999998</v>
      </c>
    </row>
    <row r="78" spans="1:2" x14ac:dyDescent="0.25">
      <c r="A78" t="str">
        <f t="shared" si="2"/>
        <v>102.08%</v>
      </c>
      <c r="B78">
        <f t="shared" si="3"/>
        <v>1.0207929999999978</v>
      </c>
    </row>
    <row r="79" spans="1:2" x14ac:dyDescent="0.25">
      <c r="A79" t="str">
        <f t="shared" si="2"/>
        <v>102.18%</v>
      </c>
      <c r="B79">
        <f t="shared" si="3"/>
        <v>1.0217929999999977</v>
      </c>
    </row>
    <row r="80" spans="1:2" x14ac:dyDescent="0.25">
      <c r="A80" t="str">
        <f t="shared" si="2"/>
        <v>102.28%</v>
      </c>
      <c r="B80">
        <f t="shared" si="3"/>
        <v>1.0227929999999976</v>
      </c>
    </row>
    <row r="81" spans="1:2" x14ac:dyDescent="0.25">
      <c r="A81" t="str">
        <f t="shared" si="2"/>
        <v>102.38%</v>
      </c>
      <c r="B81">
        <f t="shared" si="3"/>
        <v>1.0237929999999975</v>
      </c>
    </row>
    <row r="82" spans="1:2" x14ac:dyDescent="0.25">
      <c r="A82" t="str">
        <f t="shared" si="2"/>
        <v>102.48%</v>
      </c>
      <c r="B82">
        <f t="shared" si="3"/>
        <v>1.0247929999999974</v>
      </c>
    </row>
    <row r="83" spans="1:2" x14ac:dyDescent="0.25">
      <c r="A83" t="str">
        <f t="shared" si="2"/>
        <v>102.58%</v>
      </c>
      <c r="B83">
        <f t="shared" si="3"/>
        <v>1.0257929999999973</v>
      </c>
    </row>
    <row r="84" spans="1:2" x14ac:dyDescent="0.25">
      <c r="A84" t="str">
        <f t="shared" si="2"/>
        <v>102.68%</v>
      </c>
      <c r="B84">
        <f t="shared" si="3"/>
        <v>1.0267929999999972</v>
      </c>
    </row>
    <row r="85" spans="1:2" x14ac:dyDescent="0.25">
      <c r="A85" t="str">
        <f t="shared" si="2"/>
        <v>102.78%</v>
      </c>
      <c r="B85">
        <f t="shared" si="3"/>
        <v>1.0277929999999971</v>
      </c>
    </row>
    <row r="86" spans="1:2" x14ac:dyDescent="0.25">
      <c r="A86" t="str">
        <f t="shared" si="2"/>
        <v>102.88%</v>
      </c>
      <c r="B86">
        <f t="shared" si="3"/>
        <v>1.028792999999997</v>
      </c>
    </row>
    <row r="87" spans="1:2" x14ac:dyDescent="0.25">
      <c r="A87" t="str">
        <f t="shared" si="2"/>
        <v>102.98%</v>
      </c>
      <c r="B87">
        <f t="shared" si="3"/>
        <v>1.0297929999999968</v>
      </c>
    </row>
    <row r="88" spans="1:2" x14ac:dyDescent="0.25">
      <c r="A88" t="str">
        <f t="shared" si="2"/>
        <v>103.08%</v>
      </c>
      <c r="B88">
        <f t="shared" si="3"/>
        <v>1.0307929999999967</v>
      </c>
    </row>
    <row r="89" spans="1:2" x14ac:dyDescent="0.25">
      <c r="A89" t="str">
        <f t="shared" si="2"/>
        <v>103.18%</v>
      </c>
      <c r="B89">
        <f t="shared" si="3"/>
        <v>1.0317929999999966</v>
      </c>
    </row>
    <row r="90" spans="1:2" x14ac:dyDescent="0.25">
      <c r="A90" t="str">
        <f t="shared" si="2"/>
        <v>103.28%</v>
      </c>
      <c r="B90">
        <f t="shared" si="3"/>
        <v>1.0327929999999965</v>
      </c>
    </row>
    <row r="91" spans="1:2" x14ac:dyDescent="0.25">
      <c r="A91" t="str">
        <f t="shared" si="2"/>
        <v>103.38%</v>
      </c>
      <c r="B91">
        <f t="shared" si="3"/>
        <v>1.0337929999999964</v>
      </c>
    </row>
    <row r="92" spans="1:2" x14ac:dyDescent="0.25">
      <c r="A92" t="str">
        <f t="shared" si="2"/>
        <v>103.48%</v>
      </c>
      <c r="B92">
        <f t="shared" si="3"/>
        <v>1.0347929999999963</v>
      </c>
    </row>
    <row r="93" spans="1:2" x14ac:dyDescent="0.25">
      <c r="A93" t="str">
        <f t="shared" si="2"/>
        <v>103.58%</v>
      </c>
      <c r="B93">
        <f t="shared" si="3"/>
        <v>1.0357929999999962</v>
      </c>
    </row>
    <row r="94" spans="1:2" x14ac:dyDescent="0.25">
      <c r="A94" t="str">
        <f t="shared" si="2"/>
        <v>103.68%</v>
      </c>
      <c r="B94">
        <f t="shared" si="3"/>
        <v>1.0367929999999961</v>
      </c>
    </row>
    <row r="95" spans="1:2" x14ac:dyDescent="0.25">
      <c r="A95" t="str">
        <f t="shared" si="2"/>
        <v>103.78%</v>
      </c>
      <c r="B95">
        <f t="shared" si="3"/>
        <v>1.037792999999996</v>
      </c>
    </row>
    <row r="96" spans="1:2" x14ac:dyDescent="0.25">
      <c r="A96" t="str">
        <f t="shared" si="2"/>
        <v>103.88%</v>
      </c>
      <c r="B96">
        <f t="shared" si="3"/>
        <v>1.0387929999999959</v>
      </c>
    </row>
    <row r="97" spans="1:2" x14ac:dyDescent="0.25">
      <c r="A97" t="str">
        <f t="shared" si="2"/>
        <v>103.98%</v>
      </c>
      <c r="B97">
        <f t="shared" si="3"/>
        <v>1.0397929999999957</v>
      </c>
    </row>
    <row r="98" spans="1:2" x14ac:dyDescent="0.25">
      <c r="A98" t="str">
        <f t="shared" si="2"/>
        <v>104.08%</v>
      </c>
      <c r="B98">
        <f t="shared" si="3"/>
        <v>1.0407929999999956</v>
      </c>
    </row>
    <row r="99" spans="1:2" x14ac:dyDescent="0.25">
      <c r="A99" t="str">
        <f t="shared" si="2"/>
        <v>104.18%</v>
      </c>
      <c r="B99">
        <f t="shared" si="3"/>
        <v>1.0417929999999955</v>
      </c>
    </row>
    <row r="100" spans="1:2" x14ac:dyDescent="0.25">
      <c r="A100" t="str">
        <f t="shared" si="2"/>
        <v>104.28%</v>
      </c>
      <c r="B100">
        <f t="shared" si="3"/>
        <v>1.0427929999999954</v>
      </c>
    </row>
    <row r="101" spans="1:2" x14ac:dyDescent="0.25">
      <c r="A101" t="str">
        <f t="shared" si="2"/>
        <v>104.38%</v>
      </c>
      <c r="B101">
        <f t="shared" si="3"/>
        <v>1.0437929999999953</v>
      </c>
    </row>
    <row r="102" spans="1:2" x14ac:dyDescent="0.25">
      <c r="A102" t="str">
        <f t="shared" si="2"/>
        <v>104.48%</v>
      </c>
      <c r="B102">
        <f t="shared" si="3"/>
        <v>1.0447929999999952</v>
      </c>
    </row>
    <row r="103" spans="1:2" x14ac:dyDescent="0.25">
      <c r="A103" t="str">
        <f t="shared" si="2"/>
        <v>104.58%</v>
      </c>
      <c r="B103">
        <f t="shared" si="3"/>
        <v>1.0457929999999951</v>
      </c>
    </row>
    <row r="104" spans="1:2" x14ac:dyDescent="0.25">
      <c r="A104" t="str">
        <f t="shared" si="2"/>
        <v>104.68%</v>
      </c>
      <c r="B104">
        <f t="shared" si="3"/>
        <v>1.046792999999995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Sheet12.heston_change_sigma_v3">
                <anchor moveWithCells="1" sizeWithCells="1">
                  <from>
                    <xdr:col>5</xdr:col>
                    <xdr:colOff>28575</xdr:colOff>
                    <xdr:row>7</xdr:row>
                    <xdr:rowOff>123825</xdr:rowOff>
                  </from>
                  <to>
                    <xdr:col>7</xdr:col>
                    <xdr:colOff>133350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104"/>
  <sheetViews>
    <sheetView workbookViewId="0">
      <selection activeCell="J9" sqref="J9"/>
    </sheetView>
  </sheetViews>
  <sheetFormatPr defaultRowHeight="15" x14ac:dyDescent="0.25"/>
  <cols>
    <col min="2" max="2" width="14.42578125" bestFit="1" customWidth="1"/>
    <col min="3" max="3" width="15.140625" bestFit="1" customWidth="1"/>
    <col min="4" max="4" width="12" bestFit="1" customWidth="1"/>
  </cols>
  <sheetData>
    <row r="1" spans="1:11" x14ac:dyDescent="0.25">
      <c r="B1" t="s">
        <v>82</v>
      </c>
      <c r="C1">
        <f>'Parameter Page'!B13</f>
        <v>7.4549199999999996E-2</v>
      </c>
      <c r="E1">
        <f>C1-0.05</f>
        <v>2.4549199999999993E-2</v>
      </c>
      <c r="F1">
        <f>C1+0.05</f>
        <v>0.1245492</v>
      </c>
    </row>
    <row r="2" spans="1:11" x14ac:dyDescent="0.25">
      <c r="C2" t="s">
        <v>54</v>
      </c>
      <c r="D2">
        <f>COUNT(B4:B104)</f>
        <v>101</v>
      </c>
      <c r="J2" t="s">
        <v>55</v>
      </c>
    </row>
    <row r="3" spans="1:11" x14ac:dyDescent="0.25">
      <c r="B3" t="s">
        <v>83</v>
      </c>
      <c r="C3" t="s">
        <v>57</v>
      </c>
      <c r="I3" t="str">
        <f>B3</f>
        <v xml:space="preserve">theta 1 </v>
      </c>
      <c r="J3" t="s">
        <v>57</v>
      </c>
      <c r="K3" t="s">
        <v>59</v>
      </c>
    </row>
    <row r="4" spans="1:11" x14ac:dyDescent="0.25">
      <c r="A4" t="str">
        <f>TEXT(B4,"0.000")</f>
        <v>0.025</v>
      </c>
      <c r="B4">
        <f>E1</f>
        <v>2.4549199999999993E-2</v>
      </c>
      <c r="I4" s="13">
        <f>C1-0.01</f>
        <v>6.4549200000000001E-2</v>
      </c>
      <c r="J4">
        <v>831.00617999633141</v>
      </c>
      <c r="K4" t="s">
        <v>60</v>
      </c>
    </row>
    <row r="5" spans="1:11" x14ac:dyDescent="0.25">
      <c r="A5" t="str">
        <f t="shared" ref="A5:A68" si="0">TEXT(B5,"0.000")</f>
        <v>0.026</v>
      </c>
      <c r="B5">
        <f>B4+0.001</f>
        <v>2.5549199999999994E-2</v>
      </c>
      <c r="D5" s="10"/>
      <c r="I5" s="13">
        <f>C1</f>
        <v>7.4549199999999996E-2</v>
      </c>
      <c r="J5">
        <v>826.66557965795505</v>
      </c>
      <c r="K5" s="11">
        <f>(J5-J4)/J4</f>
        <v>-5.2233069294328523E-3</v>
      </c>
    </row>
    <row r="6" spans="1:11" x14ac:dyDescent="0.25">
      <c r="A6" t="str">
        <f t="shared" si="0"/>
        <v>0.027</v>
      </c>
      <c r="B6">
        <f t="shared" ref="B6:B69" si="1">B5+0.001</f>
        <v>2.6549199999999995E-2</v>
      </c>
      <c r="D6" s="10"/>
      <c r="I6" s="13">
        <f>C1+0.01</f>
        <v>8.4549199999999991E-2</v>
      </c>
      <c r="J6">
        <v>822.17467569929875</v>
      </c>
      <c r="K6" s="11">
        <f>(J6-J5)/J5</f>
        <v>-5.4325522547031425E-3</v>
      </c>
    </row>
    <row r="7" spans="1:11" x14ac:dyDescent="0.25">
      <c r="A7" t="str">
        <f t="shared" si="0"/>
        <v>0.028</v>
      </c>
      <c r="B7">
        <f t="shared" si="1"/>
        <v>2.7549199999999996E-2</v>
      </c>
      <c r="D7" s="10"/>
    </row>
    <row r="8" spans="1:11" x14ac:dyDescent="0.25">
      <c r="A8" t="str">
        <f t="shared" si="0"/>
        <v>0.029</v>
      </c>
      <c r="B8">
        <f t="shared" si="1"/>
        <v>2.8549199999999997E-2</v>
      </c>
      <c r="D8" s="10"/>
    </row>
    <row r="9" spans="1:11" x14ac:dyDescent="0.25">
      <c r="A9" t="str">
        <f t="shared" si="0"/>
        <v>0.030</v>
      </c>
      <c r="B9">
        <f t="shared" si="1"/>
        <v>2.9549199999999998E-2</v>
      </c>
      <c r="D9" s="10"/>
    </row>
    <row r="10" spans="1:11" x14ac:dyDescent="0.25">
      <c r="A10" t="str">
        <f t="shared" si="0"/>
        <v>0.031</v>
      </c>
      <c r="B10">
        <f t="shared" si="1"/>
        <v>3.0549199999999999E-2</v>
      </c>
      <c r="D10" s="10"/>
    </row>
    <row r="11" spans="1:11" x14ac:dyDescent="0.25">
      <c r="A11" t="str">
        <f t="shared" si="0"/>
        <v>0.032</v>
      </c>
      <c r="B11">
        <f t="shared" si="1"/>
        <v>3.1549199999999999E-2</v>
      </c>
      <c r="D11" s="10"/>
    </row>
    <row r="12" spans="1:11" x14ac:dyDescent="0.25">
      <c r="A12" t="str">
        <f t="shared" si="0"/>
        <v>0.033</v>
      </c>
      <c r="B12">
        <f t="shared" si="1"/>
        <v>3.25492E-2</v>
      </c>
      <c r="D12" s="10"/>
    </row>
    <row r="13" spans="1:11" x14ac:dyDescent="0.25">
      <c r="A13" t="str">
        <f t="shared" si="0"/>
        <v>0.034</v>
      </c>
      <c r="B13">
        <f t="shared" si="1"/>
        <v>3.3549200000000001E-2</v>
      </c>
      <c r="D13" s="10"/>
    </row>
    <row r="14" spans="1:11" x14ac:dyDescent="0.25">
      <c r="A14" t="str">
        <f t="shared" si="0"/>
        <v>0.035</v>
      </c>
      <c r="B14">
        <f t="shared" si="1"/>
        <v>3.4549200000000002E-2</v>
      </c>
      <c r="D14" s="10"/>
    </row>
    <row r="15" spans="1:11" x14ac:dyDescent="0.25">
      <c r="A15" t="str">
        <f t="shared" si="0"/>
        <v>0.036</v>
      </c>
      <c r="B15">
        <f t="shared" si="1"/>
        <v>3.5549200000000003E-2</v>
      </c>
      <c r="D15" s="10"/>
    </row>
    <row r="16" spans="1:11" x14ac:dyDescent="0.25">
      <c r="A16" t="str">
        <f t="shared" si="0"/>
        <v>0.037</v>
      </c>
      <c r="B16">
        <f t="shared" si="1"/>
        <v>3.6549200000000004E-2</v>
      </c>
      <c r="D16" s="10"/>
    </row>
    <row r="17" spans="1:4" x14ac:dyDescent="0.25">
      <c r="A17" t="str">
        <f t="shared" si="0"/>
        <v>0.038</v>
      </c>
      <c r="B17">
        <f t="shared" si="1"/>
        <v>3.7549200000000005E-2</v>
      </c>
      <c r="D17" s="10"/>
    </row>
    <row r="18" spans="1:4" x14ac:dyDescent="0.25">
      <c r="A18" t="str">
        <f t="shared" si="0"/>
        <v>0.039</v>
      </c>
      <c r="B18">
        <f t="shared" si="1"/>
        <v>3.8549200000000006E-2</v>
      </c>
      <c r="D18" s="10"/>
    </row>
    <row r="19" spans="1:4" x14ac:dyDescent="0.25">
      <c r="A19" t="str">
        <f t="shared" si="0"/>
        <v>0.040</v>
      </c>
      <c r="B19">
        <f t="shared" si="1"/>
        <v>3.9549200000000007E-2</v>
      </c>
      <c r="D19" s="10"/>
    </row>
    <row r="20" spans="1:4" x14ac:dyDescent="0.25">
      <c r="A20" t="str">
        <f t="shared" si="0"/>
        <v>0.041</v>
      </c>
      <c r="B20">
        <f t="shared" si="1"/>
        <v>4.0549200000000007E-2</v>
      </c>
      <c r="D20" s="10"/>
    </row>
    <row r="21" spans="1:4" x14ac:dyDescent="0.25">
      <c r="A21" t="str">
        <f t="shared" si="0"/>
        <v>0.042</v>
      </c>
      <c r="B21">
        <f t="shared" si="1"/>
        <v>4.1549200000000008E-2</v>
      </c>
      <c r="D21" s="10"/>
    </row>
    <row r="22" spans="1:4" x14ac:dyDescent="0.25">
      <c r="A22" t="str">
        <f t="shared" si="0"/>
        <v>0.043</v>
      </c>
      <c r="B22">
        <f t="shared" si="1"/>
        <v>4.2549200000000009E-2</v>
      </c>
      <c r="D22" s="10"/>
    </row>
    <row r="23" spans="1:4" x14ac:dyDescent="0.25">
      <c r="A23" t="str">
        <f t="shared" si="0"/>
        <v>0.044</v>
      </c>
      <c r="B23">
        <f t="shared" si="1"/>
        <v>4.354920000000001E-2</v>
      </c>
      <c r="D23" s="10"/>
    </row>
    <row r="24" spans="1:4" x14ac:dyDescent="0.25">
      <c r="A24" t="str">
        <f t="shared" si="0"/>
        <v>0.045</v>
      </c>
      <c r="B24">
        <f t="shared" si="1"/>
        <v>4.4549200000000011E-2</v>
      </c>
      <c r="D24" s="10"/>
    </row>
    <row r="25" spans="1:4" x14ac:dyDescent="0.25">
      <c r="A25" t="str">
        <f t="shared" si="0"/>
        <v>0.046</v>
      </c>
      <c r="B25">
        <f t="shared" si="1"/>
        <v>4.5549200000000012E-2</v>
      </c>
      <c r="D25" s="10"/>
    </row>
    <row r="26" spans="1:4" x14ac:dyDescent="0.25">
      <c r="A26" t="str">
        <f t="shared" si="0"/>
        <v>0.047</v>
      </c>
      <c r="B26">
        <f t="shared" si="1"/>
        <v>4.6549200000000013E-2</v>
      </c>
      <c r="D26" s="10"/>
    </row>
    <row r="27" spans="1:4" x14ac:dyDescent="0.25">
      <c r="A27" t="str">
        <f t="shared" si="0"/>
        <v>0.048</v>
      </c>
      <c r="B27">
        <f t="shared" si="1"/>
        <v>4.7549200000000014E-2</v>
      </c>
      <c r="D27" s="10"/>
    </row>
    <row r="28" spans="1:4" x14ac:dyDescent="0.25">
      <c r="A28" t="str">
        <f t="shared" si="0"/>
        <v>0.049</v>
      </c>
      <c r="B28">
        <f t="shared" si="1"/>
        <v>4.8549200000000015E-2</v>
      </c>
      <c r="D28" s="10"/>
    </row>
    <row r="29" spans="1:4" x14ac:dyDescent="0.25">
      <c r="A29" t="str">
        <f t="shared" si="0"/>
        <v>0.050</v>
      </c>
      <c r="B29">
        <f t="shared" si="1"/>
        <v>4.9549200000000015E-2</v>
      </c>
      <c r="D29" s="10"/>
    </row>
    <row r="30" spans="1:4" x14ac:dyDescent="0.25">
      <c r="A30" t="str">
        <f t="shared" si="0"/>
        <v>0.051</v>
      </c>
      <c r="B30">
        <f t="shared" si="1"/>
        <v>5.0549200000000016E-2</v>
      </c>
      <c r="D30" s="10"/>
    </row>
    <row r="31" spans="1:4" x14ac:dyDescent="0.25">
      <c r="A31" t="str">
        <f t="shared" si="0"/>
        <v>0.052</v>
      </c>
      <c r="B31">
        <f t="shared" si="1"/>
        <v>5.1549200000000017E-2</v>
      </c>
      <c r="D31" s="10"/>
    </row>
    <row r="32" spans="1:4" x14ac:dyDescent="0.25">
      <c r="A32" t="str">
        <f t="shared" si="0"/>
        <v>0.053</v>
      </c>
      <c r="B32">
        <f t="shared" si="1"/>
        <v>5.2549200000000018E-2</v>
      </c>
      <c r="D32" s="10"/>
    </row>
    <row r="33" spans="1:4" x14ac:dyDescent="0.25">
      <c r="A33" t="str">
        <f t="shared" si="0"/>
        <v>0.054</v>
      </c>
      <c r="B33">
        <f t="shared" si="1"/>
        <v>5.3549200000000019E-2</v>
      </c>
      <c r="D33" s="10"/>
    </row>
    <row r="34" spans="1:4" x14ac:dyDescent="0.25">
      <c r="A34" t="str">
        <f t="shared" si="0"/>
        <v>0.055</v>
      </c>
      <c r="B34">
        <f t="shared" si="1"/>
        <v>5.454920000000002E-2</v>
      </c>
      <c r="D34" s="10"/>
    </row>
    <row r="35" spans="1:4" x14ac:dyDescent="0.25">
      <c r="A35" t="str">
        <f t="shared" si="0"/>
        <v>0.056</v>
      </c>
      <c r="B35">
        <f t="shared" si="1"/>
        <v>5.5549200000000021E-2</v>
      </c>
      <c r="D35" s="10"/>
    </row>
    <row r="36" spans="1:4" x14ac:dyDescent="0.25">
      <c r="A36" t="str">
        <f t="shared" si="0"/>
        <v>0.057</v>
      </c>
      <c r="B36">
        <f t="shared" si="1"/>
        <v>5.6549200000000022E-2</v>
      </c>
      <c r="D36" s="10"/>
    </row>
    <row r="37" spans="1:4" x14ac:dyDescent="0.25">
      <c r="A37" t="str">
        <f t="shared" si="0"/>
        <v>0.058</v>
      </c>
      <c r="B37">
        <f t="shared" si="1"/>
        <v>5.7549200000000023E-2</v>
      </c>
      <c r="D37" s="10"/>
    </row>
    <row r="38" spans="1:4" x14ac:dyDescent="0.25">
      <c r="A38" t="str">
        <f t="shared" si="0"/>
        <v>0.059</v>
      </c>
      <c r="B38">
        <f t="shared" si="1"/>
        <v>5.8549200000000023E-2</v>
      </c>
      <c r="D38" s="10"/>
    </row>
    <row r="39" spans="1:4" x14ac:dyDescent="0.25">
      <c r="A39" t="str">
        <f t="shared" si="0"/>
        <v>0.060</v>
      </c>
      <c r="B39">
        <f t="shared" si="1"/>
        <v>5.9549200000000024E-2</v>
      </c>
      <c r="D39" s="10"/>
    </row>
    <row r="40" spans="1:4" x14ac:dyDescent="0.25">
      <c r="A40" t="str">
        <f t="shared" si="0"/>
        <v>0.061</v>
      </c>
      <c r="B40">
        <f t="shared" si="1"/>
        <v>6.0549200000000025E-2</v>
      </c>
      <c r="D40" s="10"/>
    </row>
    <row r="41" spans="1:4" x14ac:dyDescent="0.25">
      <c r="A41" t="str">
        <f t="shared" si="0"/>
        <v>0.062</v>
      </c>
      <c r="B41">
        <f t="shared" si="1"/>
        <v>6.1549200000000026E-2</v>
      </c>
      <c r="D41" s="10"/>
    </row>
    <row r="42" spans="1:4" x14ac:dyDescent="0.25">
      <c r="A42" t="str">
        <f t="shared" si="0"/>
        <v>0.063</v>
      </c>
      <c r="B42">
        <f t="shared" si="1"/>
        <v>6.2549200000000027E-2</v>
      </c>
      <c r="D42" s="10"/>
    </row>
    <row r="43" spans="1:4" x14ac:dyDescent="0.25">
      <c r="A43" t="str">
        <f t="shared" si="0"/>
        <v>0.064</v>
      </c>
      <c r="B43">
        <f t="shared" si="1"/>
        <v>6.3549200000000028E-2</v>
      </c>
      <c r="D43" s="10"/>
    </row>
    <row r="44" spans="1:4" x14ac:dyDescent="0.25">
      <c r="A44" t="str">
        <f t="shared" si="0"/>
        <v>0.065</v>
      </c>
      <c r="B44">
        <f t="shared" si="1"/>
        <v>6.4549200000000029E-2</v>
      </c>
      <c r="D44" s="10"/>
    </row>
    <row r="45" spans="1:4" x14ac:dyDescent="0.25">
      <c r="A45" t="str">
        <f t="shared" si="0"/>
        <v>0.066</v>
      </c>
      <c r="B45">
        <f t="shared" si="1"/>
        <v>6.554920000000003E-2</v>
      </c>
      <c r="D45" s="10"/>
    </row>
    <row r="46" spans="1:4" x14ac:dyDescent="0.25">
      <c r="A46" t="str">
        <f t="shared" si="0"/>
        <v>0.067</v>
      </c>
      <c r="B46">
        <f t="shared" si="1"/>
        <v>6.6549200000000031E-2</v>
      </c>
      <c r="D46" s="10"/>
    </row>
    <row r="47" spans="1:4" x14ac:dyDescent="0.25">
      <c r="A47" t="str">
        <f t="shared" si="0"/>
        <v>0.068</v>
      </c>
      <c r="B47">
        <f t="shared" si="1"/>
        <v>6.7549200000000031E-2</v>
      </c>
      <c r="D47" s="10"/>
    </row>
    <row r="48" spans="1:4" x14ac:dyDescent="0.25">
      <c r="A48" t="str">
        <f t="shared" si="0"/>
        <v>0.069</v>
      </c>
      <c r="B48">
        <f t="shared" si="1"/>
        <v>6.8549200000000032E-2</v>
      </c>
      <c r="D48" s="10"/>
    </row>
    <row r="49" spans="1:4" x14ac:dyDescent="0.25">
      <c r="A49" t="str">
        <f t="shared" si="0"/>
        <v>0.070</v>
      </c>
      <c r="B49">
        <f t="shared" si="1"/>
        <v>6.9549200000000033E-2</v>
      </c>
      <c r="D49" s="10"/>
    </row>
    <row r="50" spans="1:4" x14ac:dyDescent="0.25">
      <c r="A50" t="str">
        <f t="shared" si="0"/>
        <v>0.071</v>
      </c>
      <c r="B50">
        <f t="shared" si="1"/>
        <v>7.0549200000000034E-2</v>
      </c>
      <c r="D50" s="10"/>
    </row>
    <row r="51" spans="1:4" x14ac:dyDescent="0.25">
      <c r="A51" t="str">
        <f t="shared" si="0"/>
        <v>0.072</v>
      </c>
      <c r="B51">
        <f t="shared" si="1"/>
        <v>7.1549200000000035E-2</v>
      </c>
      <c r="D51" s="10"/>
    </row>
    <row r="52" spans="1:4" x14ac:dyDescent="0.25">
      <c r="A52" t="str">
        <f t="shared" si="0"/>
        <v>0.073</v>
      </c>
      <c r="B52">
        <f t="shared" si="1"/>
        <v>7.2549200000000036E-2</v>
      </c>
      <c r="D52" s="10"/>
    </row>
    <row r="53" spans="1:4" x14ac:dyDescent="0.25">
      <c r="A53" t="str">
        <f t="shared" si="0"/>
        <v>0.074</v>
      </c>
      <c r="B53">
        <f t="shared" si="1"/>
        <v>7.3549200000000037E-2</v>
      </c>
      <c r="D53" s="10"/>
    </row>
    <row r="54" spans="1:4" x14ac:dyDescent="0.25">
      <c r="A54" t="str">
        <f t="shared" si="0"/>
        <v>0.075</v>
      </c>
      <c r="B54">
        <f t="shared" si="1"/>
        <v>7.4549200000000038E-2</v>
      </c>
      <c r="D54" s="10"/>
    </row>
    <row r="55" spans="1:4" x14ac:dyDescent="0.25">
      <c r="A55" t="str">
        <f t="shared" si="0"/>
        <v>0.076</v>
      </c>
      <c r="B55">
        <f t="shared" si="1"/>
        <v>7.5549200000000039E-2</v>
      </c>
      <c r="D55" s="10"/>
    </row>
    <row r="56" spans="1:4" x14ac:dyDescent="0.25">
      <c r="A56" t="str">
        <f t="shared" si="0"/>
        <v>0.077</v>
      </c>
      <c r="B56">
        <f t="shared" si="1"/>
        <v>7.6549200000000039E-2</v>
      </c>
      <c r="D56" s="10"/>
    </row>
    <row r="57" spans="1:4" x14ac:dyDescent="0.25">
      <c r="A57" t="str">
        <f t="shared" si="0"/>
        <v>0.078</v>
      </c>
      <c r="B57">
        <f t="shared" si="1"/>
        <v>7.754920000000004E-2</v>
      </c>
      <c r="D57" s="10"/>
    </row>
    <row r="58" spans="1:4" x14ac:dyDescent="0.25">
      <c r="A58" t="str">
        <f t="shared" si="0"/>
        <v>0.079</v>
      </c>
      <c r="B58">
        <f t="shared" si="1"/>
        <v>7.8549200000000041E-2</v>
      </c>
      <c r="D58" s="10"/>
    </row>
    <row r="59" spans="1:4" x14ac:dyDescent="0.25">
      <c r="A59" t="str">
        <f t="shared" si="0"/>
        <v>0.080</v>
      </c>
      <c r="B59">
        <f t="shared" si="1"/>
        <v>7.9549200000000042E-2</v>
      </c>
      <c r="D59" s="10"/>
    </row>
    <row r="60" spans="1:4" x14ac:dyDescent="0.25">
      <c r="A60" t="str">
        <f t="shared" si="0"/>
        <v>0.081</v>
      </c>
      <c r="B60">
        <f t="shared" si="1"/>
        <v>8.0549200000000043E-2</v>
      </c>
      <c r="D60" s="10"/>
    </row>
    <row r="61" spans="1:4" x14ac:dyDescent="0.25">
      <c r="A61" t="str">
        <f t="shared" si="0"/>
        <v>0.082</v>
      </c>
      <c r="B61">
        <f t="shared" si="1"/>
        <v>8.1549200000000044E-2</v>
      </c>
      <c r="D61" s="10"/>
    </row>
    <row r="62" spans="1:4" x14ac:dyDescent="0.25">
      <c r="A62" t="str">
        <f t="shared" si="0"/>
        <v>0.083</v>
      </c>
      <c r="B62">
        <f t="shared" si="1"/>
        <v>8.2549200000000045E-2</v>
      </c>
      <c r="D62" s="10"/>
    </row>
    <row r="63" spans="1:4" x14ac:dyDescent="0.25">
      <c r="A63" t="str">
        <f t="shared" si="0"/>
        <v>0.084</v>
      </c>
      <c r="B63">
        <f t="shared" si="1"/>
        <v>8.3549200000000046E-2</v>
      </c>
      <c r="D63" s="10"/>
    </row>
    <row r="64" spans="1:4" x14ac:dyDescent="0.25">
      <c r="A64" t="str">
        <f t="shared" si="0"/>
        <v>0.085</v>
      </c>
      <c r="B64">
        <f t="shared" si="1"/>
        <v>8.4549200000000047E-2</v>
      </c>
      <c r="D64" s="10"/>
    </row>
    <row r="65" spans="1:4" x14ac:dyDescent="0.25">
      <c r="A65" t="str">
        <f t="shared" si="0"/>
        <v>0.086</v>
      </c>
      <c r="B65">
        <f t="shared" si="1"/>
        <v>8.5549200000000047E-2</v>
      </c>
      <c r="D65" s="10"/>
    </row>
    <row r="66" spans="1:4" x14ac:dyDescent="0.25">
      <c r="A66" t="str">
        <f t="shared" si="0"/>
        <v>0.087</v>
      </c>
      <c r="B66">
        <f t="shared" si="1"/>
        <v>8.6549200000000048E-2</v>
      </c>
      <c r="D66" s="10"/>
    </row>
    <row r="67" spans="1:4" x14ac:dyDescent="0.25">
      <c r="A67" t="str">
        <f t="shared" si="0"/>
        <v>0.088</v>
      </c>
      <c r="B67">
        <f t="shared" si="1"/>
        <v>8.7549200000000049E-2</v>
      </c>
      <c r="D67" s="10"/>
    </row>
    <row r="68" spans="1:4" x14ac:dyDescent="0.25">
      <c r="A68" t="str">
        <f t="shared" si="0"/>
        <v>0.089</v>
      </c>
      <c r="B68">
        <f t="shared" si="1"/>
        <v>8.854920000000005E-2</v>
      </c>
      <c r="D68" s="10"/>
    </row>
    <row r="69" spans="1:4" x14ac:dyDescent="0.25">
      <c r="A69" t="str">
        <f t="shared" ref="A69:A104" si="2">TEXT(B69,"0.000")</f>
        <v>0.090</v>
      </c>
      <c r="B69">
        <f t="shared" si="1"/>
        <v>8.9549200000000051E-2</v>
      </c>
      <c r="D69" s="10"/>
    </row>
    <row r="70" spans="1:4" x14ac:dyDescent="0.25">
      <c r="A70" t="str">
        <f t="shared" si="2"/>
        <v>0.091</v>
      </c>
      <c r="B70">
        <f t="shared" ref="B70:B104" si="3">B69+0.001</f>
        <v>9.0549200000000052E-2</v>
      </c>
      <c r="D70" s="10"/>
    </row>
    <row r="71" spans="1:4" x14ac:dyDescent="0.25">
      <c r="A71" t="str">
        <f t="shared" si="2"/>
        <v>0.092</v>
      </c>
      <c r="B71">
        <f t="shared" si="3"/>
        <v>9.1549200000000053E-2</v>
      </c>
      <c r="D71" s="10"/>
    </row>
    <row r="72" spans="1:4" x14ac:dyDescent="0.25">
      <c r="A72" t="str">
        <f t="shared" si="2"/>
        <v>0.093</v>
      </c>
      <c r="B72">
        <f t="shared" si="3"/>
        <v>9.2549200000000054E-2</v>
      </c>
      <c r="D72" s="10"/>
    </row>
    <row r="73" spans="1:4" x14ac:dyDescent="0.25">
      <c r="A73" t="str">
        <f t="shared" si="2"/>
        <v>0.094</v>
      </c>
      <c r="B73">
        <f t="shared" si="3"/>
        <v>9.3549200000000055E-2</v>
      </c>
      <c r="D73" s="10"/>
    </row>
    <row r="74" spans="1:4" x14ac:dyDescent="0.25">
      <c r="A74" t="str">
        <f t="shared" si="2"/>
        <v>0.095</v>
      </c>
      <c r="B74">
        <f t="shared" si="3"/>
        <v>9.4549200000000055E-2</v>
      </c>
      <c r="D74" s="10"/>
    </row>
    <row r="75" spans="1:4" x14ac:dyDescent="0.25">
      <c r="A75" t="str">
        <f t="shared" si="2"/>
        <v>0.096</v>
      </c>
      <c r="B75">
        <f t="shared" si="3"/>
        <v>9.5549200000000056E-2</v>
      </c>
      <c r="D75" s="10"/>
    </row>
    <row r="76" spans="1:4" x14ac:dyDescent="0.25">
      <c r="A76" t="str">
        <f t="shared" si="2"/>
        <v>0.097</v>
      </c>
      <c r="B76">
        <f t="shared" si="3"/>
        <v>9.6549200000000057E-2</v>
      </c>
      <c r="D76" s="10"/>
    </row>
    <row r="77" spans="1:4" x14ac:dyDescent="0.25">
      <c r="A77" t="str">
        <f t="shared" si="2"/>
        <v>0.098</v>
      </c>
      <c r="B77">
        <f t="shared" si="3"/>
        <v>9.7549200000000058E-2</v>
      </c>
      <c r="D77" s="10"/>
    </row>
    <row r="78" spans="1:4" x14ac:dyDescent="0.25">
      <c r="A78" t="str">
        <f t="shared" si="2"/>
        <v>0.099</v>
      </c>
      <c r="B78">
        <f t="shared" si="3"/>
        <v>9.8549200000000059E-2</v>
      </c>
      <c r="D78" s="10"/>
    </row>
    <row r="79" spans="1:4" x14ac:dyDescent="0.25">
      <c r="A79" t="str">
        <f t="shared" si="2"/>
        <v>0.100</v>
      </c>
      <c r="B79">
        <f t="shared" si="3"/>
        <v>9.954920000000006E-2</v>
      </c>
      <c r="D79" s="10"/>
    </row>
    <row r="80" spans="1:4" x14ac:dyDescent="0.25">
      <c r="A80" t="str">
        <f t="shared" si="2"/>
        <v>0.101</v>
      </c>
      <c r="B80">
        <f t="shared" si="3"/>
        <v>0.10054920000000006</v>
      </c>
      <c r="D80" s="10"/>
    </row>
    <row r="81" spans="1:4" x14ac:dyDescent="0.25">
      <c r="A81" t="str">
        <f t="shared" si="2"/>
        <v>0.102</v>
      </c>
      <c r="B81">
        <f t="shared" si="3"/>
        <v>0.10154920000000006</v>
      </c>
      <c r="D81" s="10"/>
    </row>
    <row r="82" spans="1:4" x14ac:dyDescent="0.25">
      <c r="A82" t="str">
        <f t="shared" si="2"/>
        <v>0.103</v>
      </c>
      <c r="B82">
        <f t="shared" si="3"/>
        <v>0.10254920000000006</v>
      </c>
      <c r="D82" s="10"/>
    </row>
    <row r="83" spans="1:4" x14ac:dyDescent="0.25">
      <c r="A83" t="str">
        <f t="shared" si="2"/>
        <v>0.104</v>
      </c>
      <c r="B83">
        <f t="shared" si="3"/>
        <v>0.10354920000000006</v>
      </c>
      <c r="D83" s="10"/>
    </row>
    <row r="84" spans="1:4" x14ac:dyDescent="0.25">
      <c r="A84" t="str">
        <f t="shared" si="2"/>
        <v>0.105</v>
      </c>
      <c r="B84">
        <f t="shared" si="3"/>
        <v>0.10454920000000006</v>
      </c>
      <c r="D84" s="10"/>
    </row>
    <row r="85" spans="1:4" x14ac:dyDescent="0.25">
      <c r="A85" t="str">
        <f t="shared" si="2"/>
        <v>0.106</v>
      </c>
      <c r="B85">
        <f t="shared" si="3"/>
        <v>0.10554920000000007</v>
      </c>
      <c r="D85" s="10"/>
    </row>
    <row r="86" spans="1:4" x14ac:dyDescent="0.25">
      <c r="A86" t="str">
        <f t="shared" si="2"/>
        <v>0.107</v>
      </c>
      <c r="B86">
        <f t="shared" si="3"/>
        <v>0.10654920000000007</v>
      </c>
      <c r="D86" s="10"/>
    </row>
    <row r="87" spans="1:4" x14ac:dyDescent="0.25">
      <c r="A87" t="str">
        <f t="shared" si="2"/>
        <v>0.108</v>
      </c>
      <c r="B87">
        <f t="shared" si="3"/>
        <v>0.10754920000000007</v>
      </c>
      <c r="D87" s="10"/>
    </row>
    <row r="88" spans="1:4" x14ac:dyDescent="0.25">
      <c r="A88" t="str">
        <f t="shared" si="2"/>
        <v>0.109</v>
      </c>
      <c r="B88">
        <f t="shared" si="3"/>
        <v>0.10854920000000007</v>
      </c>
      <c r="D88" s="10"/>
    </row>
    <row r="89" spans="1:4" x14ac:dyDescent="0.25">
      <c r="A89" t="str">
        <f t="shared" si="2"/>
        <v>0.110</v>
      </c>
      <c r="B89">
        <f t="shared" si="3"/>
        <v>0.10954920000000007</v>
      </c>
      <c r="D89" s="10"/>
    </row>
    <row r="90" spans="1:4" x14ac:dyDescent="0.25">
      <c r="A90" t="str">
        <f t="shared" si="2"/>
        <v>0.111</v>
      </c>
      <c r="B90">
        <f t="shared" si="3"/>
        <v>0.11054920000000007</v>
      </c>
      <c r="D90" s="10"/>
    </row>
    <row r="91" spans="1:4" x14ac:dyDescent="0.25">
      <c r="A91" t="str">
        <f t="shared" si="2"/>
        <v>0.112</v>
      </c>
      <c r="B91">
        <f t="shared" si="3"/>
        <v>0.11154920000000007</v>
      </c>
      <c r="D91" s="10"/>
    </row>
    <row r="92" spans="1:4" x14ac:dyDescent="0.25">
      <c r="A92" t="str">
        <f t="shared" si="2"/>
        <v>0.113</v>
      </c>
      <c r="B92">
        <f t="shared" si="3"/>
        <v>0.11254920000000007</v>
      </c>
      <c r="D92" s="10"/>
    </row>
    <row r="93" spans="1:4" x14ac:dyDescent="0.25">
      <c r="A93" t="str">
        <f t="shared" si="2"/>
        <v>0.114</v>
      </c>
      <c r="B93">
        <f t="shared" si="3"/>
        <v>0.11354920000000007</v>
      </c>
      <c r="D93" s="10"/>
    </row>
    <row r="94" spans="1:4" x14ac:dyDescent="0.25">
      <c r="A94" t="str">
        <f t="shared" si="2"/>
        <v>0.115</v>
      </c>
      <c r="B94">
        <f t="shared" si="3"/>
        <v>0.11454920000000007</v>
      </c>
      <c r="D94" s="10"/>
    </row>
    <row r="95" spans="1:4" x14ac:dyDescent="0.25">
      <c r="A95" t="str">
        <f t="shared" si="2"/>
        <v>0.116</v>
      </c>
      <c r="B95">
        <f t="shared" si="3"/>
        <v>0.11554920000000007</v>
      </c>
      <c r="D95" s="10"/>
    </row>
    <row r="96" spans="1:4" x14ac:dyDescent="0.25">
      <c r="A96" t="str">
        <f t="shared" si="2"/>
        <v>0.117</v>
      </c>
      <c r="B96">
        <f t="shared" si="3"/>
        <v>0.11654920000000007</v>
      </c>
      <c r="D96" s="10"/>
    </row>
    <row r="97" spans="1:4" x14ac:dyDescent="0.25">
      <c r="A97" t="str">
        <f t="shared" si="2"/>
        <v>0.118</v>
      </c>
      <c r="B97">
        <f t="shared" si="3"/>
        <v>0.11754920000000008</v>
      </c>
      <c r="D97" s="10"/>
    </row>
    <row r="98" spans="1:4" x14ac:dyDescent="0.25">
      <c r="A98" t="str">
        <f t="shared" si="2"/>
        <v>0.119</v>
      </c>
      <c r="B98">
        <f t="shared" si="3"/>
        <v>0.11854920000000008</v>
      </c>
      <c r="D98" s="10"/>
    </row>
    <row r="99" spans="1:4" x14ac:dyDescent="0.25">
      <c r="A99" t="str">
        <f t="shared" si="2"/>
        <v>0.120</v>
      </c>
      <c r="B99">
        <f t="shared" si="3"/>
        <v>0.11954920000000008</v>
      </c>
      <c r="D99" s="10"/>
    </row>
    <row r="100" spans="1:4" x14ac:dyDescent="0.25">
      <c r="A100" t="str">
        <f t="shared" si="2"/>
        <v>0.121</v>
      </c>
      <c r="B100">
        <f t="shared" si="3"/>
        <v>0.12054920000000008</v>
      </c>
      <c r="D100" s="10"/>
    </row>
    <row r="101" spans="1:4" x14ac:dyDescent="0.25">
      <c r="A101" t="str">
        <f t="shared" si="2"/>
        <v>0.122</v>
      </c>
      <c r="B101">
        <f t="shared" si="3"/>
        <v>0.12154920000000008</v>
      </c>
      <c r="D101" s="10"/>
    </row>
    <row r="102" spans="1:4" x14ac:dyDescent="0.25">
      <c r="A102" t="str">
        <f t="shared" si="2"/>
        <v>0.123</v>
      </c>
      <c r="B102">
        <f t="shared" si="3"/>
        <v>0.12254920000000008</v>
      </c>
      <c r="D102" s="10"/>
    </row>
    <row r="103" spans="1:4" x14ac:dyDescent="0.25">
      <c r="A103" t="str">
        <f t="shared" si="2"/>
        <v>0.124</v>
      </c>
      <c r="B103">
        <f t="shared" si="3"/>
        <v>0.12354920000000008</v>
      </c>
      <c r="D103" s="10"/>
    </row>
    <row r="104" spans="1:4" x14ac:dyDescent="0.25">
      <c r="A104" t="str">
        <f t="shared" si="2"/>
        <v>0.125</v>
      </c>
      <c r="B104">
        <f t="shared" si="3"/>
        <v>0.12454920000000008</v>
      </c>
      <c r="D104" s="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0]!Sheet13.heston_change_theta1">
                <anchor moveWithCells="1" sizeWithCells="1">
                  <from>
                    <xdr:col>4</xdr:col>
                    <xdr:colOff>333375</xdr:colOff>
                    <xdr:row>3</xdr:row>
                    <xdr:rowOff>47625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K104"/>
  <sheetViews>
    <sheetView workbookViewId="0">
      <selection activeCell="B4" sqref="B4"/>
    </sheetView>
  </sheetViews>
  <sheetFormatPr defaultRowHeight="15" x14ac:dyDescent="0.25"/>
  <cols>
    <col min="2" max="2" width="14.42578125" bestFit="1" customWidth="1"/>
    <col min="3" max="3" width="15.140625" bestFit="1" customWidth="1"/>
    <col min="4" max="4" width="12" bestFit="1" customWidth="1"/>
  </cols>
  <sheetData>
    <row r="1" spans="1:11" x14ac:dyDescent="0.25">
      <c r="B1" t="s">
        <v>84</v>
      </c>
      <c r="C1">
        <f>'Parameter Page'!E13</f>
        <v>6.5443699999999994E-2</v>
      </c>
      <c r="E1">
        <f>C1-0.05</f>
        <v>1.5443699999999991E-2</v>
      </c>
      <c r="F1">
        <f>C1+0.05</f>
        <v>0.1154437</v>
      </c>
    </row>
    <row r="2" spans="1:11" x14ac:dyDescent="0.25">
      <c r="C2" t="s">
        <v>54</v>
      </c>
      <c r="D2">
        <f>COUNT(B4:B104)</f>
        <v>101</v>
      </c>
      <c r="J2" t="s">
        <v>55</v>
      </c>
    </row>
    <row r="3" spans="1:11" x14ac:dyDescent="0.25">
      <c r="B3" t="s">
        <v>85</v>
      </c>
      <c r="C3" t="s">
        <v>57</v>
      </c>
      <c r="I3" t="str">
        <f>B3</f>
        <v>theta 2</v>
      </c>
      <c r="J3" t="s">
        <v>57</v>
      </c>
      <c r="K3" t="s">
        <v>59</v>
      </c>
    </row>
    <row r="4" spans="1:11" x14ac:dyDescent="0.25">
      <c r="A4" t="str">
        <f>TEXT(B4,"0.000")</f>
        <v>0.015</v>
      </c>
      <c r="B4">
        <f>E1</f>
        <v>1.5443699999999991E-2</v>
      </c>
      <c r="I4" s="13">
        <f>C1-0.01</f>
        <v>5.5443699999999992E-2</v>
      </c>
      <c r="J4">
        <v>854.67450116229122</v>
      </c>
      <c r="K4" t="s">
        <v>60</v>
      </c>
    </row>
    <row r="5" spans="1:11" x14ac:dyDescent="0.25">
      <c r="A5" t="str">
        <f t="shared" ref="A5:A68" si="0">TEXT(B5,"0.000")</f>
        <v>0.016</v>
      </c>
      <c r="B5">
        <f>B4+0.001</f>
        <v>1.6443699999999992E-2</v>
      </c>
      <c r="D5" s="10"/>
      <c r="I5" s="13">
        <f>C1</f>
        <v>6.5443699999999994E-2</v>
      </c>
      <c r="J5">
        <v>851.03899341232136</v>
      </c>
      <c r="K5" s="11">
        <f>(J5-J4)/J4</f>
        <v>-4.253675223755771E-3</v>
      </c>
    </row>
    <row r="6" spans="1:11" x14ac:dyDescent="0.25">
      <c r="A6" t="str">
        <f t="shared" si="0"/>
        <v>0.017</v>
      </c>
      <c r="B6">
        <f t="shared" ref="B6:B69" si="1">B5+0.001</f>
        <v>1.7443699999999993E-2</v>
      </c>
      <c r="D6" s="10"/>
      <c r="I6" s="13">
        <f>C1+0.01</f>
        <v>7.5443699999999989E-2</v>
      </c>
      <c r="J6">
        <v>846.67779504318241</v>
      </c>
      <c r="K6" s="11">
        <f>(J6-J5)/J5</f>
        <v>-5.1245576323739406E-3</v>
      </c>
    </row>
    <row r="7" spans="1:11" x14ac:dyDescent="0.25">
      <c r="A7" t="str">
        <f t="shared" si="0"/>
        <v>0.018</v>
      </c>
      <c r="B7">
        <f t="shared" si="1"/>
        <v>1.8443699999999993E-2</v>
      </c>
      <c r="D7" s="10"/>
    </row>
    <row r="8" spans="1:11" x14ac:dyDescent="0.25">
      <c r="A8" t="str">
        <f t="shared" si="0"/>
        <v>0.019</v>
      </c>
      <c r="B8">
        <f t="shared" si="1"/>
        <v>1.9443699999999994E-2</v>
      </c>
      <c r="D8" s="10"/>
    </row>
    <row r="9" spans="1:11" x14ac:dyDescent="0.25">
      <c r="A9" t="str">
        <f t="shared" si="0"/>
        <v>0.020</v>
      </c>
      <c r="B9">
        <f t="shared" si="1"/>
        <v>2.0443699999999995E-2</v>
      </c>
      <c r="D9" s="10"/>
    </row>
    <row r="10" spans="1:11" x14ac:dyDescent="0.25">
      <c r="A10" t="str">
        <f t="shared" si="0"/>
        <v>0.021</v>
      </c>
      <c r="B10">
        <f t="shared" si="1"/>
        <v>2.1443699999999996E-2</v>
      </c>
      <c r="D10" s="10"/>
    </row>
    <row r="11" spans="1:11" x14ac:dyDescent="0.25">
      <c r="A11" t="str">
        <f t="shared" si="0"/>
        <v>0.022</v>
      </c>
      <c r="B11">
        <f t="shared" si="1"/>
        <v>2.2443699999999997E-2</v>
      </c>
      <c r="D11" s="10"/>
    </row>
    <row r="12" spans="1:11" x14ac:dyDescent="0.25">
      <c r="A12" t="str">
        <f t="shared" si="0"/>
        <v>0.023</v>
      </c>
      <c r="B12">
        <f t="shared" si="1"/>
        <v>2.3443699999999998E-2</v>
      </c>
      <c r="D12" s="10"/>
    </row>
    <row r="13" spans="1:11" x14ac:dyDescent="0.25">
      <c r="A13" t="str">
        <f t="shared" si="0"/>
        <v>0.024</v>
      </c>
      <c r="B13">
        <f t="shared" si="1"/>
        <v>2.4443699999999999E-2</v>
      </c>
      <c r="D13" s="10"/>
    </row>
    <row r="14" spans="1:11" x14ac:dyDescent="0.25">
      <c r="A14" t="str">
        <f t="shared" si="0"/>
        <v>0.025</v>
      </c>
      <c r="B14">
        <f t="shared" si="1"/>
        <v>2.54437E-2</v>
      </c>
      <c r="D14" s="10"/>
    </row>
    <row r="15" spans="1:11" x14ac:dyDescent="0.25">
      <c r="A15" t="str">
        <f t="shared" si="0"/>
        <v>0.026</v>
      </c>
      <c r="B15">
        <f t="shared" si="1"/>
        <v>2.6443700000000001E-2</v>
      </c>
      <c r="D15" s="10"/>
    </row>
    <row r="16" spans="1:11" x14ac:dyDescent="0.25">
      <c r="A16" t="str">
        <f t="shared" si="0"/>
        <v>0.027</v>
      </c>
      <c r="B16">
        <f t="shared" si="1"/>
        <v>2.7443700000000001E-2</v>
      </c>
      <c r="D16" s="10"/>
    </row>
    <row r="17" spans="1:4" x14ac:dyDescent="0.25">
      <c r="A17" t="str">
        <f t="shared" si="0"/>
        <v>0.028</v>
      </c>
      <c r="B17">
        <f t="shared" si="1"/>
        <v>2.8443700000000002E-2</v>
      </c>
      <c r="D17" s="10"/>
    </row>
    <row r="18" spans="1:4" x14ac:dyDescent="0.25">
      <c r="A18" t="str">
        <f t="shared" si="0"/>
        <v>0.029</v>
      </c>
      <c r="B18">
        <f t="shared" si="1"/>
        <v>2.9443700000000003E-2</v>
      </c>
      <c r="D18" s="10"/>
    </row>
    <row r="19" spans="1:4" x14ac:dyDescent="0.25">
      <c r="A19" t="str">
        <f t="shared" si="0"/>
        <v>0.030</v>
      </c>
      <c r="B19">
        <f t="shared" si="1"/>
        <v>3.0443700000000004E-2</v>
      </c>
      <c r="D19" s="10"/>
    </row>
    <row r="20" spans="1:4" x14ac:dyDescent="0.25">
      <c r="A20" t="str">
        <f t="shared" si="0"/>
        <v>0.031</v>
      </c>
      <c r="B20">
        <f t="shared" si="1"/>
        <v>3.1443700000000005E-2</v>
      </c>
      <c r="D20" s="10"/>
    </row>
    <row r="21" spans="1:4" x14ac:dyDescent="0.25">
      <c r="A21" t="str">
        <f t="shared" si="0"/>
        <v>0.032</v>
      </c>
      <c r="B21">
        <f t="shared" si="1"/>
        <v>3.2443700000000006E-2</v>
      </c>
      <c r="D21" s="10"/>
    </row>
    <row r="22" spans="1:4" x14ac:dyDescent="0.25">
      <c r="A22" t="str">
        <f t="shared" si="0"/>
        <v>0.033</v>
      </c>
      <c r="B22">
        <f t="shared" si="1"/>
        <v>3.3443700000000007E-2</v>
      </c>
      <c r="D22" s="10"/>
    </row>
    <row r="23" spans="1:4" x14ac:dyDescent="0.25">
      <c r="A23" t="str">
        <f t="shared" si="0"/>
        <v>0.034</v>
      </c>
      <c r="B23">
        <f t="shared" si="1"/>
        <v>3.4443700000000008E-2</v>
      </c>
      <c r="D23" s="10"/>
    </row>
    <row r="24" spans="1:4" x14ac:dyDescent="0.25">
      <c r="A24" t="str">
        <f t="shared" si="0"/>
        <v>0.035</v>
      </c>
      <c r="B24">
        <f t="shared" si="1"/>
        <v>3.5443700000000009E-2</v>
      </c>
      <c r="D24" s="10"/>
    </row>
    <row r="25" spans="1:4" x14ac:dyDescent="0.25">
      <c r="A25" t="str">
        <f t="shared" si="0"/>
        <v>0.036</v>
      </c>
      <c r="B25">
        <f t="shared" si="1"/>
        <v>3.6443700000000009E-2</v>
      </c>
      <c r="D25" s="10"/>
    </row>
    <row r="26" spans="1:4" x14ac:dyDescent="0.25">
      <c r="A26" t="str">
        <f t="shared" si="0"/>
        <v>0.037</v>
      </c>
      <c r="B26">
        <f t="shared" si="1"/>
        <v>3.744370000000001E-2</v>
      </c>
      <c r="D26" s="10"/>
    </row>
    <row r="27" spans="1:4" x14ac:dyDescent="0.25">
      <c r="A27" t="str">
        <f t="shared" si="0"/>
        <v>0.038</v>
      </c>
      <c r="B27">
        <f t="shared" si="1"/>
        <v>3.8443700000000011E-2</v>
      </c>
      <c r="D27" s="10"/>
    </row>
    <row r="28" spans="1:4" x14ac:dyDescent="0.25">
      <c r="A28" t="str">
        <f t="shared" si="0"/>
        <v>0.039</v>
      </c>
      <c r="B28">
        <f t="shared" si="1"/>
        <v>3.9443700000000012E-2</v>
      </c>
      <c r="D28" s="10"/>
    </row>
    <row r="29" spans="1:4" x14ac:dyDescent="0.25">
      <c r="A29" t="str">
        <f t="shared" si="0"/>
        <v>0.040</v>
      </c>
      <c r="B29">
        <f t="shared" si="1"/>
        <v>4.0443700000000013E-2</v>
      </c>
      <c r="D29" s="10"/>
    </row>
    <row r="30" spans="1:4" x14ac:dyDescent="0.25">
      <c r="A30" t="str">
        <f t="shared" si="0"/>
        <v>0.041</v>
      </c>
      <c r="B30">
        <f t="shared" si="1"/>
        <v>4.1443700000000014E-2</v>
      </c>
      <c r="D30" s="10"/>
    </row>
    <row r="31" spans="1:4" x14ac:dyDescent="0.25">
      <c r="A31" t="str">
        <f t="shared" si="0"/>
        <v>0.042</v>
      </c>
      <c r="B31">
        <f t="shared" si="1"/>
        <v>4.2443700000000015E-2</v>
      </c>
      <c r="D31" s="10"/>
    </row>
    <row r="32" spans="1:4" x14ac:dyDescent="0.25">
      <c r="A32" t="str">
        <f t="shared" si="0"/>
        <v>0.043</v>
      </c>
      <c r="B32">
        <f t="shared" si="1"/>
        <v>4.3443700000000016E-2</v>
      </c>
      <c r="D32" s="10"/>
    </row>
    <row r="33" spans="1:4" x14ac:dyDescent="0.25">
      <c r="A33" t="str">
        <f t="shared" si="0"/>
        <v>0.044</v>
      </c>
      <c r="B33">
        <f t="shared" si="1"/>
        <v>4.4443700000000017E-2</v>
      </c>
      <c r="D33" s="10"/>
    </row>
    <row r="34" spans="1:4" x14ac:dyDescent="0.25">
      <c r="A34" t="str">
        <f t="shared" si="0"/>
        <v>0.045</v>
      </c>
      <c r="B34">
        <f t="shared" si="1"/>
        <v>4.5443700000000017E-2</v>
      </c>
      <c r="D34" s="10"/>
    </row>
    <row r="35" spans="1:4" x14ac:dyDescent="0.25">
      <c r="A35" t="str">
        <f t="shared" si="0"/>
        <v>0.046</v>
      </c>
      <c r="B35">
        <f t="shared" si="1"/>
        <v>4.6443700000000018E-2</v>
      </c>
      <c r="D35" s="10"/>
    </row>
    <row r="36" spans="1:4" x14ac:dyDescent="0.25">
      <c r="A36" t="str">
        <f t="shared" si="0"/>
        <v>0.047</v>
      </c>
      <c r="B36">
        <f t="shared" si="1"/>
        <v>4.7443700000000019E-2</v>
      </c>
      <c r="D36" s="10"/>
    </row>
    <row r="37" spans="1:4" x14ac:dyDescent="0.25">
      <c r="A37" t="str">
        <f t="shared" si="0"/>
        <v>0.048</v>
      </c>
      <c r="B37">
        <f t="shared" si="1"/>
        <v>4.844370000000002E-2</v>
      </c>
      <c r="D37" s="10"/>
    </row>
    <row r="38" spans="1:4" x14ac:dyDescent="0.25">
      <c r="A38" t="str">
        <f t="shared" si="0"/>
        <v>0.049</v>
      </c>
      <c r="B38">
        <f t="shared" si="1"/>
        <v>4.9443700000000021E-2</v>
      </c>
      <c r="D38" s="10"/>
    </row>
    <row r="39" spans="1:4" x14ac:dyDescent="0.25">
      <c r="A39" t="str">
        <f t="shared" si="0"/>
        <v>0.050</v>
      </c>
      <c r="B39">
        <f t="shared" si="1"/>
        <v>5.0443700000000022E-2</v>
      </c>
      <c r="D39" s="10"/>
    </row>
    <row r="40" spans="1:4" x14ac:dyDescent="0.25">
      <c r="A40" t="str">
        <f t="shared" si="0"/>
        <v>0.051</v>
      </c>
      <c r="B40">
        <f t="shared" si="1"/>
        <v>5.1443700000000023E-2</v>
      </c>
      <c r="D40" s="10"/>
    </row>
    <row r="41" spans="1:4" x14ac:dyDescent="0.25">
      <c r="A41" t="str">
        <f t="shared" si="0"/>
        <v>0.052</v>
      </c>
      <c r="B41">
        <f t="shared" si="1"/>
        <v>5.2443700000000024E-2</v>
      </c>
      <c r="D41" s="10"/>
    </row>
    <row r="42" spans="1:4" x14ac:dyDescent="0.25">
      <c r="A42" t="str">
        <f t="shared" si="0"/>
        <v>0.053</v>
      </c>
      <c r="B42">
        <f t="shared" si="1"/>
        <v>5.3443700000000025E-2</v>
      </c>
      <c r="D42" s="10"/>
    </row>
    <row r="43" spans="1:4" x14ac:dyDescent="0.25">
      <c r="A43" t="str">
        <f t="shared" si="0"/>
        <v>0.054</v>
      </c>
      <c r="B43">
        <f t="shared" si="1"/>
        <v>5.4443700000000025E-2</v>
      </c>
      <c r="D43" s="10"/>
    </row>
    <row r="44" spans="1:4" x14ac:dyDescent="0.25">
      <c r="A44" t="str">
        <f t="shared" si="0"/>
        <v>0.055</v>
      </c>
      <c r="B44">
        <f t="shared" si="1"/>
        <v>5.5443700000000026E-2</v>
      </c>
      <c r="D44" s="10"/>
    </row>
    <row r="45" spans="1:4" x14ac:dyDescent="0.25">
      <c r="A45" t="str">
        <f t="shared" si="0"/>
        <v>0.056</v>
      </c>
      <c r="B45">
        <f t="shared" si="1"/>
        <v>5.6443700000000027E-2</v>
      </c>
      <c r="D45" s="10"/>
    </row>
    <row r="46" spans="1:4" x14ac:dyDescent="0.25">
      <c r="A46" t="str">
        <f t="shared" si="0"/>
        <v>0.057</v>
      </c>
      <c r="B46">
        <f t="shared" si="1"/>
        <v>5.7443700000000028E-2</v>
      </c>
      <c r="D46" s="10"/>
    </row>
    <row r="47" spans="1:4" x14ac:dyDescent="0.25">
      <c r="A47" t="str">
        <f t="shared" si="0"/>
        <v>0.058</v>
      </c>
      <c r="B47">
        <f t="shared" si="1"/>
        <v>5.8443700000000029E-2</v>
      </c>
      <c r="D47" s="10"/>
    </row>
    <row r="48" spans="1:4" x14ac:dyDescent="0.25">
      <c r="A48" t="str">
        <f t="shared" si="0"/>
        <v>0.059</v>
      </c>
      <c r="B48">
        <f t="shared" si="1"/>
        <v>5.944370000000003E-2</v>
      </c>
      <c r="D48" s="10"/>
    </row>
    <row r="49" spans="1:4" x14ac:dyDescent="0.25">
      <c r="A49" t="str">
        <f t="shared" si="0"/>
        <v>0.060</v>
      </c>
      <c r="B49">
        <f t="shared" si="1"/>
        <v>6.0443700000000031E-2</v>
      </c>
      <c r="D49" s="10"/>
    </row>
    <row r="50" spans="1:4" x14ac:dyDescent="0.25">
      <c r="A50" t="str">
        <f t="shared" si="0"/>
        <v>0.061</v>
      </c>
      <c r="B50">
        <f t="shared" si="1"/>
        <v>6.1443700000000032E-2</v>
      </c>
      <c r="D50" s="10"/>
    </row>
    <row r="51" spans="1:4" x14ac:dyDescent="0.25">
      <c r="A51" t="str">
        <f t="shared" si="0"/>
        <v>0.062</v>
      </c>
      <c r="B51">
        <f t="shared" si="1"/>
        <v>6.2443700000000033E-2</v>
      </c>
      <c r="D51" s="10"/>
    </row>
    <row r="52" spans="1:4" x14ac:dyDescent="0.25">
      <c r="A52" t="str">
        <f t="shared" si="0"/>
        <v>0.063</v>
      </c>
      <c r="B52">
        <f t="shared" si="1"/>
        <v>6.3443700000000033E-2</v>
      </c>
      <c r="D52" s="10"/>
    </row>
    <row r="53" spans="1:4" x14ac:dyDescent="0.25">
      <c r="A53" t="str">
        <f t="shared" si="0"/>
        <v>0.064</v>
      </c>
      <c r="B53">
        <f t="shared" si="1"/>
        <v>6.4443700000000034E-2</v>
      </c>
      <c r="D53" s="10"/>
    </row>
    <row r="54" spans="1:4" x14ac:dyDescent="0.25">
      <c r="A54" t="str">
        <f t="shared" si="0"/>
        <v>0.065</v>
      </c>
      <c r="B54">
        <f t="shared" si="1"/>
        <v>6.5443700000000035E-2</v>
      </c>
      <c r="D54" s="10"/>
    </row>
    <row r="55" spans="1:4" x14ac:dyDescent="0.25">
      <c r="A55" t="str">
        <f t="shared" si="0"/>
        <v>0.066</v>
      </c>
      <c r="B55">
        <f t="shared" si="1"/>
        <v>6.6443700000000036E-2</v>
      </c>
      <c r="D55" s="10"/>
    </row>
    <row r="56" spans="1:4" x14ac:dyDescent="0.25">
      <c r="A56" t="str">
        <f t="shared" si="0"/>
        <v>0.067</v>
      </c>
      <c r="B56">
        <f t="shared" si="1"/>
        <v>6.7443700000000037E-2</v>
      </c>
      <c r="D56" s="10"/>
    </row>
    <row r="57" spans="1:4" x14ac:dyDescent="0.25">
      <c r="A57" t="str">
        <f t="shared" si="0"/>
        <v>0.068</v>
      </c>
      <c r="B57">
        <f t="shared" si="1"/>
        <v>6.8443700000000038E-2</v>
      </c>
      <c r="D57" s="10"/>
    </row>
    <row r="58" spans="1:4" x14ac:dyDescent="0.25">
      <c r="A58" t="str">
        <f t="shared" si="0"/>
        <v>0.069</v>
      </c>
      <c r="B58">
        <f t="shared" si="1"/>
        <v>6.9443700000000039E-2</v>
      </c>
      <c r="D58" s="10"/>
    </row>
    <row r="59" spans="1:4" x14ac:dyDescent="0.25">
      <c r="A59" t="str">
        <f t="shared" si="0"/>
        <v>0.070</v>
      </c>
      <c r="B59">
        <f t="shared" si="1"/>
        <v>7.044370000000004E-2</v>
      </c>
      <c r="D59" s="10"/>
    </row>
    <row r="60" spans="1:4" x14ac:dyDescent="0.25">
      <c r="A60" t="str">
        <f t="shared" si="0"/>
        <v>0.071</v>
      </c>
      <c r="B60">
        <f t="shared" si="1"/>
        <v>7.1443700000000041E-2</v>
      </c>
      <c r="D60" s="10"/>
    </row>
    <row r="61" spans="1:4" x14ac:dyDescent="0.25">
      <c r="A61" t="str">
        <f t="shared" si="0"/>
        <v>0.072</v>
      </c>
      <c r="B61">
        <f t="shared" si="1"/>
        <v>7.2443700000000041E-2</v>
      </c>
      <c r="D61" s="10"/>
    </row>
    <row r="62" spans="1:4" x14ac:dyDescent="0.25">
      <c r="A62" t="str">
        <f t="shared" si="0"/>
        <v>0.073</v>
      </c>
      <c r="B62">
        <f t="shared" si="1"/>
        <v>7.3443700000000042E-2</v>
      </c>
      <c r="D62" s="10"/>
    </row>
    <row r="63" spans="1:4" x14ac:dyDescent="0.25">
      <c r="A63" t="str">
        <f t="shared" si="0"/>
        <v>0.074</v>
      </c>
      <c r="B63">
        <f t="shared" si="1"/>
        <v>7.4443700000000043E-2</v>
      </c>
      <c r="D63" s="10"/>
    </row>
    <row r="64" spans="1:4" x14ac:dyDescent="0.25">
      <c r="A64" t="str">
        <f t="shared" si="0"/>
        <v>0.075</v>
      </c>
      <c r="B64">
        <f t="shared" si="1"/>
        <v>7.5443700000000044E-2</v>
      </c>
      <c r="D64" s="10"/>
    </row>
    <row r="65" spans="1:4" x14ac:dyDescent="0.25">
      <c r="A65" t="str">
        <f t="shared" si="0"/>
        <v>0.076</v>
      </c>
      <c r="B65">
        <f t="shared" si="1"/>
        <v>7.6443700000000045E-2</v>
      </c>
      <c r="D65" s="10"/>
    </row>
    <row r="66" spans="1:4" x14ac:dyDescent="0.25">
      <c r="A66" t="str">
        <f t="shared" si="0"/>
        <v>0.077</v>
      </c>
      <c r="B66">
        <f t="shared" si="1"/>
        <v>7.7443700000000046E-2</v>
      </c>
      <c r="D66" s="10"/>
    </row>
    <row r="67" spans="1:4" x14ac:dyDescent="0.25">
      <c r="A67" t="str">
        <f t="shared" si="0"/>
        <v>0.078</v>
      </c>
      <c r="B67">
        <f t="shared" si="1"/>
        <v>7.8443700000000047E-2</v>
      </c>
      <c r="D67" s="10"/>
    </row>
    <row r="68" spans="1:4" x14ac:dyDescent="0.25">
      <c r="A68" t="str">
        <f t="shared" si="0"/>
        <v>0.079</v>
      </c>
      <c r="B68">
        <f t="shared" si="1"/>
        <v>7.9443700000000048E-2</v>
      </c>
      <c r="D68" s="10"/>
    </row>
    <row r="69" spans="1:4" x14ac:dyDescent="0.25">
      <c r="A69" t="str">
        <f t="shared" ref="A69:A104" si="2">TEXT(B69,"0.000")</f>
        <v>0.080</v>
      </c>
      <c r="B69">
        <f t="shared" si="1"/>
        <v>8.0443700000000049E-2</v>
      </c>
      <c r="D69" s="10"/>
    </row>
    <row r="70" spans="1:4" x14ac:dyDescent="0.25">
      <c r="A70" t="str">
        <f t="shared" si="2"/>
        <v>0.081</v>
      </c>
      <c r="B70">
        <f t="shared" ref="B70:B104" si="3">B69+0.001</f>
        <v>8.1443700000000049E-2</v>
      </c>
      <c r="D70" s="10"/>
    </row>
    <row r="71" spans="1:4" x14ac:dyDescent="0.25">
      <c r="A71" t="str">
        <f t="shared" si="2"/>
        <v>0.082</v>
      </c>
      <c r="B71">
        <f t="shared" si="3"/>
        <v>8.244370000000005E-2</v>
      </c>
      <c r="D71" s="10"/>
    </row>
    <row r="72" spans="1:4" x14ac:dyDescent="0.25">
      <c r="A72" t="str">
        <f t="shared" si="2"/>
        <v>0.083</v>
      </c>
      <c r="B72">
        <f t="shared" si="3"/>
        <v>8.3443700000000051E-2</v>
      </c>
      <c r="D72" s="10"/>
    </row>
    <row r="73" spans="1:4" x14ac:dyDescent="0.25">
      <c r="A73" t="str">
        <f t="shared" si="2"/>
        <v>0.084</v>
      </c>
      <c r="B73">
        <f t="shared" si="3"/>
        <v>8.4443700000000052E-2</v>
      </c>
      <c r="D73" s="10"/>
    </row>
    <row r="74" spans="1:4" x14ac:dyDescent="0.25">
      <c r="A74" t="str">
        <f t="shared" si="2"/>
        <v>0.085</v>
      </c>
      <c r="B74">
        <f t="shared" si="3"/>
        <v>8.5443700000000053E-2</v>
      </c>
      <c r="D74" s="10"/>
    </row>
    <row r="75" spans="1:4" x14ac:dyDescent="0.25">
      <c r="A75" t="str">
        <f t="shared" si="2"/>
        <v>0.086</v>
      </c>
      <c r="B75">
        <f t="shared" si="3"/>
        <v>8.6443700000000054E-2</v>
      </c>
      <c r="D75" s="10"/>
    </row>
    <row r="76" spans="1:4" x14ac:dyDescent="0.25">
      <c r="A76" t="str">
        <f t="shared" si="2"/>
        <v>0.087</v>
      </c>
      <c r="B76">
        <f t="shared" si="3"/>
        <v>8.7443700000000055E-2</v>
      </c>
      <c r="D76" s="10"/>
    </row>
    <row r="77" spans="1:4" x14ac:dyDescent="0.25">
      <c r="A77" t="str">
        <f t="shared" si="2"/>
        <v>0.088</v>
      </c>
      <c r="B77">
        <f t="shared" si="3"/>
        <v>8.8443700000000056E-2</v>
      </c>
      <c r="D77" s="10"/>
    </row>
    <row r="78" spans="1:4" x14ac:dyDescent="0.25">
      <c r="A78" t="str">
        <f t="shared" si="2"/>
        <v>0.089</v>
      </c>
      <c r="B78">
        <f t="shared" si="3"/>
        <v>8.9443700000000056E-2</v>
      </c>
      <c r="D78" s="10"/>
    </row>
    <row r="79" spans="1:4" x14ac:dyDescent="0.25">
      <c r="A79" t="str">
        <f t="shared" si="2"/>
        <v>0.090</v>
      </c>
      <c r="B79">
        <f t="shared" si="3"/>
        <v>9.0443700000000057E-2</v>
      </c>
      <c r="D79" s="10"/>
    </row>
    <row r="80" spans="1:4" x14ac:dyDescent="0.25">
      <c r="A80" t="str">
        <f t="shared" si="2"/>
        <v>0.091</v>
      </c>
      <c r="B80">
        <f t="shared" si="3"/>
        <v>9.1443700000000058E-2</v>
      </c>
      <c r="D80" s="10"/>
    </row>
    <row r="81" spans="1:4" x14ac:dyDescent="0.25">
      <c r="A81" t="str">
        <f t="shared" si="2"/>
        <v>0.092</v>
      </c>
      <c r="B81">
        <f t="shared" si="3"/>
        <v>9.2443700000000059E-2</v>
      </c>
      <c r="D81" s="10"/>
    </row>
    <row r="82" spans="1:4" x14ac:dyDescent="0.25">
      <c r="A82" t="str">
        <f t="shared" si="2"/>
        <v>0.093</v>
      </c>
      <c r="B82">
        <f t="shared" si="3"/>
        <v>9.344370000000006E-2</v>
      </c>
      <c r="D82" s="10"/>
    </row>
    <row r="83" spans="1:4" x14ac:dyDescent="0.25">
      <c r="A83" t="str">
        <f t="shared" si="2"/>
        <v>0.094</v>
      </c>
      <c r="B83">
        <f t="shared" si="3"/>
        <v>9.4443700000000061E-2</v>
      </c>
      <c r="D83" s="10"/>
    </row>
    <row r="84" spans="1:4" x14ac:dyDescent="0.25">
      <c r="A84" t="str">
        <f t="shared" si="2"/>
        <v>0.095</v>
      </c>
      <c r="B84">
        <f t="shared" si="3"/>
        <v>9.5443700000000062E-2</v>
      </c>
      <c r="D84" s="10"/>
    </row>
    <row r="85" spans="1:4" x14ac:dyDescent="0.25">
      <c r="A85" t="str">
        <f t="shared" si="2"/>
        <v>0.096</v>
      </c>
      <c r="B85">
        <f t="shared" si="3"/>
        <v>9.6443700000000063E-2</v>
      </c>
      <c r="D85" s="10"/>
    </row>
    <row r="86" spans="1:4" x14ac:dyDescent="0.25">
      <c r="A86" t="str">
        <f t="shared" si="2"/>
        <v>0.097</v>
      </c>
      <c r="B86">
        <f t="shared" si="3"/>
        <v>9.7443700000000064E-2</v>
      </c>
      <c r="D86" s="10"/>
    </row>
    <row r="87" spans="1:4" x14ac:dyDescent="0.25">
      <c r="A87" t="str">
        <f t="shared" si="2"/>
        <v>0.098</v>
      </c>
      <c r="B87">
        <f t="shared" si="3"/>
        <v>9.8443700000000064E-2</v>
      </c>
      <c r="D87" s="10"/>
    </row>
    <row r="88" spans="1:4" x14ac:dyDescent="0.25">
      <c r="A88" t="str">
        <f t="shared" si="2"/>
        <v>0.099</v>
      </c>
      <c r="B88">
        <f t="shared" si="3"/>
        <v>9.9443700000000065E-2</v>
      </c>
      <c r="D88" s="10"/>
    </row>
    <row r="89" spans="1:4" x14ac:dyDescent="0.25">
      <c r="A89" t="str">
        <f t="shared" si="2"/>
        <v>0.100</v>
      </c>
      <c r="B89">
        <f t="shared" si="3"/>
        <v>0.10044370000000007</v>
      </c>
      <c r="D89" s="10"/>
    </row>
    <row r="90" spans="1:4" x14ac:dyDescent="0.25">
      <c r="A90" t="str">
        <f t="shared" si="2"/>
        <v>0.101</v>
      </c>
      <c r="B90">
        <f t="shared" si="3"/>
        <v>0.10144370000000007</v>
      </c>
      <c r="D90" s="10"/>
    </row>
    <row r="91" spans="1:4" x14ac:dyDescent="0.25">
      <c r="A91" t="str">
        <f t="shared" si="2"/>
        <v>0.102</v>
      </c>
      <c r="B91">
        <f t="shared" si="3"/>
        <v>0.10244370000000007</v>
      </c>
      <c r="D91" s="10"/>
    </row>
    <row r="92" spans="1:4" x14ac:dyDescent="0.25">
      <c r="A92" t="str">
        <f t="shared" si="2"/>
        <v>0.103</v>
      </c>
      <c r="B92">
        <f t="shared" si="3"/>
        <v>0.10344370000000007</v>
      </c>
      <c r="D92" s="10"/>
    </row>
    <row r="93" spans="1:4" x14ac:dyDescent="0.25">
      <c r="A93" t="str">
        <f t="shared" si="2"/>
        <v>0.104</v>
      </c>
      <c r="B93">
        <f t="shared" si="3"/>
        <v>0.10444370000000007</v>
      </c>
      <c r="D93" s="10"/>
    </row>
    <row r="94" spans="1:4" x14ac:dyDescent="0.25">
      <c r="A94" t="str">
        <f t="shared" si="2"/>
        <v>0.105</v>
      </c>
      <c r="B94">
        <f t="shared" si="3"/>
        <v>0.10544370000000007</v>
      </c>
      <c r="D94" s="10"/>
    </row>
    <row r="95" spans="1:4" x14ac:dyDescent="0.25">
      <c r="A95" t="str">
        <f t="shared" si="2"/>
        <v>0.106</v>
      </c>
      <c r="B95">
        <f t="shared" si="3"/>
        <v>0.10644370000000007</v>
      </c>
      <c r="D95" s="10"/>
    </row>
    <row r="96" spans="1:4" x14ac:dyDescent="0.25">
      <c r="A96" t="str">
        <f t="shared" si="2"/>
        <v>0.107</v>
      </c>
      <c r="B96">
        <f t="shared" si="3"/>
        <v>0.10744370000000007</v>
      </c>
      <c r="D96" s="10"/>
    </row>
    <row r="97" spans="1:4" x14ac:dyDescent="0.25">
      <c r="A97" t="str">
        <f t="shared" si="2"/>
        <v>0.108</v>
      </c>
      <c r="B97">
        <f t="shared" si="3"/>
        <v>0.10844370000000007</v>
      </c>
      <c r="D97" s="10"/>
    </row>
    <row r="98" spans="1:4" x14ac:dyDescent="0.25">
      <c r="A98" t="str">
        <f t="shared" si="2"/>
        <v>0.109</v>
      </c>
      <c r="B98">
        <f t="shared" si="3"/>
        <v>0.10944370000000007</v>
      </c>
      <c r="D98" s="10"/>
    </row>
    <row r="99" spans="1:4" x14ac:dyDescent="0.25">
      <c r="A99" t="str">
        <f t="shared" si="2"/>
        <v>0.110</v>
      </c>
      <c r="B99">
        <f t="shared" si="3"/>
        <v>0.11044370000000008</v>
      </c>
      <c r="D99" s="10"/>
    </row>
    <row r="100" spans="1:4" x14ac:dyDescent="0.25">
      <c r="A100" t="str">
        <f t="shared" si="2"/>
        <v>0.111</v>
      </c>
      <c r="B100">
        <f t="shared" si="3"/>
        <v>0.11144370000000008</v>
      </c>
      <c r="D100" s="10"/>
    </row>
    <row r="101" spans="1:4" x14ac:dyDescent="0.25">
      <c r="A101" t="str">
        <f t="shared" si="2"/>
        <v>0.112</v>
      </c>
      <c r="B101">
        <f t="shared" si="3"/>
        <v>0.11244370000000008</v>
      </c>
      <c r="D101" s="10"/>
    </row>
    <row r="102" spans="1:4" x14ac:dyDescent="0.25">
      <c r="A102" t="str">
        <f t="shared" si="2"/>
        <v>0.113</v>
      </c>
      <c r="B102">
        <f t="shared" si="3"/>
        <v>0.11344370000000008</v>
      </c>
      <c r="D102" s="10"/>
    </row>
    <row r="103" spans="1:4" x14ac:dyDescent="0.25">
      <c r="A103" t="str">
        <f t="shared" si="2"/>
        <v>0.114</v>
      </c>
      <c r="B103">
        <f t="shared" si="3"/>
        <v>0.11444370000000008</v>
      </c>
      <c r="D103" s="10"/>
    </row>
    <row r="104" spans="1:4" x14ac:dyDescent="0.25">
      <c r="A104" t="str">
        <f t="shared" si="2"/>
        <v>0.115</v>
      </c>
      <c r="B104">
        <f t="shared" si="3"/>
        <v>0.11544370000000008</v>
      </c>
      <c r="D104" s="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Sheet14.heston_change_theta2">
                <anchor moveWithCells="1" sizeWithCells="1">
                  <from>
                    <xdr:col>4</xdr:col>
                    <xdr:colOff>333375</xdr:colOff>
                    <xdr:row>3</xdr:row>
                    <xdr:rowOff>47625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K104"/>
  <sheetViews>
    <sheetView workbookViewId="0">
      <selection activeCell="K6" sqref="K6"/>
    </sheetView>
  </sheetViews>
  <sheetFormatPr defaultRowHeight="15" x14ac:dyDescent="0.25"/>
  <cols>
    <col min="2" max="2" width="14.42578125" bestFit="1" customWidth="1"/>
    <col min="3" max="3" width="15.140625" bestFit="1" customWidth="1"/>
    <col min="4" max="4" width="12" bestFit="1" customWidth="1"/>
  </cols>
  <sheetData>
    <row r="1" spans="1:11" x14ac:dyDescent="0.25">
      <c r="B1" t="s">
        <v>87</v>
      </c>
      <c r="C1">
        <f>'Parameter Page'!H13</f>
        <v>0.10424799999999999</v>
      </c>
      <c r="E1">
        <f>C1-0.05</f>
        <v>5.4247999999999991E-2</v>
      </c>
      <c r="F1">
        <f>C1+0.05</f>
        <v>0.154248</v>
      </c>
    </row>
    <row r="2" spans="1:11" x14ac:dyDescent="0.25">
      <c r="C2" t="s">
        <v>54</v>
      </c>
      <c r="D2">
        <f>COUNT(B4:B104)</f>
        <v>101</v>
      </c>
      <c r="J2" t="s">
        <v>55</v>
      </c>
    </row>
    <row r="3" spans="1:11" x14ac:dyDescent="0.25">
      <c r="B3" t="s">
        <v>86</v>
      </c>
      <c r="C3" t="s">
        <v>57</v>
      </c>
      <c r="I3" t="str">
        <f>B3</f>
        <v>theta 3</v>
      </c>
      <c r="J3" t="s">
        <v>57</v>
      </c>
      <c r="K3" t="s">
        <v>59</v>
      </c>
    </row>
    <row r="4" spans="1:11" x14ac:dyDescent="0.25">
      <c r="A4" t="str">
        <f>TEXT(B4,"0.000")</f>
        <v>0.054</v>
      </c>
      <c r="B4">
        <f>E1</f>
        <v>5.4247999999999991E-2</v>
      </c>
      <c r="I4" s="13">
        <f>C1-0.01</f>
        <v>9.4247999999999998E-2</v>
      </c>
      <c r="J4">
        <v>885.88219159958157</v>
      </c>
      <c r="K4" t="s">
        <v>60</v>
      </c>
    </row>
    <row r="5" spans="1:11" x14ac:dyDescent="0.25">
      <c r="A5" t="str">
        <f t="shared" ref="A5:A68" si="0">TEXT(B5,"0.000")</f>
        <v>0.055</v>
      </c>
      <c r="B5">
        <f>B4+0.001</f>
        <v>5.5247999999999992E-2</v>
      </c>
      <c r="D5" s="10"/>
      <c r="I5" s="13">
        <f>C1</f>
        <v>0.10424799999999999</v>
      </c>
      <c r="J5">
        <v>881.2495002647654</v>
      </c>
      <c r="K5" s="11">
        <f>(J5-J4)/J4</f>
        <v>-5.2294666026091053E-3</v>
      </c>
    </row>
    <row r="6" spans="1:11" x14ac:dyDescent="0.25">
      <c r="A6" t="str">
        <f t="shared" si="0"/>
        <v>0.056</v>
      </c>
      <c r="B6">
        <f t="shared" ref="B6:B69" si="1">B5+0.001</f>
        <v>5.6247999999999992E-2</v>
      </c>
      <c r="D6" s="10"/>
      <c r="I6" s="13">
        <f>C1+0.01</f>
        <v>0.11424799999999999</v>
      </c>
      <c r="J6">
        <v>876.87678084123502</v>
      </c>
      <c r="K6" s="11">
        <f>(J6-J5)/J5</f>
        <v>-4.9619539327019537E-3</v>
      </c>
    </row>
    <row r="7" spans="1:11" x14ac:dyDescent="0.25">
      <c r="A7" t="str">
        <f t="shared" si="0"/>
        <v>0.057</v>
      </c>
      <c r="B7">
        <f t="shared" si="1"/>
        <v>5.7247999999999993E-2</v>
      </c>
      <c r="D7" s="10"/>
    </row>
    <row r="8" spans="1:11" x14ac:dyDescent="0.25">
      <c r="A8" t="str">
        <f t="shared" si="0"/>
        <v>0.058</v>
      </c>
      <c r="B8">
        <f t="shared" si="1"/>
        <v>5.8247999999999994E-2</v>
      </c>
      <c r="D8" s="10"/>
    </row>
    <row r="9" spans="1:11" x14ac:dyDescent="0.25">
      <c r="A9" t="str">
        <f t="shared" si="0"/>
        <v>0.059</v>
      </c>
      <c r="B9">
        <f t="shared" si="1"/>
        <v>5.9247999999999995E-2</v>
      </c>
      <c r="D9" s="10"/>
    </row>
    <row r="10" spans="1:11" x14ac:dyDescent="0.25">
      <c r="A10" t="str">
        <f t="shared" si="0"/>
        <v>0.060</v>
      </c>
      <c r="B10">
        <f t="shared" si="1"/>
        <v>6.0247999999999996E-2</v>
      </c>
      <c r="D10" s="10"/>
    </row>
    <row r="11" spans="1:11" x14ac:dyDescent="0.25">
      <c r="A11" t="str">
        <f t="shared" si="0"/>
        <v>0.061</v>
      </c>
      <c r="B11">
        <f t="shared" si="1"/>
        <v>6.1247999999999997E-2</v>
      </c>
      <c r="D11" s="10"/>
    </row>
    <row r="12" spans="1:11" x14ac:dyDescent="0.25">
      <c r="A12" t="str">
        <f t="shared" si="0"/>
        <v>0.062</v>
      </c>
      <c r="B12">
        <f t="shared" si="1"/>
        <v>6.2247999999999998E-2</v>
      </c>
      <c r="D12" s="10"/>
    </row>
    <row r="13" spans="1:11" x14ac:dyDescent="0.25">
      <c r="A13" t="str">
        <f t="shared" si="0"/>
        <v>0.063</v>
      </c>
      <c r="B13">
        <f t="shared" si="1"/>
        <v>6.3247999999999999E-2</v>
      </c>
      <c r="D13" s="10"/>
    </row>
    <row r="14" spans="1:11" x14ac:dyDescent="0.25">
      <c r="A14" t="str">
        <f t="shared" si="0"/>
        <v>0.064</v>
      </c>
      <c r="B14">
        <f t="shared" si="1"/>
        <v>6.4248E-2</v>
      </c>
      <c r="D14" s="10"/>
    </row>
    <row r="15" spans="1:11" x14ac:dyDescent="0.25">
      <c r="A15" t="str">
        <f t="shared" si="0"/>
        <v>0.065</v>
      </c>
      <c r="B15">
        <f t="shared" si="1"/>
        <v>6.5248E-2</v>
      </c>
      <c r="D15" s="10"/>
    </row>
    <row r="16" spans="1:11" x14ac:dyDescent="0.25">
      <c r="A16" t="str">
        <f t="shared" si="0"/>
        <v>0.066</v>
      </c>
      <c r="B16">
        <f t="shared" si="1"/>
        <v>6.6248000000000001E-2</v>
      </c>
      <c r="D16" s="10"/>
    </row>
    <row r="17" spans="1:4" x14ac:dyDescent="0.25">
      <c r="A17" t="str">
        <f t="shared" si="0"/>
        <v>0.067</v>
      </c>
      <c r="B17">
        <f t="shared" si="1"/>
        <v>6.7248000000000002E-2</v>
      </c>
      <c r="D17" s="10"/>
    </row>
    <row r="18" spans="1:4" x14ac:dyDescent="0.25">
      <c r="A18" t="str">
        <f t="shared" si="0"/>
        <v>0.068</v>
      </c>
      <c r="B18">
        <f t="shared" si="1"/>
        <v>6.8248000000000003E-2</v>
      </c>
      <c r="D18" s="10"/>
    </row>
    <row r="19" spans="1:4" x14ac:dyDescent="0.25">
      <c r="A19" t="str">
        <f t="shared" si="0"/>
        <v>0.069</v>
      </c>
      <c r="B19">
        <f t="shared" si="1"/>
        <v>6.9248000000000004E-2</v>
      </c>
      <c r="D19" s="10"/>
    </row>
    <row r="20" spans="1:4" x14ac:dyDescent="0.25">
      <c r="A20" t="str">
        <f t="shared" si="0"/>
        <v>0.070</v>
      </c>
      <c r="B20">
        <f t="shared" si="1"/>
        <v>7.0248000000000005E-2</v>
      </c>
      <c r="D20" s="10"/>
    </row>
    <row r="21" spans="1:4" x14ac:dyDescent="0.25">
      <c r="A21" t="str">
        <f t="shared" si="0"/>
        <v>0.071</v>
      </c>
      <c r="B21">
        <f t="shared" si="1"/>
        <v>7.1248000000000006E-2</v>
      </c>
      <c r="D21" s="10"/>
    </row>
    <row r="22" spans="1:4" x14ac:dyDescent="0.25">
      <c r="A22" t="str">
        <f t="shared" si="0"/>
        <v>0.072</v>
      </c>
      <c r="B22">
        <f t="shared" si="1"/>
        <v>7.2248000000000007E-2</v>
      </c>
      <c r="D22" s="10"/>
    </row>
    <row r="23" spans="1:4" x14ac:dyDescent="0.25">
      <c r="A23" t="str">
        <f t="shared" si="0"/>
        <v>0.073</v>
      </c>
      <c r="B23">
        <f t="shared" si="1"/>
        <v>7.3248000000000008E-2</v>
      </c>
      <c r="D23" s="10"/>
    </row>
    <row r="24" spans="1:4" x14ac:dyDescent="0.25">
      <c r="A24" t="str">
        <f t="shared" si="0"/>
        <v>0.074</v>
      </c>
      <c r="B24">
        <f t="shared" si="1"/>
        <v>7.4248000000000008E-2</v>
      </c>
      <c r="D24" s="10"/>
    </row>
    <row r="25" spans="1:4" x14ac:dyDescent="0.25">
      <c r="A25" t="str">
        <f t="shared" si="0"/>
        <v>0.075</v>
      </c>
      <c r="B25">
        <f t="shared" si="1"/>
        <v>7.5248000000000009E-2</v>
      </c>
      <c r="D25" s="10"/>
    </row>
    <row r="26" spans="1:4" x14ac:dyDescent="0.25">
      <c r="A26" t="str">
        <f t="shared" si="0"/>
        <v>0.076</v>
      </c>
      <c r="B26">
        <f t="shared" si="1"/>
        <v>7.624800000000001E-2</v>
      </c>
      <c r="D26" s="10"/>
    </row>
    <row r="27" spans="1:4" x14ac:dyDescent="0.25">
      <c r="A27" t="str">
        <f t="shared" si="0"/>
        <v>0.077</v>
      </c>
      <c r="B27">
        <f t="shared" si="1"/>
        <v>7.7248000000000011E-2</v>
      </c>
      <c r="D27" s="10"/>
    </row>
    <row r="28" spans="1:4" x14ac:dyDescent="0.25">
      <c r="A28" t="str">
        <f t="shared" si="0"/>
        <v>0.078</v>
      </c>
      <c r="B28">
        <f t="shared" si="1"/>
        <v>7.8248000000000012E-2</v>
      </c>
      <c r="D28" s="10"/>
    </row>
    <row r="29" spans="1:4" x14ac:dyDescent="0.25">
      <c r="A29" t="str">
        <f t="shared" si="0"/>
        <v>0.079</v>
      </c>
      <c r="B29">
        <f t="shared" si="1"/>
        <v>7.9248000000000013E-2</v>
      </c>
      <c r="D29" s="10"/>
    </row>
    <row r="30" spans="1:4" x14ac:dyDescent="0.25">
      <c r="A30" t="str">
        <f t="shared" si="0"/>
        <v>0.080</v>
      </c>
      <c r="B30">
        <f t="shared" si="1"/>
        <v>8.0248000000000014E-2</v>
      </c>
      <c r="D30" s="10"/>
    </row>
    <row r="31" spans="1:4" x14ac:dyDescent="0.25">
      <c r="A31" t="str">
        <f t="shared" si="0"/>
        <v>0.081</v>
      </c>
      <c r="B31">
        <f t="shared" si="1"/>
        <v>8.1248000000000015E-2</v>
      </c>
      <c r="D31" s="10"/>
    </row>
    <row r="32" spans="1:4" x14ac:dyDescent="0.25">
      <c r="A32" t="str">
        <f t="shared" si="0"/>
        <v>0.082</v>
      </c>
      <c r="B32">
        <f t="shared" si="1"/>
        <v>8.2248000000000016E-2</v>
      </c>
      <c r="D32" s="10"/>
    </row>
    <row r="33" spans="1:4" x14ac:dyDescent="0.25">
      <c r="A33" t="str">
        <f t="shared" si="0"/>
        <v>0.083</v>
      </c>
      <c r="B33">
        <f t="shared" si="1"/>
        <v>8.3248000000000016E-2</v>
      </c>
      <c r="D33" s="10"/>
    </row>
    <row r="34" spans="1:4" x14ac:dyDescent="0.25">
      <c r="A34" t="str">
        <f t="shared" si="0"/>
        <v>0.084</v>
      </c>
      <c r="B34">
        <f t="shared" si="1"/>
        <v>8.4248000000000017E-2</v>
      </c>
      <c r="D34" s="10"/>
    </row>
    <row r="35" spans="1:4" x14ac:dyDescent="0.25">
      <c r="A35" t="str">
        <f t="shared" si="0"/>
        <v>0.085</v>
      </c>
      <c r="B35">
        <f t="shared" si="1"/>
        <v>8.5248000000000018E-2</v>
      </c>
      <c r="D35" s="10"/>
    </row>
    <row r="36" spans="1:4" x14ac:dyDescent="0.25">
      <c r="A36" t="str">
        <f t="shared" si="0"/>
        <v>0.086</v>
      </c>
      <c r="B36">
        <f t="shared" si="1"/>
        <v>8.6248000000000019E-2</v>
      </c>
      <c r="D36" s="10"/>
    </row>
    <row r="37" spans="1:4" x14ac:dyDescent="0.25">
      <c r="A37" t="str">
        <f t="shared" si="0"/>
        <v>0.087</v>
      </c>
      <c r="B37">
        <f t="shared" si="1"/>
        <v>8.724800000000002E-2</v>
      </c>
      <c r="D37" s="10"/>
    </row>
    <row r="38" spans="1:4" x14ac:dyDescent="0.25">
      <c r="A38" t="str">
        <f t="shared" si="0"/>
        <v>0.088</v>
      </c>
      <c r="B38">
        <f t="shared" si="1"/>
        <v>8.8248000000000021E-2</v>
      </c>
      <c r="D38" s="10"/>
    </row>
    <row r="39" spans="1:4" x14ac:dyDescent="0.25">
      <c r="A39" t="str">
        <f t="shared" si="0"/>
        <v>0.089</v>
      </c>
      <c r="B39">
        <f t="shared" si="1"/>
        <v>8.9248000000000022E-2</v>
      </c>
      <c r="D39" s="10"/>
    </row>
    <row r="40" spans="1:4" x14ac:dyDescent="0.25">
      <c r="A40" t="str">
        <f t="shared" si="0"/>
        <v>0.090</v>
      </c>
      <c r="B40">
        <f t="shared" si="1"/>
        <v>9.0248000000000023E-2</v>
      </c>
      <c r="D40" s="10"/>
    </row>
    <row r="41" spans="1:4" x14ac:dyDescent="0.25">
      <c r="A41" t="str">
        <f t="shared" si="0"/>
        <v>0.091</v>
      </c>
      <c r="B41">
        <f t="shared" si="1"/>
        <v>9.1248000000000024E-2</v>
      </c>
      <c r="D41" s="10"/>
    </row>
    <row r="42" spans="1:4" x14ac:dyDescent="0.25">
      <c r="A42" t="str">
        <f t="shared" si="0"/>
        <v>0.092</v>
      </c>
      <c r="B42">
        <f t="shared" si="1"/>
        <v>9.2248000000000024E-2</v>
      </c>
      <c r="D42" s="10"/>
    </row>
    <row r="43" spans="1:4" x14ac:dyDescent="0.25">
      <c r="A43" t="str">
        <f t="shared" si="0"/>
        <v>0.093</v>
      </c>
      <c r="B43">
        <f t="shared" si="1"/>
        <v>9.3248000000000025E-2</v>
      </c>
      <c r="D43" s="10"/>
    </row>
    <row r="44" spans="1:4" x14ac:dyDescent="0.25">
      <c r="A44" t="str">
        <f t="shared" si="0"/>
        <v>0.094</v>
      </c>
      <c r="B44">
        <f t="shared" si="1"/>
        <v>9.4248000000000026E-2</v>
      </c>
      <c r="D44" s="10"/>
    </row>
    <row r="45" spans="1:4" x14ac:dyDescent="0.25">
      <c r="A45" t="str">
        <f t="shared" si="0"/>
        <v>0.095</v>
      </c>
      <c r="B45">
        <f t="shared" si="1"/>
        <v>9.5248000000000027E-2</v>
      </c>
      <c r="D45" s="10"/>
    </row>
    <row r="46" spans="1:4" x14ac:dyDescent="0.25">
      <c r="A46" t="str">
        <f t="shared" si="0"/>
        <v>0.096</v>
      </c>
      <c r="B46">
        <f t="shared" si="1"/>
        <v>9.6248000000000028E-2</v>
      </c>
      <c r="D46" s="10"/>
    </row>
    <row r="47" spans="1:4" x14ac:dyDescent="0.25">
      <c r="A47" t="str">
        <f t="shared" si="0"/>
        <v>0.097</v>
      </c>
      <c r="B47">
        <f t="shared" si="1"/>
        <v>9.7248000000000029E-2</v>
      </c>
      <c r="D47" s="10"/>
    </row>
    <row r="48" spans="1:4" x14ac:dyDescent="0.25">
      <c r="A48" t="str">
        <f t="shared" si="0"/>
        <v>0.098</v>
      </c>
      <c r="B48">
        <f t="shared" si="1"/>
        <v>9.824800000000003E-2</v>
      </c>
      <c r="D48" s="10"/>
    </row>
    <row r="49" spans="1:4" x14ac:dyDescent="0.25">
      <c r="A49" t="str">
        <f t="shared" si="0"/>
        <v>0.099</v>
      </c>
      <c r="B49">
        <f t="shared" si="1"/>
        <v>9.9248000000000031E-2</v>
      </c>
      <c r="D49" s="10"/>
    </row>
    <row r="50" spans="1:4" x14ac:dyDescent="0.25">
      <c r="A50" t="str">
        <f t="shared" si="0"/>
        <v>0.100</v>
      </c>
      <c r="B50">
        <f t="shared" si="1"/>
        <v>0.10024800000000003</v>
      </c>
      <c r="D50" s="10"/>
    </row>
    <row r="51" spans="1:4" x14ac:dyDescent="0.25">
      <c r="A51" t="str">
        <f t="shared" si="0"/>
        <v>0.101</v>
      </c>
      <c r="B51">
        <f t="shared" si="1"/>
        <v>0.10124800000000003</v>
      </c>
      <c r="D51" s="10"/>
    </row>
    <row r="52" spans="1:4" x14ac:dyDescent="0.25">
      <c r="A52" t="str">
        <f t="shared" si="0"/>
        <v>0.102</v>
      </c>
      <c r="B52">
        <f t="shared" si="1"/>
        <v>0.10224800000000003</v>
      </c>
      <c r="D52" s="10"/>
    </row>
    <row r="53" spans="1:4" x14ac:dyDescent="0.25">
      <c r="A53" t="str">
        <f t="shared" si="0"/>
        <v>0.103</v>
      </c>
      <c r="B53">
        <f t="shared" si="1"/>
        <v>0.10324800000000003</v>
      </c>
      <c r="D53" s="10"/>
    </row>
    <row r="54" spans="1:4" x14ac:dyDescent="0.25">
      <c r="A54" t="str">
        <f t="shared" si="0"/>
        <v>0.104</v>
      </c>
      <c r="B54">
        <f t="shared" si="1"/>
        <v>0.10424800000000004</v>
      </c>
      <c r="D54" s="10"/>
    </row>
    <row r="55" spans="1:4" x14ac:dyDescent="0.25">
      <c r="A55" t="str">
        <f t="shared" si="0"/>
        <v>0.105</v>
      </c>
      <c r="B55">
        <f t="shared" si="1"/>
        <v>0.10524800000000004</v>
      </c>
      <c r="D55" s="10"/>
    </row>
    <row r="56" spans="1:4" x14ac:dyDescent="0.25">
      <c r="A56" t="str">
        <f t="shared" si="0"/>
        <v>0.106</v>
      </c>
      <c r="B56">
        <f t="shared" si="1"/>
        <v>0.10624800000000004</v>
      </c>
      <c r="D56" s="10"/>
    </row>
    <row r="57" spans="1:4" x14ac:dyDescent="0.25">
      <c r="A57" t="str">
        <f t="shared" si="0"/>
        <v>0.107</v>
      </c>
      <c r="B57">
        <f t="shared" si="1"/>
        <v>0.10724800000000004</v>
      </c>
      <c r="D57" s="10"/>
    </row>
    <row r="58" spans="1:4" x14ac:dyDescent="0.25">
      <c r="A58" t="str">
        <f t="shared" si="0"/>
        <v>0.108</v>
      </c>
      <c r="B58">
        <f t="shared" si="1"/>
        <v>0.10824800000000004</v>
      </c>
      <c r="D58" s="10"/>
    </row>
    <row r="59" spans="1:4" x14ac:dyDescent="0.25">
      <c r="A59" t="str">
        <f t="shared" si="0"/>
        <v>0.109</v>
      </c>
      <c r="B59">
        <f t="shared" si="1"/>
        <v>0.10924800000000004</v>
      </c>
      <c r="D59" s="10"/>
    </row>
    <row r="60" spans="1:4" x14ac:dyDescent="0.25">
      <c r="A60" t="str">
        <f t="shared" si="0"/>
        <v>0.110</v>
      </c>
      <c r="B60">
        <f t="shared" si="1"/>
        <v>0.11024800000000004</v>
      </c>
      <c r="D60" s="10"/>
    </row>
    <row r="61" spans="1:4" x14ac:dyDescent="0.25">
      <c r="A61" t="str">
        <f t="shared" si="0"/>
        <v>0.111</v>
      </c>
      <c r="B61">
        <f t="shared" si="1"/>
        <v>0.11124800000000004</v>
      </c>
      <c r="D61" s="10"/>
    </row>
    <row r="62" spans="1:4" x14ac:dyDescent="0.25">
      <c r="A62" t="str">
        <f t="shared" si="0"/>
        <v>0.112</v>
      </c>
      <c r="B62">
        <f t="shared" si="1"/>
        <v>0.11224800000000004</v>
      </c>
      <c r="D62" s="10"/>
    </row>
    <row r="63" spans="1:4" x14ac:dyDescent="0.25">
      <c r="A63" t="str">
        <f t="shared" si="0"/>
        <v>0.113</v>
      </c>
      <c r="B63">
        <f t="shared" si="1"/>
        <v>0.11324800000000004</v>
      </c>
      <c r="D63" s="10"/>
    </row>
    <row r="64" spans="1:4" x14ac:dyDescent="0.25">
      <c r="A64" t="str">
        <f t="shared" si="0"/>
        <v>0.114</v>
      </c>
      <c r="B64">
        <f t="shared" si="1"/>
        <v>0.11424800000000004</v>
      </c>
      <c r="D64" s="10"/>
    </row>
    <row r="65" spans="1:4" x14ac:dyDescent="0.25">
      <c r="A65" t="str">
        <f t="shared" si="0"/>
        <v>0.115</v>
      </c>
      <c r="B65">
        <f t="shared" si="1"/>
        <v>0.11524800000000004</v>
      </c>
      <c r="D65" s="10"/>
    </row>
    <row r="66" spans="1:4" x14ac:dyDescent="0.25">
      <c r="A66" t="str">
        <f t="shared" si="0"/>
        <v>0.116</v>
      </c>
      <c r="B66">
        <f t="shared" si="1"/>
        <v>0.11624800000000005</v>
      </c>
      <c r="D66" s="10"/>
    </row>
    <row r="67" spans="1:4" x14ac:dyDescent="0.25">
      <c r="A67" t="str">
        <f t="shared" si="0"/>
        <v>0.117</v>
      </c>
      <c r="B67">
        <f t="shared" si="1"/>
        <v>0.11724800000000005</v>
      </c>
      <c r="D67" s="10"/>
    </row>
    <row r="68" spans="1:4" x14ac:dyDescent="0.25">
      <c r="A68" t="str">
        <f t="shared" si="0"/>
        <v>0.118</v>
      </c>
      <c r="B68">
        <f t="shared" si="1"/>
        <v>0.11824800000000005</v>
      </c>
      <c r="D68" s="10"/>
    </row>
    <row r="69" spans="1:4" x14ac:dyDescent="0.25">
      <c r="A69" t="str">
        <f t="shared" ref="A69:A104" si="2">TEXT(B69,"0.000")</f>
        <v>0.119</v>
      </c>
      <c r="B69">
        <f t="shared" si="1"/>
        <v>0.11924800000000005</v>
      </c>
      <c r="D69" s="10"/>
    </row>
    <row r="70" spans="1:4" x14ac:dyDescent="0.25">
      <c r="A70" t="str">
        <f t="shared" si="2"/>
        <v>0.120</v>
      </c>
      <c r="B70">
        <f t="shared" ref="B70:B104" si="3">B69+0.001</f>
        <v>0.12024800000000005</v>
      </c>
      <c r="D70" s="10"/>
    </row>
    <row r="71" spans="1:4" x14ac:dyDescent="0.25">
      <c r="A71" t="str">
        <f t="shared" si="2"/>
        <v>0.121</v>
      </c>
      <c r="B71">
        <f t="shared" si="3"/>
        <v>0.12124800000000005</v>
      </c>
      <c r="D71" s="10"/>
    </row>
    <row r="72" spans="1:4" x14ac:dyDescent="0.25">
      <c r="A72" t="str">
        <f t="shared" si="2"/>
        <v>0.122</v>
      </c>
      <c r="B72">
        <f t="shared" si="3"/>
        <v>0.12224800000000005</v>
      </c>
      <c r="D72" s="10"/>
    </row>
    <row r="73" spans="1:4" x14ac:dyDescent="0.25">
      <c r="A73" t="str">
        <f t="shared" si="2"/>
        <v>0.123</v>
      </c>
      <c r="B73">
        <f t="shared" si="3"/>
        <v>0.12324800000000005</v>
      </c>
      <c r="D73" s="10"/>
    </row>
    <row r="74" spans="1:4" x14ac:dyDescent="0.25">
      <c r="A74" t="str">
        <f t="shared" si="2"/>
        <v>0.124</v>
      </c>
      <c r="B74">
        <f t="shared" si="3"/>
        <v>0.12424800000000005</v>
      </c>
      <c r="D74" s="10"/>
    </row>
    <row r="75" spans="1:4" x14ac:dyDescent="0.25">
      <c r="A75" t="str">
        <f t="shared" si="2"/>
        <v>0.125</v>
      </c>
      <c r="B75">
        <f t="shared" si="3"/>
        <v>0.12524800000000005</v>
      </c>
      <c r="D75" s="10"/>
    </row>
    <row r="76" spans="1:4" x14ac:dyDescent="0.25">
      <c r="A76" t="str">
        <f t="shared" si="2"/>
        <v>0.126</v>
      </c>
      <c r="B76">
        <f t="shared" si="3"/>
        <v>0.12624800000000005</v>
      </c>
      <c r="D76" s="10"/>
    </row>
    <row r="77" spans="1:4" x14ac:dyDescent="0.25">
      <c r="A77" t="str">
        <f t="shared" si="2"/>
        <v>0.127</v>
      </c>
      <c r="B77">
        <f t="shared" si="3"/>
        <v>0.12724800000000006</v>
      </c>
      <c r="D77" s="10"/>
    </row>
    <row r="78" spans="1:4" x14ac:dyDescent="0.25">
      <c r="A78" t="str">
        <f t="shared" si="2"/>
        <v>0.128</v>
      </c>
      <c r="B78">
        <f t="shared" si="3"/>
        <v>0.12824800000000006</v>
      </c>
      <c r="D78" s="10"/>
    </row>
    <row r="79" spans="1:4" x14ac:dyDescent="0.25">
      <c r="A79" t="str">
        <f t="shared" si="2"/>
        <v>0.129</v>
      </c>
      <c r="B79">
        <f t="shared" si="3"/>
        <v>0.12924800000000006</v>
      </c>
      <c r="D79" s="10"/>
    </row>
    <row r="80" spans="1:4" x14ac:dyDescent="0.25">
      <c r="A80" t="str">
        <f t="shared" si="2"/>
        <v>0.130</v>
      </c>
      <c r="B80">
        <f t="shared" si="3"/>
        <v>0.13024800000000006</v>
      </c>
      <c r="D80" s="10"/>
    </row>
    <row r="81" spans="1:4" x14ac:dyDescent="0.25">
      <c r="A81" t="str">
        <f t="shared" si="2"/>
        <v>0.131</v>
      </c>
      <c r="B81">
        <f t="shared" si="3"/>
        <v>0.13124800000000006</v>
      </c>
      <c r="D81" s="10"/>
    </row>
    <row r="82" spans="1:4" x14ac:dyDescent="0.25">
      <c r="A82" t="str">
        <f t="shared" si="2"/>
        <v>0.132</v>
      </c>
      <c r="B82">
        <f t="shared" si="3"/>
        <v>0.13224800000000006</v>
      </c>
      <c r="D82" s="10"/>
    </row>
    <row r="83" spans="1:4" x14ac:dyDescent="0.25">
      <c r="A83" t="str">
        <f t="shared" si="2"/>
        <v>0.133</v>
      </c>
      <c r="B83">
        <f t="shared" si="3"/>
        <v>0.13324800000000006</v>
      </c>
      <c r="D83" s="10"/>
    </row>
    <row r="84" spans="1:4" x14ac:dyDescent="0.25">
      <c r="A84" t="str">
        <f t="shared" si="2"/>
        <v>0.134</v>
      </c>
      <c r="B84">
        <f t="shared" si="3"/>
        <v>0.13424800000000006</v>
      </c>
      <c r="D84" s="10"/>
    </row>
    <row r="85" spans="1:4" x14ac:dyDescent="0.25">
      <c r="A85" t="str">
        <f t="shared" si="2"/>
        <v>0.135</v>
      </c>
      <c r="B85">
        <f t="shared" si="3"/>
        <v>0.13524800000000006</v>
      </c>
      <c r="D85" s="10"/>
    </row>
    <row r="86" spans="1:4" x14ac:dyDescent="0.25">
      <c r="A86" t="str">
        <f t="shared" si="2"/>
        <v>0.136</v>
      </c>
      <c r="B86">
        <f t="shared" si="3"/>
        <v>0.13624800000000006</v>
      </c>
      <c r="D86" s="10"/>
    </row>
    <row r="87" spans="1:4" x14ac:dyDescent="0.25">
      <c r="A87" t="str">
        <f t="shared" si="2"/>
        <v>0.137</v>
      </c>
      <c r="B87">
        <f t="shared" si="3"/>
        <v>0.13724800000000006</v>
      </c>
      <c r="D87" s="10"/>
    </row>
    <row r="88" spans="1:4" x14ac:dyDescent="0.25">
      <c r="A88" t="str">
        <f t="shared" si="2"/>
        <v>0.138</v>
      </c>
      <c r="B88">
        <f t="shared" si="3"/>
        <v>0.13824800000000007</v>
      </c>
      <c r="D88" s="10"/>
    </row>
    <row r="89" spans="1:4" x14ac:dyDescent="0.25">
      <c r="A89" t="str">
        <f t="shared" si="2"/>
        <v>0.139</v>
      </c>
      <c r="B89">
        <f t="shared" si="3"/>
        <v>0.13924800000000007</v>
      </c>
      <c r="D89" s="10"/>
    </row>
    <row r="90" spans="1:4" x14ac:dyDescent="0.25">
      <c r="A90" t="str">
        <f t="shared" si="2"/>
        <v>0.140</v>
      </c>
      <c r="B90">
        <f t="shared" si="3"/>
        <v>0.14024800000000007</v>
      </c>
      <c r="D90" s="10"/>
    </row>
    <row r="91" spans="1:4" x14ac:dyDescent="0.25">
      <c r="A91" t="str">
        <f t="shared" si="2"/>
        <v>0.141</v>
      </c>
      <c r="B91">
        <f t="shared" si="3"/>
        <v>0.14124800000000007</v>
      </c>
      <c r="D91" s="10"/>
    </row>
    <row r="92" spans="1:4" x14ac:dyDescent="0.25">
      <c r="A92" t="str">
        <f t="shared" si="2"/>
        <v>0.142</v>
      </c>
      <c r="B92">
        <f t="shared" si="3"/>
        <v>0.14224800000000007</v>
      </c>
      <c r="D92" s="10"/>
    </row>
    <row r="93" spans="1:4" x14ac:dyDescent="0.25">
      <c r="A93" t="str">
        <f t="shared" si="2"/>
        <v>0.143</v>
      </c>
      <c r="B93">
        <f t="shared" si="3"/>
        <v>0.14324800000000007</v>
      </c>
      <c r="D93" s="10"/>
    </row>
    <row r="94" spans="1:4" x14ac:dyDescent="0.25">
      <c r="A94" t="str">
        <f t="shared" si="2"/>
        <v>0.144</v>
      </c>
      <c r="B94">
        <f t="shared" si="3"/>
        <v>0.14424800000000007</v>
      </c>
      <c r="D94" s="10"/>
    </row>
    <row r="95" spans="1:4" x14ac:dyDescent="0.25">
      <c r="A95" t="str">
        <f t="shared" si="2"/>
        <v>0.145</v>
      </c>
      <c r="B95">
        <f t="shared" si="3"/>
        <v>0.14524800000000007</v>
      </c>
      <c r="D95" s="10"/>
    </row>
    <row r="96" spans="1:4" x14ac:dyDescent="0.25">
      <c r="A96" t="str">
        <f t="shared" si="2"/>
        <v>0.146</v>
      </c>
      <c r="B96">
        <f t="shared" si="3"/>
        <v>0.14624800000000007</v>
      </c>
      <c r="D96" s="10"/>
    </row>
    <row r="97" spans="1:4" x14ac:dyDescent="0.25">
      <c r="A97" t="str">
        <f t="shared" si="2"/>
        <v>0.147</v>
      </c>
      <c r="B97">
        <f t="shared" si="3"/>
        <v>0.14724800000000007</v>
      </c>
      <c r="D97" s="10"/>
    </row>
    <row r="98" spans="1:4" x14ac:dyDescent="0.25">
      <c r="A98" t="str">
        <f t="shared" si="2"/>
        <v>0.148</v>
      </c>
      <c r="B98">
        <f t="shared" si="3"/>
        <v>0.14824800000000007</v>
      </c>
      <c r="D98" s="10"/>
    </row>
    <row r="99" spans="1:4" x14ac:dyDescent="0.25">
      <c r="A99" t="str">
        <f t="shared" si="2"/>
        <v>0.149</v>
      </c>
      <c r="B99">
        <f t="shared" si="3"/>
        <v>0.14924800000000008</v>
      </c>
      <c r="D99" s="10"/>
    </row>
    <row r="100" spans="1:4" x14ac:dyDescent="0.25">
      <c r="A100" t="str">
        <f t="shared" si="2"/>
        <v>0.150</v>
      </c>
      <c r="B100">
        <f t="shared" si="3"/>
        <v>0.15024800000000008</v>
      </c>
      <c r="D100" s="10"/>
    </row>
    <row r="101" spans="1:4" x14ac:dyDescent="0.25">
      <c r="A101" t="str">
        <f t="shared" si="2"/>
        <v>0.151</v>
      </c>
      <c r="B101">
        <f t="shared" si="3"/>
        <v>0.15124800000000008</v>
      </c>
      <c r="D101" s="10"/>
    </row>
    <row r="102" spans="1:4" x14ac:dyDescent="0.25">
      <c r="A102" t="str">
        <f t="shared" si="2"/>
        <v>0.152</v>
      </c>
      <c r="B102">
        <f t="shared" si="3"/>
        <v>0.15224800000000008</v>
      </c>
      <c r="D102" s="10"/>
    </row>
    <row r="103" spans="1:4" x14ac:dyDescent="0.25">
      <c r="A103" t="str">
        <f t="shared" si="2"/>
        <v>0.153</v>
      </c>
      <c r="B103">
        <f t="shared" si="3"/>
        <v>0.15324800000000008</v>
      </c>
      <c r="D103" s="10"/>
    </row>
    <row r="104" spans="1:4" x14ac:dyDescent="0.25">
      <c r="A104" t="str">
        <f t="shared" si="2"/>
        <v>0.154</v>
      </c>
      <c r="B104">
        <f t="shared" si="3"/>
        <v>0.15424800000000008</v>
      </c>
      <c r="D104" s="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Sheet15.heston_change_theta3">
                <anchor moveWithCells="1" sizeWithCells="1">
                  <from>
                    <xdr:col>4</xdr:col>
                    <xdr:colOff>333375</xdr:colOff>
                    <xdr:row>3</xdr:row>
                    <xdr:rowOff>47625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K104"/>
  <sheetViews>
    <sheetView workbookViewId="0">
      <selection activeCell="C1" sqref="C1"/>
    </sheetView>
  </sheetViews>
  <sheetFormatPr defaultRowHeight="15" x14ac:dyDescent="0.25"/>
  <cols>
    <col min="2" max="2" width="14.42578125" bestFit="1" customWidth="1"/>
    <col min="3" max="3" width="15.140625" bestFit="1" customWidth="1"/>
    <col min="4" max="4" width="12" bestFit="1" customWidth="1"/>
  </cols>
  <sheetData>
    <row r="1" spans="1:11" x14ac:dyDescent="0.25">
      <c r="B1" t="s">
        <v>88</v>
      </c>
      <c r="C1">
        <f>'Parameter Page'!B14</f>
        <v>0.36347699999999999</v>
      </c>
      <c r="E1">
        <f>C1-0.05</f>
        <v>0.31347700000000001</v>
      </c>
      <c r="F1">
        <f>C1+0.05</f>
        <v>0.41347699999999998</v>
      </c>
    </row>
    <row r="2" spans="1:11" x14ac:dyDescent="0.25">
      <c r="C2" t="s">
        <v>54</v>
      </c>
      <c r="D2">
        <f>COUNT(B4:B104)</f>
        <v>101</v>
      </c>
      <c r="J2" t="s">
        <v>55</v>
      </c>
    </row>
    <row r="3" spans="1:11" x14ac:dyDescent="0.25">
      <c r="B3" t="s">
        <v>89</v>
      </c>
      <c r="C3" t="s">
        <v>57</v>
      </c>
      <c r="I3" t="str">
        <f>B3</f>
        <v>kappa 1</v>
      </c>
      <c r="J3" t="s">
        <v>57</v>
      </c>
      <c r="K3" t="s">
        <v>59</v>
      </c>
    </row>
    <row r="4" spans="1:11" x14ac:dyDescent="0.25">
      <c r="A4" t="str">
        <f>TEXT(B4,"0.000")</f>
        <v>0.313</v>
      </c>
      <c r="B4">
        <f>E1</f>
        <v>0.31347700000000001</v>
      </c>
      <c r="I4" s="13">
        <f>C1-0.01</f>
        <v>0.35347699999999999</v>
      </c>
      <c r="J4">
        <v>847.08359712765764</v>
      </c>
      <c r="K4" t="s">
        <v>60</v>
      </c>
    </row>
    <row r="5" spans="1:11" x14ac:dyDescent="0.25">
      <c r="A5" t="str">
        <f t="shared" ref="A5:A68" si="0">TEXT(B5,"0.000")</f>
        <v>0.314</v>
      </c>
      <c r="B5">
        <f>B4+0.001</f>
        <v>0.31447700000000001</v>
      </c>
      <c r="D5" s="10"/>
      <c r="I5" s="13">
        <f>C1</f>
        <v>0.36347699999999999</v>
      </c>
      <c r="J5">
        <v>846.2799726454092</v>
      </c>
      <c r="K5" s="11">
        <f>(J5-J4)/J4</f>
        <v>-9.4869560096951032E-4</v>
      </c>
    </row>
    <row r="6" spans="1:11" x14ac:dyDescent="0.25">
      <c r="A6" t="str">
        <f t="shared" si="0"/>
        <v>0.315</v>
      </c>
      <c r="B6">
        <f t="shared" ref="B6:B69" si="1">B5+0.001</f>
        <v>0.31547700000000001</v>
      </c>
      <c r="D6" s="10"/>
      <c r="I6" s="13">
        <f>C1+0.01</f>
        <v>0.373477</v>
      </c>
      <c r="J6">
        <v>845.24843001741669</v>
      </c>
      <c r="K6" s="11">
        <f>(J6-J5)/J5</f>
        <v>-1.2189141434695435E-3</v>
      </c>
    </row>
    <row r="7" spans="1:11" x14ac:dyDescent="0.25">
      <c r="A7" t="str">
        <f t="shared" si="0"/>
        <v>0.316</v>
      </c>
      <c r="B7">
        <f t="shared" si="1"/>
        <v>0.31647700000000001</v>
      </c>
      <c r="D7" s="10"/>
    </row>
    <row r="8" spans="1:11" x14ac:dyDescent="0.25">
      <c r="A8" t="str">
        <f t="shared" si="0"/>
        <v>0.317</v>
      </c>
      <c r="B8">
        <f t="shared" si="1"/>
        <v>0.31747700000000001</v>
      </c>
      <c r="D8" s="10"/>
    </row>
    <row r="9" spans="1:11" x14ac:dyDescent="0.25">
      <c r="A9" t="str">
        <f t="shared" si="0"/>
        <v>0.318</v>
      </c>
      <c r="B9">
        <f t="shared" si="1"/>
        <v>0.31847700000000001</v>
      </c>
      <c r="D9" s="10"/>
    </row>
    <row r="10" spans="1:11" x14ac:dyDescent="0.25">
      <c r="A10" t="str">
        <f t="shared" si="0"/>
        <v>0.319</v>
      </c>
      <c r="B10">
        <f t="shared" si="1"/>
        <v>0.31947700000000001</v>
      </c>
      <c r="D10" s="10"/>
    </row>
    <row r="11" spans="1:11" x14ac:dyDescent="0.25">
      <c r="A11" t="str">
        <f t="shared" si="0"/>
        <v>0.320</v>
      </c>
      <c r="B11">
        <f t="shared" si="1"/>
        <v>0.32047700000000001</v>
      </c>
      <c r="D11" s="10"/>
    </row>
    <row r="12" spans="1:11" x14ac:dyDescent="0.25">
      <c r="A12" t="str">
        <f t="shared" si="0"/>
        <v>0.321</v>
      </c>
      <c r="B12">
        <f t="shared" si="1"/>
        <v>0.32147700000000001</v>
      </c>
      <c r="D12" s="10"/>
    </row>
    <row r="13" spans="1:11" x14ac:dyDescent="0.25">
      <c r="A13" t="str">
        <f t="shared" si="0"/>
        <v>0.322</v>
      </c>
      <c r="B13">
        <f t="shared" si="1"/>
        <v>0.32247700000000001</v>
      </c>
      <c r="D13" s="10"/>
    </row>
    <row r="14" spans="1:11" x14ac:dyDescent="0.25">
      <c r="A14" t="str">
        <f t="shared" si="0"/>
        <v>0.323</v>
      </c>
      <c r="B14">
        <f t="shared" si="1"/>
        <v>0.32347700000000001</v>
      </c>
      <c r="D14" s="10"/>
    </row>
    <row r="15" spans="1:11" x14ac:dyDescent="0.25">
      <c r="A15" t="str">
        <f t="shared" si="0"/>
        <v>0.324</v>
      </c>
      <c r="B15">
        <f t="shared" si="1"/>
        <v>0.32447700000000002</v>
      </c>
      <c r="D15" s="10"/>
    </row>
    <row r="16" spans="1:11" x14ac:dyDescent="0.25">
      <c r="A16" t="str">
        <f t="shared" si="0"/>
        <v>0.325</v>
      </c>
      <c r="B16">
        <f t="shared" si="1"/>
        <v>0.32547700000000002</v>
      </c>
      <c r="D16" s="10"/>
    </row>
    <row r="17" spans="1:4" x14ac:dyDescent="0.25">
      <c r="A17" t="str">
        <f t="shared" si="0"/>
        <v>0.326</v>
      </c>
      <c r="B17">
        <f t="shared" si="1"/>
        <v>0.32647700000000002</v>
      </c>
      <c r="D17" s="10"/>
    </row>
    <row r="18" spans="1:4" x14ac:dyDescent="0.25">
      <c r="A18" t="str">
        <f t="shared" si="0"/>
        <v>0.327</v>
      </c>
      <c r="B18">
        <f t="shared" si="1"/>
        <v>0.32747700000000002</v>
      </c>
      <c r="D18" s="10"/>
    </row>
    <row r="19" spans="1:4" x14ac:dyDescent="0.25">
      <c r="A19" t="str">
        <f t="shared" si="0"/>
        <v>0.328</v>
      </c>
      <c r="B19">
        <f t="shared" si="1"/>
        <v>0.32847700000000002</v>
      </c>
      <c r="D19" s="10"/>
    </row>
    <row r="20" spans="1:4" x14ac:dyDescent="0.25">
      <c r="A20" t="str">
        <f t="shared" si="0"/>
        <v>0.329</v>
      </c>
      <c r="B20">
        <f t="shared" si="1"/>
        <v>0.32947700000000002</v>
      </c>
      <c r="D20" s="10"/>
    </row>
    <row r="21" spans="1:4" x14ac:dyDescent="0.25">
      <c r="A21" t="str">
        <f t="shared" si="0"/>
        <v>0.330</v>
      </c>
      <c r="B21">
        <f t="shared" si="1"/>
        <v>0.33047700000000002</v>
      </c>
      <c r="D21" s="10"/>
    </row>
    <row r="22" spans="1:4" x14ac:dyDescent="0.25">
      <c r="A22" t="str">
        <f t="shared" si="0"/>
        <v>0.331</v>
      </c>
      <c r="B22">
        <f t="shared" si="1"/>
        <v>0.33147700000000002</v>
      </c>
      <c r="D22" s="10"/>
    </row>
    <row r="23" spans="1:4" x14ac:dyDescent="0.25">
      <c r="A23" t="str">
        <f t="shared" si="0"/>
        <v>0.332</v>
      </c>
      <c r="B23">
        <f t="shared" si="1"/>
        <v>0.33247700000000002</v>
      </c>
      <c r="D23" s="10"/>
    </row>
    <row r="24" spans="1:4" x14ac:dyDescent="0.25">
      <c r="A24" t="str">
        <f t="shared" si="0"/>
        <v>0.333</v>
      </c>
      <c r="B24">
        <f t="shared" si="1"/>
        <v>0.33347700000000002</v>
      </c>
      <c r="D24" s="10"/>
    </row>
    <row r="25" spans="1:4" x14ac:dyDescent="0.25">
      <c r="A25" t="str">
        <f t="shared" si="0"/>
        <v>0.334</v>
      </c>
      <c r="B25">
        <f t="shared" si="1"/>
        <v>0.33447700000000002</v>
      </c>
      <c r="D25" s="10"/>
    </row>
    <row r="26" spans="1:4" x14ac:dyDescent="0.25">
      <c r="A26" t="str">
        <f t="shared" si="0"/>
        <v>0.335</v>
      </c>
      <c r="B26">
        <f t="shared" si="1"/>
        <v>0.33547700000000003</v>
      </c>
      <c r="D26" s="10"/>
    </row>
    <row r="27" spans="1:4" x14ac:dyDescent="0.25">
      <c r="A27" t="str">
        <f t="shared" si="0"/>
        <v>0.336</v>
      </c>
      <c r="B27">
        <f t="shared" si="1"/>
        <v>0.33647700000000003</v>
      </c>
      <c r="D27" s="10"/>
    </row>
    <row r="28" spans="1:4" x14ac:dyDescent="0.25">
      <c r="A28" t="str">
        <f t="shared" si="0"/>
        <v>0.337</v>
      </c>
      <c r="B28">
        <f t="shared" si="1"/>
        <v>0.33747700000000003</v>
      </c>
      <c r="D28" s="10"/>
    </row>
    <row r="29" spans="1:4" x14ac:dyDescent="0.25">
      <c r="A29" t="str">
        <f t="shared" si="0"/>
        <v>0.338</v>
      </c>
      <c r="B29">
        <f t="shared" si="1"/>
        <v>0.33847700000000003</v>
      </c>
      <c r="D29" s="10"/>
    </row>
    <row r="30" spans="1:4" x14ac:dyDescent="0.25">
      <c r="A30" t="str">
        <f t="shared" si="0"/>
        <v>0.339</v>
      </c>
      <c r="B30">
        <f t="shared" si="1"/>
        <v>0.33947700000000003</v>
      </c>
      <c r="D30" s="10"/>
    </row>
    <row r="31" spans="1:4" x14ac:dyDescent="0.25">
      <c r="A31" t="str">
        <f t="shared" si="0"/>
        <v>0.340</v>
      </c>
      <c r="B31">
        <f t="shared" si="1"/>
        <v>0.34047700000000003</v>
      </c>
      <c r="D31" s="10"/>
    </row>
    <row r="32" spans="1:4" x14ac:dyDescent="0.25">
      <c r="A32" t="str">
        <f t="shared" si="0"/>
        <v>0.341</v>
      </c>
      <c r="B32">
        <f t="shared" si="1"/>
        <v>0.34147700000000003</v>
      </c>
      <c r="D32" s="10"/>
    </row>
    <row r="33" spans="1:4" x14ac:dyDescent="0.25">
      <c r="A33" t="str">
        <f t="shared" si="0"/>
        <v>0.342</v>
      </c>
      <c r="B33">
        <f t="shared" si="1"/>
        <v>0.34247700000000003</v>
      </c>
      <c r="D33" s="10"/>
    </row>
    <row r="34" spans="1:4" x14ac:dyDescent="0.25">
      <c r="A34" t="str">
        <f t="shared" si="0"/>
        <v>0.343</v>
      </c>
      <c r="B34">
        <f t="shared" si="1"/>
        <v>0.34347700000000003</v>
      </c>
      <c r="D34" s="10"/>
    </row>
    <row r="35" spans="1:4" x14ac:dyDescent="0.25">
      <c r="A35" t="str">
        <f t="shared" si="0"/>
        <v>0.344</v>
      </c>
      <c r="B35">
        <f t="shared" si="1"/>
        <v>0.34447700000000003</v>
      </c>
      <c r="D35" s="10"/>
    </row>
    <row r="36" spans="1:4" x14ac:dyDescent="0.25">
      <c r="A36" t="str">
        <f t="shared" si="0"/>
        <v>0.345</v>
      </c>
      <c r="B36">
        <f t="shared" si="1"/>
        <v>0.34547700000000003</v>
      </c>
      <c r="D36" s="10"/>
    </row>
    <row r="37" spans="1:4" x14ac:dyDescent="0.25">
      <c r="A37" t="str">
        <f t="shared" si="0"/>
        <v>0.346</v>
      </c>
      <c r="B37">
        <f t="shared" si="1"/>
        <v>0.34647700000000003</v>
      </c>
      <c r="D37" s="10"/>
    </row>
    <row r="38" spans="1:4" x14ac:dyDescent="0.25">
      <c r="A38" t="str">
        <f t="shared" si="0"/>
        <v>0.347</v>
      </c>
      <c r="B38">
        <f t="shared" si="1"/>
        <v>0.34747700000000004</v>
      </c>
      <c r="D38" s="10"/>
    </row>
    <row r="39" spans="1:4" x14ac:dyDescent="0.25">
      <c r="A39" t="str">
        <f t="shared" si="0"/>
        <v>0.348</v>
      </c>
      <c r="B39">
        <f t="shared" si="1"/>
        <v>0.34847700000000004</v>
      </c>
      <c r="D39" s="10"/>
    </row>
    <row r="40" spans="1:4" x14ac:dyDescent="0.25">
      <c r="A40" t="str">
        <f t="shared" si="0"/>
        <v>0.349</v>
      </c>
      <c r="B40">
        <f t="shared" si="1"/>
        <v>0.34947700000000004</v>
      </c>
      <c r="D40" s="10"/>
    </row>
    <row r="41" spans="1:4" x14ac:dyDescent="0.25">
      <c r="A41" t="str">
        <f t="shared" si="0"/>
        <v>0.350</v>
      </c>
      <c r="B41">
        <f t="shared" si="1"/>
        <v>0.35047700000000004</v>
      </c>
      <c r="D41" s="10"/>
    </row>
    <row r="42" spans="1:4" x14ac:dyDescent="0.25">
      <c r="A42" t="str">
        <f t="shared" si="0"/>
        <v>0.351</v>
      </c>
      <c r="B42">
        <f t="shared" si="1"/>
        <v>0.35147700000000004</v>
      </c>
      <c r="D42" s="10"/>
    </row>
    <row r="43" spans="1:4" x14ac:dyDescent="0.25">
      <c r="A43" t="str">
        <f t="shared" si="0"/>
        <v>0.352</v>
      </c>
      <c r="B43">
        <f t="shared" si="1"/>
        <v>0.35247700000000004</v>
      </c>
      <c r="D43" s="10"/>
    </row>
    <row r="44" spans="1:4" x14ac:dyDescent="0.25">
      <c r="A44" t="str">
        <f t="shared" si="0"/>
        <v>0.353</v>
      </c>
      <c r="B44">
        <f t="shared" si="1"/>
        <v>0.35347700000000004</v>
      </c>
      <c r="D44" s="10"/>
    </row>
    <row r="45" spans="1:4" x14ac:dyDescent="0.25">
      <c r="A45" t="str">
        <f t="shared" si="0"/>
        <v>0.354</v>
      </c>
      <c r="B45">
        <f t="shared" si="1"/>
        <v>0.35447700000000004</v>
      </c>
      <c r="D45" s="10"/>
    </row>
    <row r="46" spans="1:4" x14ac:dyDescent="0.25">
      <c r="A46" t="str">
        <f t="shared" si="0"/>
        <v>0.355</v>
      </c>
      <c r="B46">
        <f t="shared" si="1"/>
        <v>0.35547700000000004</v>
      </c>
      <c r="D46" s="10"/>
    </row>
    <row r="47" spans="1:4" x14ac:dyDescent="0.25">
      <c r="A47" t="str">
        <f t="shared" si="0"/>
        <v>0.356</v>
      </c>
      <c r="B47">
        <f t="shared" si="1"/>
        <v>0.35647700000000004</v>
      </c>
      <c r="D47" s="10"/>
    </row>
    <row r="48" spans="1:4" x14ac:dyDescent="0.25">
      <c r="A48" t="str">
        <f t="shared" si="0"/>
        <v>0.357</v>
      </c>
      <c r="B48">
        <f t="shared" si="1"/>
        <v>0.35747700000000004</v>
      </c>
      <c r="D48" s="10"/>
    </row>
    <row r="49" spans="1:4" x14ac:dyDescent="0.25">
      <c r="A49" t="str">
        <f t="shared" si="0"/>
        <v>0.358</v>
      </c>
      <c r="B49">
        <f t="shared" si="1"/>
        <v>0.35847700000000005</v>
      </c>
      <c r="D49" s="10"/>
    </row>
    <row r="50" spans="1:4" x14ac:dyDescent="0.25">
      <c r="A50" t="str">
        <f t="shared" si="0"/>
        <v>0.359</v>
      </c>
      <c r="B50">
        <f t="shared" si="1"/>
        <v>0.35947700000000005</v>
      </c>
      <c r="D50" s="10"/>
    </row>
    <row r="51" spans="1:4" x14ac:dyDescent="0.25">
      <c r="A51" t="str">
        <f t="shared" si="0"/>
        <v>0.360</v>
      </c>
      <c r="B51">
        <f t="shared" si="1"/>
        <v>0.36047700000000005</v>
      </c>
      <c r="D51" s="10"/>
    </row>
    <row r="52" spans="1:4" x14ac:dyDescent="0.25">
      <c r="A52" t="str">
        <f t="shared" si="0"/>
        <v>0.361</v>
      </c>
      <c r="B52">
        <f t="shared" si="1"/>
        <v>0.36147700000000005</v>
      </c>
      <c r="D52" s="10"/>
    </row>
    <row r="53" spans="1:4" x14ac:dyDescent="0.25">
      <c r="A53" t="str">
        <f t="shared" si="0"/>
        <v>0.362</v>
      </c>
      <c r="B53">
        <f t="shared" si="1"/>
        <v>0.36247700000000005</v>
      </c>
      <c r="D53" s="10"/>
    </row>
    <row r="54" spans="1:4" x14ac:dyDescent="0.25">
      <c r="A54" t="str">
        <f t="shared" si="0"/>
        <v>0.363</v>
      </c>
      <c r="B54">
        <f t="shared" si="1"/>
        <v>0.36347700000000005</v>
      </c>
      <c r="D54" s="10"/>
    </row>
    <row r="55" spans="1:4" x14ac:dyDescent="0.25">
      <c r="A55" t="str">
        <f t="shared" si="0"/>
        <v>0.364</v>
      </c>
      <c r="B55">
        <f t="shared" si="1"/>
        <v>0.36447700000000005</v>
      </c>
      <c r="D55" s="10"/>
    </row>
    <row r="56" spans="1:4" x14ac:dyDescent="0.25">
      <c r="A56" t="str">
        <f t="shared" si="0"/>
        <v>0.365</v>
      </c>
      <c r="B56">
        <f t="shared" si="1"/>
        <v>0.36547700000000005</v>
      </c>
      <c r="D56" s="10"/>
    </row>
    <row r="57" spans="1:4" x14ac:dyDescent="0.25">
      <c r="A57" t="str">
        <f t="shared" si="0"/>
        <v>0.366</v>
      </c>
      <c r="B57">
        <f t="shared" si="1"/>
        <v>0.36647700000000005</v>
      </c>
      <c r="D57" s="10"/>
    </row>
    <row r="58" spans="1:4" x14ac:dyDescent="0.25">
      <c r="A58" t="str">
        <f t="shared" si="0"/>
        <v>0.367</v>
      </c>
      <c r="B58">
        <f t="shared" si="1"/>
        <v>0.36747700000000005</v>
      </c>
      <c r="D58" s="10"/>
    </row>
    <row r="59" spans="1:4" x14ac:dyDescent="0.25">
      <c r="A59" t="str">
        <f t="shared" si="0"/>
        <v>0.368</v>
      </c>
      <c r="B59">
        <f t="shared" si="1"/>
        <v>0.36847700000000005</v>
      </c>
      <c r="D59" s="10"/>
    </row>
    <row r="60" spans="1:4" x14ac:dyDescent="0.25">
      <c r="A60" t="str">
        <f t="shared" si="0"/>
        <v>0.369</v>
      </c>
      <c r="B60">
        <f t="shared" si="1"/>
        <v>0.36947700000000006</v>
      </c>
      <c r="D60" s="10"/>
    </row>
    <row r="61" spans="1:4" x14ac:dyDescent="0.25">
      <c r="A61" t="str">
        <f t="shared" si="0"/>
        <v>0.370</v>
      </c>
      <c r="B61">
        <f t="shared" si="1"/>
        <v>0.37047700000000006</v>
      </c>
      <c r="D61" s="10"/>
    </row>
    <row r="62" spans="1:4" x14ac:dyDescent="0.25">
      <c r="A62" t="str">
        <f t="shared" si="0"/>
        <v>0.371</v>
      </c>
      <c r="B62">
        <f t="shared" si="1"/>
        <v>0.37147700000000006</v>
      </c>
      <c r="D62" s="10"/>
    </row>
    <row r="63" spans="1:4" x14ac:dyDescent="0.25">
      <c r="A63" t="str">
        <f t="shared" si="0"/>
        <v>0.372</v>
      </c>
      <c r="B63">
        <f t="shared" si="1"/>
        <v>0.37247700000000006</v>
      </c>
      <c r="D63" s="10"/>
    </row>
    <row r="64" spans="1:4" x14ac:dyDescent="0.25">
      <c r="A64" t="str">
        <f t="shared" si="0"/>
        <v>0.373</v>
      </c>
      <c r="B64">
        <f t="shared" si="1"/>
        <v>0.37347700000000006</v>
      </c>
      <c r="D64" s="10"/>
    </row>
    <row r="65" spans="1:4" x14ac:dyDescent="0.25">
      <c r="A65" t="str">
        <f t="shared" si="0"/>
        <v>0.374</v>
      </c>
      <c r="B65">
        <f t="shared" si="1"/>
        <v>0.37447700000000006</v>
      </c>
      <c r="D65" s="10"/>
    </row>
    <row r="66" spans="1:4" x14ac:dyDescent="0.25">
      <c r="A66" t="str">
        <f t="shared" si="0"/>
        <v>0.375</v>
      </c>
      <c r="B66">
        <f t="shared" si="1"/>
        <v>0.37547700000000006</v>
      </c>
      <c r="D66" s="10"/>
    </row>
    <row r="67" spans="1:4" x14ac:dyDescent="0.25">
      <c r="A67" t="str">
        <f t="shared" si="0"/>
        <v>0.376</v>
      </c>
      <c r="B67">
        <f t="shared" si="1"/>
        <v>0.37647700000000006</v>
      </c>
      <c r="D67" s="10"/>
    </row>
    <row r="68" spans="1:4" x14ac:dyDescent="0.25">
      <c r="A68" t="str">
        <f t="shared" si="0"/>
        <v>0.377</v>
      </c>
      <c r="B68">
        <f t="shared" si="1"/>
        <v>0.37747700000000006</v>
      </c>
      <c r="D68" s="10"/>
    </row>
    <row r="69" spans="1:4" x14ac:dyDescent="0.25">
      <c r="A69" t="str">
        <f t="shared" ref="A69:A104" si="2">TEXT(B69,"0.000")</f>
        <v>0.378</v>
      </c>
      <c r="B69">
        <f t="shared" si="1"/>
        <v>0.37847700000000006</v>
      </c>
      <c r="D69" s="10"/>
    </row>
    <row r="70" spans="1:4" x14ac:dyDescent="0.25">
      <c r="A70" t="str">
        <f t="shared" si="2"/>
        <v>0.379</v>
      </c>
      <c r="B70">
        <f t="shared" ref="B70:B104" si="3">B69+0.001</f>
        <v>0.37947700000000006</v>
      </c>
      <c r="D70" s="10"/>
    </row>
    <row r="71" spans="1:4" x14ac:dyDescent="0.25">
      <c r="A71" t="str">
        <f t="shared" si="2"/>
        <v>0.380</v>
      </c>
      <c r="B71">
        <f t="shared" si="3"/>
        <v>0.38047700000000007</v>
      </c>
      <c r="D71" s="10"/>
    </row>
    <row r="72" spans="1:4" x14ac:dyDescent="0.25">
      <c r="A72" t="str">
        <f t="shared" si="2"/>
        <v>0.381</v>
      </c>
      <c r="B72">
        <f t="shared" si="3"/>
        <v>0.38147700000000007</v>
      </c>
      <c r="D72" s="10"/>
    </row>
    <row r="73" spans="1:4" x14ac:dyDescent="0.25">
      <c r="A73" t="str">
        <f t="shared" si="2"/>
        <v>0.382</v>
      </c>
      <c r="B73">
        <f t="shared" si="3"/>
        <v>0.38247700000000007</v>
      </c>
      <c r="D73" s="10"/>
    </row>
    <row r="74" spans="1:4" x14ac:dyDescent="0.25">
      <c r="A74" t="str">
        <f t="shared" si="2"/>
        <v>0.383</v>
      </c>
      <c r="B74">
        <f t="shared" si="3"/>
        <v>0.38347700000000007</v>
      </c>
      <c r="D74" s="10"/>
    </row>
    <row r="75" spans="1:4" x14ac:dyDescent="0.25">
      <c r="A75" t="str">
        <f t="shared" si="2"/>
        <v>0.384</v>
      </c>
      <c r="B75">
        <f t="shared" si="3"/>
        <v>0.38447700000000007</v>
      </c>
      <c r="D75" s="10"/>
    </row>
    <row r="76" spans="1:4" x14ac:dyDescent="0.25">
      <c r="A76" t="str">
        <f t="shared" si="2"/>
        <v>0.385</v>
      </c>
      <c r="B76">
        <f t="shared" si="3"/>
        <v>0.38547700000000007</v>
      </c>
      <c r="D76" s="10"/>
    </row>
    <row r="77" spans="1:4" x14ac:dyDescent="0.25">
      <c r="A77" t="str">
        <f t="shared" si="2"/>
        <v>0.386</v>
      </c>
      <c r="B77">
        <f t="shared" si="3"/>
        <v>0.38647700000000007</v>
      </c>
      <c r="D77" s="10"/>
    </row>
    <row r="78" spans="1:4" x14ac:dyDescent="0.25">
      <c r="A78" t="str">
        <f t="shared" si="2"/>
        <v>0.387</v>
      </c>
      <c r="B78">
        <f t="shared" si="3"/>
        <v>0.38747700000000007</v>
      </c>
      <c r="D78" s="10"/>
    </row>
    <row r="79" spans="1:4" x14ac:dyDescent="0.25">
      <c r="A79" t="str">
        <f t="shared" si="2"/>
        <v>0.388</v>
      </c>
      <c r="B79">
        <f t="shared" si="3"/>
        <v>0.38847700000000007</v>
      </c>
      <c r="D79" s="10"/>
    </row>
    <row r="80" spans="1:4" x14ac:dyDescent="0.25">
      <c r="A80" t="str">
        <f t="shared" si="2"/>
        <v>0.389</v>
      </c>
      <c r="B80">
        <f t="shared" si="3"/>
        <v>0.38947700000000007</v>
      </c>
      <c r="D80" s="10"/>
    </row>
    <row r="81" spans="1:4" x14ac:dyDescent="0.25">
      <c r="A81" t="str">
        <f t="shared" si="2"/>
        <v>0.390</v>
      </c>
      <c r="B81">
        <f t="shared" si="3"/>
        <v>0.39047700000000007</v>
      </c>
      <c r="D81" s="10"/>
    </row>
    <row r="82" spans="1:4" x14ac:dyDescent="0.25">
      <c r="A82" t="str">
        <f t="shared" si="2"/>
        <v>0.391</v>
      </c>
      <c r="B82">
        <f t="shared" si="3"/>
        <v>0.39147700000000007</v>
      </c>
      <c r="D82" s="10"/>
    </row>
    <row r="83" spans="1:4" x14ac:dyDescent="0.25">
      <c r="A83" t="str">
        <f t="shared" si="2"/>
        <v>0.392</v>
      </c>
      <c r="B83">
        <f t="shared" si="3"/>
        <v>0.39247700000000008</v>
      </c>
      <c r="D83" s="10"/>
    </row>
    <row r="84" spans="1:4" x14ac:dyDescent="0.25">
      <c r="A84" t="str">
        <f t="shared" si="2"/>
        <v>0.393</v>
      </c>
      <c r="B84">
        <f t="shared" si="3"/>
        <v>0.39347700000000008</v>
      </c>
      <c r="D84" s="10"/>
    </row>
    <row r="85" spans="1:4" x14ac:dyDescent="0.25">
      <c r="A85" t="str">
        <f t="shared" si="2"/>
        <v>0.394</v>
      </c>
      <c r="B85">
        <f t="shared" si="3"/>
        <v>0.39447700000000008</v>
      </c>
      <c r="D85" s="10"/>
    </row>
    <row r="86" spans="1:4" x14ac:dyDescent="0.25">
      <c r="A86" t="str">
        <f t="shared" si="2"/>
        <v>0.395</v>
      </c>
      <c r="B86">
        <f t="shared" si="3"/>
        <v>0.39547700000000008</v>
      </c>
      <c r="D86" s="10"/>
    </row>
    <row r="87" spans="1:4" x14ac:dyDescent="0.25">
      <c r="A87" t="str">
        <f t="shared" si="2"/>
        <v>0.396</v>
      </c>
      <c r="B87">
        <f t="shared" si="3"/>
        <v>0.39647700000000008</v>
      </c>
      <c r="D87" s="10"/>
    </row>
    <row r="88" spans="1:4" x14ac:dyDescent="0.25">
      <c r="A88" t="str">
        <f t="shared" si="2"/>
        <v>0.397</v>
      </c>
      <c r="B88">
        <f t="shared" si="3"/>
        <v>0.39747700000000008</v>
      </c>
      <c r="D88" s="10"/>
    </row>
    <row r="89" spans="1:4" x14ac:dyDescent="0.25">
      <c r="A89" t="str">
        <f t="shared" si="2"/>
        <v>0.398</v>
      </c>
      <c r="B89">
        <f t="shared" si="3"/>
        <v>0.39847700000000008</v>
      </c>
      <c r="D89" s="10"/>
    </row>
    <row r="90" spans="1:4" x14ac:dyDescent="0.25">
      <c r="A90" t="str">
        <f t="shared" si="2"/>
        <v>0.399</v>
      </c>
      <c r="B90">
        <f t="shared" si="3"/>
        <v>0.39947700000000008</v>
      </c>
      <c r="D90" s="10"/>
    </row>
    <row r="91" spans="1:4" x14ac:dyDescent="0.25">
      <c r="A91" t="str">
        <f t="shared" si="2"/>
        <v>0.400</v>
      </c>
      <c r="B91">
        <f t="shared" si="3"/>
        <v>0.40047700000000008</v>
      </c>
      <c r="D91" s="10"/>
    </row>
    <row r="92" spans="1:4" x14ac:dyDescent="0.25">
      <c r="A92" t="str">
        <f t="shared" si="2"/>
        <v>0.401</v>
      </c>
      <c r="B92">
        <f t="shared" si="3"/>
        <v>0.40147700000000008</v>
      </c>
      <c r="D92" s="10"/>
    </row>
    <row r="93" spans="1:4" x14ac:dyDescent="0.25">
      <c r="A93" t="str">
        <f t="shared" si="2"/>
        <v>0.402</v>
      </c>
      <c r="B93">
        <f t="shared" si="3"/>
        <v>0.40247700000000008</v>
      </c>
      <c r="D93" s="10"/>
    </row>
    <row r="94" spans="1:4" x14ac:dyDescent="0.25">
      <c r="A94" t="str">
        <f t="shared" si="2"/>
        <v>0.403</v>
      </c>
      <c r="B94">
        <f t="shared" si="3"/>
        <v>0.40347700000000009</v>
      </c>
      <c r="D94" s="10"/>
    </row>
    <row r="95" spans="1:4" x14ac:dyDescent="0.25">
      <c r="A95" t="str">
        <f t="shared" si="2"/>
        <v>0.404</v>
      </c>
      <c r="B95">
        <f t="shared" si="3"/>
        <v>0.40447700000000009</v>
      </c>
      <c r="D95" s="10"/>
    </row>
    <row r="96" spans="1:4" x14ac:dyDescent="0.25">
      <c r="A96" t="str">
        <f t="shared" si="2"/>
        <v>0.405</v>
      </c>
      <c r="B96">
        <f t="shared" si="3"/>
        <v>0.40547700000000009</v>
      </c>
      <c r="D96" s="10"/>
    </row>
    <row r="97" spans="1:4" x14ac:dyDescent="0.25">
      <c r="A97" t="str">
        <f t="shared" si="2"/>
        <v>0.406</v>
      </c>
      <c r="B97">
        <f t="shared" si="3"/>
        <v>0.40647700000000009</v>
      </c>
      <c r="D97" s="10"/>
    </row>
    <row r="98" spans="1:4" x14ac:dyDescent="0.25">
      <c r="A98" t="str">
        <f t="shared" si="2"/>
        <v>0.407</v>
      </c>
      <c r="B98">
        <f t="shared" si="3"/>
        <v>0.40747700000000009</v>
      </c>
      <c r="D98" s="10"/>
    </row>
    <row r="99" spans="1:4" x14ac:dyDescent="0.25">
      <c r="A99" t="str">
        <f t="shared" si="2"/>
        <v>0.408</v>
      </c>
      <c r="B99">
        <f t="shared" si="3"/>
        <v>0.40847700000000009</v>
      </c>
      <c r="D99" s="10"/>
    </row>
    <row r="100" spans="1:4" x14ac:dyDescent="0.25">
      <c r="A100" t="str">
        <f t="shared" si="2"/>
        <v>0.409</v>
      </c>
      <c r="B100">
        <f t="shared" si="3"/>
        <v>0.40947700000000009</v>
      </c>
      <c r="D100" s="10"/>
    </row>
    <row r="101" spans="1:4" x14ac:dyDescent="0.25">
      <c r="A101" t="str">
        <f t="shared" si="2"/>
        <v>0.410</v>
      </c>
      <c r="B101">
        <f t="shared" si="3"/>
        <v>0.41047700000000009</v>
      </c>
      <c r="D101" s="10"/>
    </row>
    <row r="102" spans="1:4" x14ac:dyDescent="0.25">
      <c r="A102" t="str">
        <f t="shared" si="2"/>
        <v>0.411</v>
      </c>
      <c r="B102">
        <f t="shared" si="3"/>
        <v>0.41147700000000009</v>
      </c>
      <c r="D102" s="10"/>
    </row>
    <row r="103" spans="1:4" x14ac:dyDescent="0.25">
      <c r="A103" t="str">
        <f t="shared" si="2"/>
        <v>0.412</v>
      </c>
      <c r="B103">
        <f t="shared" si="3"/>
        <v>0.41247700000000009</v>
      </c>
      <c r="D103" s="10"/>
    </row>
    <row r="104" spans="1:4" x14ac:dyDescent="0.25">
      <c r="A104" t="str">
        <f t="shared" si="2"/>
        <v>0.413</v>
      </c>
      <c r="B104">
        <f t="shared" si="3"/>
        <v>0.41347700000000009</v>
      </c>
      <c r="D104" s="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eet16.heston_change_kappa1">
                <anchor moveWithCells="1" sizeWithCells="1">
                  <from>
                    <xdr:col>4</xdr:col>
                    <xdr:colOff>333375</xdr:colOff>
                    <xdr:row>3</xdr:row>
                    <xdr:rowOff>47625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K104"/>
  <sheetViews>
    <sheetView workbookViewId="0">
      <selection activeCell="I6" sqref="I6"/>
    </sheetView>
  </sheetViews>
  <sheetFormatPr defaultRowHeight="15" x14ac:dyDescent="0.25"/>
  <cols>
    <col min="2" max="2" width="14.42578125" bestFit="1" customWidth="1"/>
    <col min="3" max="3" width="15.140625" bestFit="1" customWidth="1"/>
    <col min="4" max="4" width="12" bestFit="1" customWidth="1"/>
  </cols>
  <sheetData>
    <row r="1" spans="1:11" x14ac:dyDescent="0.25">
      <c r="B1" t="s">
        <v>90</v>
      </c>
      <c r="C1">
        <f>'Parameter Page'!E14</f>
        <v>0.53538699999999995</v>
      </c>
      <c r="E1">
        <f>C1-0.05</f>
        <v>0.48538699999999996</v>
      </c>
      <c r="F1">
        <f>C1+0.05</f>
        <v>0.58538699999999999</v>
      </c>
    </row>
    <row r="2" spans="1:11" x14ac:dyDescent="0.25">
      <c r="C2" t="s">
        <v>54</v>
      </c>
      <c r="D2">
        <f>COUNT(B4:B104)</f>
        <v>101</v>
      </c>
      <c r="J2" t="s">
        <v>55</v>
      </c>
    </row>
    <row r="3" spans="1:11" x14ac:dyDescent="0.25">
      <c r="B3" t="s">
        <v>91</v>
      </c>
      <c r="C3" t="s">
        <v>57</v>
      </c>
      <c r="I3" t="str">
        <f>B3</f>
        <v>kappa 2</v>
      </c>
      <c r="J3" t="s">
        <v>57</v>
      </c>
      <c r="K3" t="s">
        <v>59</v>
      </c>
    </row>
    <row r="4" spans="1:11" x14ac:dyDescent="0.25">
      <c r="A4" t="str">
        <f>TEXT(B4,"0.000")</f>
        <v>0.485</v>
      </c>
      <c r="B4">
        <f>E1</f>
        <v>0.48538699999999996</v>
      </c>
      <c r="I4" s="13">
        <f>C1-0.01</f>
        <v>0.52538699999999994</v>
      </c>
      <c r="J4">
        <v>797.2852528068421</v>
      </c>
      <c r="K4" t="s">
        <v>60</v>
      </c>
    </row>
    <row r="5" spans="1:11" x14ac:dyDescent="0.25">
      <c r="A5" t="str">
        <f t="shared" ref="A5:A68" si="0">TEXT(B5,"0.000")</f>
        <v>0.486</v>
      </c>
      <c r="B5">
        <f>B4+0.001</f>
        <v>0.48638699999999996</v>
      </c>
      <c r="D5" s="10"/>
      <c r="I5" s="13">
        <f>C1</f>
        <v>0.53538699999999995</v>
      </c>
      <c r="J5">
        <v>796.88201599286356</v>
      </c>
      <c r="K5" s="11">
        <f>(J5-J4)/J4</f>
        <v>-5.0576228841426923E-4</v>
      </c>
    </row>
    <row r="6" spans="1:11" x14ac:dyDescent="0.25">
      <c r="A6" t="str">
        <f t="shared" si="0"/>
        <v>0.487</v>
      </c>
      <c r="B6">
        <f t="shared" ref="B6:B69" si="1">B5+0.001</f>
        <v>0.48738699999999996</v>
      </c>
      <c r="D6" s="10"/>
      <c r="I6" s="13">
        <f>C1+0.01</f>
        <v>0.54538699999999996</v>
      </c>
      <c r="J6">
        <v>797.79735762067799</v>
      </c>
      <c r="K6" s="11">
        <f>(J6-J5)/J5</f>
        <v>1.1486538903428146E-3</v>
      </c>
    </row>
    <row r="7" spans="1:11" x14ac:dyDescent="0.25">
      <c r="A7" t="str">
        <f t="shared" si="0"/>
        <v>0.488</v>
      </c>
      <c r="B7">
        <f t="shared" si="1"/>
        <v>0.48838699999999996</v>
      </c>
      <c r="D7" s="10"/>
    </row>
    <row r="8" spans="1:11" x14ac:dyDescent="0.25">
      <c r="A8" t="str">
        <f t="shared" si="0"/>
        <v>0.489</v>
      </c>
      <c r="B8">
        <f t="shared" si="1"/>
        <v>0.48938699999999996</v>
      </c>
      <c r="D8" s="10"/>
    </row>
    <row r="9" spans="1:11" x14ac:dyDescent="0.25">
      <c r="A9" t="str">
        <f t="shared" si="0"/>
        <v>0.490</v>
      </c>
      <c r="B9">
        <f t="shared" si="1"/>
        <v>0.49038699999999996</v>
      </c>
      <c r="D9" s="10"/>
    </row>
    <row r="10" spans="1:11" x14ac:dyDescent="0.25">
      <c r="A10" t="str">
        <f t="shared" si="0"/>
        <v>0.491</v>
      </c>
      <c r="B10">
        <f t="shared" si="1"/>
        <v>0.49138699999999996</v>
      </c>
      <c r="D10" s="10"/>
    </row>
    <row r="11" spans="1:11" x14ac:dyDescent="0.25">
      <c r="A11" t="str">
        <f t="shared" si="0"/>
        <v>0.492</v>
      </c>
      <c r="B11">
        <f t="shared" si="1"/>
        <v>0.49238699999999996</v>
      </c>
      <c r="D11" s="10"/>
    </row>
    <row r="12" spans="1:11" x14ac:dyDescent="0.25">
      <c r="A12" t="str">
        <f t="shared" si="0"/>
        <v>0.493</v>
      </c>
      <c r="B12">
        <f t="shared" si="1"/>
        <v>0.49338699999999996</v>
      </c>
      <c r="D12" s="10"/>
    </row>
    <row r="13" spans="1:11" x14ac:dyDescent="0.25">
      <c r="A13" t="str">
        <f t="shared" si="0"/>
        <v>0.494</v>
      </c>
      <c r="B13">
        <f t="shared" si="1"/>
        <v>0.49438699999999997</v>
      </c>
      <c r="D13" s="10"/>
    </row>
    <row r="14" spans="1:11" x14ac:dyDescent="0.25">
      <c r="A14" t="str">
        <f t="shared" si="0"/>
        <v>0.495</v>
      </c>
      <c r="B14">
        <f t="shared" si="1"/>
        <v>0.49538699999999997</v>
      </c>
      <c r="D14" s="10"/>
    </row>
    <row r="15" spans="1:11" x14ac:dyDescent="0.25">
      <c r="A15" t="str">
        <f t="shared" si="0"/>
        <v>0.496</v>
      </c>
      <c r="B15">
        <f t="shared" si="1"/>
        <v>0.49638699999999997</v>
      </c>
      <c r="D15" s="10"/>
    </row>
    <row r="16" spans="1:11" x14ac:dyDescent="0.25">
      <c r="A16" t="str">
        <f t="shared" si="0"/>
        <v>0.497</v>
      </c>
      <c r="B16">
        <f t="shared" si="1"/>
        <v>0.49738699999999997</v>
      </c>
      <c r="D16" s="10"/>
    </row>
    <row r="17" spans="1:4" x14ac:dyDescent="0.25">
      <c r="A17" t="str">
        <f t="shared" si="0"/>
        <v>0.498</v>
      </c>
      <c r="B17">
        <f t="shared" si="1"/>
        <v>0.49838699999999997</v>
      </c>
      <c r="D17" s="10"/>
    </row>
    <row r="18" spans="1:4" x14ac:dyDescent="0.25">
      <c r="A18" t="str">
        <f t="shared" si="0"/>
        <v>0.499</v>
      </c>
      <c r="B18">
        <f t="shared" si="1"/>
        <v>0.49938699999999997</v>
      </c>
      <c r="D18" s="10"/>
    </row>
    <row r="19" spans="1:4" x14ac:dyDescent="0.25">
      <c r="A19" t="str">
        <f t="shared" si="0"/>
        <v>0.500</v>
      </c>
      <c r="B19">
        <f t="shared" si="1"/>
        <v>0.50038699999999992</v>
      </c>
      <c r="D19" s="10"/>
    </row>
    <row r="20" spans="1:4" x14ac:dyDescent="0.25">
      <c r="A20" t="str">
        <f t="shared" si="0"/>
        <v>0.501</v>
      </c>
      <c r="B20">
        <f t="shared" si="1"/>
        <v>0.50138699999999992</v>
      </c>
      <c r="D20" s="10"/>
    </row>
    <row r="21" spans="1:4" x14ac:dyDescent="0.25">
      <c r="A21" t="str">
        <f t="shared" si="0"/>
        <v>0.502</v>
      </c>
      <c r="B21">
        <f t="shared" si="1"/>
        <v>0.50238699999999992</v>
      </c>
      <c r="D21" s="10"/>
    </row>
    <row r="22" spans="1:4" x14ac:dyDescent="0.25">
      <c r="A22" t="str">
        <f t="shared" si="0"/>
        <v>0.503</v>
      </c>
      <c r="B22">
        <f t="shared" si="1"/>
        <v>0.50338699999999992</v>
      </c>
      <c r="D22" s="10"/>
    </row>
    <row r="23" spans="1:4" x14ac:dyDescent="0.25">
      <c r="A23" t="str">
        <f t="shared" si="0"/>
        <v>0.504</v>
      </c>
      <c r="B23">
        <f t="shared" si="1"/>
        <v>0.50438699999999992</v>
      </c>
      <c r="D23" s="10"/>
    </row>
    <row r="24" spans="1:4" x14ac:dyDescent="0.25">
      <c r="A24" t="str">
        <f t="shared" si="0"/>
        <v>0.505</v>
      </c>
      <c r="B24">
        <f t="shared" si="1"/>
        <v>0.50538699999999992</v>
      </c>
      <c r="D24" s="10"/>
    </row>
    <row r="25" spans="1:4" x14ac:dyDescent="0.25">
      <c r="A25" t="str">
        <f t="shared" si="0"/>
        <v>0.506</v>
      </c>
      <c r="B25">
        <f t="shared" si="1"/>
        <v>0.50638699999999992</v>
      </c>
      <c r="D25" s="10"/>
    </row>
    <row r="26" spans="1:4" x14ac:dyDescent="0.25">
      <c r="A26" t="str">
        <f t="shared" si="0"/>
        <v>0.507</v>
      </c>
      <c r="B26">
        <f t="shared" si="1"/>
        <v>0.50738699999999992</v>
      </c>
      <c r="D26" s="10"/>
    </row>
    <row r="27" spans="1:4" x14ac:dyDescent="0.25">
      <c r="A27" t="str">
        <f t="shared" si="0"/>
        <v>0.508</v>
      </c>
      <c r="B27">
        <f t="shared" si="1"/>
        <v>0.50838699999999992</v>
      </c>
      <c r="D27" s="10"/>
    </row>
    <row r="28" spans="1:4" x14ac:dyDescent="0.25">
      <c r="A28" t="str">
        <f t="shared" si="0"/>
        <v>0.509</v>
      </c>
      <c r="B28">
        <f t="shared" si="1"/>
        <v>0.50938699999999992</v>
      </c>
      <c r="D28" s="10"/>
    </row>
    <row r="29" spans="1:4" x14ac:dyDescent="0.25">
      <c r="A29" t="str">
        <f t="shared" si="0"/>
        <v>0.510</v>
      </c>
      <c r="B29">
        <f t="shared" si="1"/>
        <v>0.51038699999999992</v>
      </c>
      <c r="D29" s="10"/>
    </row>
    <row r="30" spans="1:4" x14ac:dyDescent="0.25">
      <c r="A30" t="str">
        <f t="shared" si="0"/>
        <v>0.511</v>
      </c>
      <c r="B30">
        <f t="shared" si="1"/>
        <v>0.51138699999999992</v>
      </c>
      <c r="D30" s="10"/>
    </row>
    <row r="31" spans="1:4" x14ac:dyDescent="0.25">
      <c r="A31" t="str">
        <f t="shared" si="0"/>
        <v>0.512</v>
      </c>
      <c r="B31">
        <f t="shared" si="1"/>
        <v>0.51238699999999993</v>
      </c>
      <c r="D31" s="10"/>
    </row>
    <row r="32" spans="1:4" x14ac:dyDescent="0.25">
      <c r="A32" t="str">
        <f t="shared" si="0"/>
        <v>0.513</v>
      </c>
      <c r="B32">
        <f t="shared" si="1"/>
        <v>0.51338699999999993</v>
      </c>
      <c r="D32" s="10"/>
    </row>
    <row r="33" spans="1:4" x14ac:dyDescent="0.25">
      <c r="A33" t="str">
        <f t="shared" si="0"/>
        <v>0.514</v>
      </c>
      <c r="B33">
        <f t="shared" si="1"/>
        <v>0.51438699999999993</v>
      </c>
      <c r="D33" s="10"/>
    </row>
    <row r="34" spans="1:4" x14ac:dyDescent="0.25">
      <c r="A34" t="str">
        <f t="shared" si="0"/>
        <v>0.515</v>
      </c>
      <c r="B34">
        <f t="shared" si="1"/>
        <v>0.51538699999999993</v>
      </c>
      <c r="D34" s="10"/>
    </row>
    <row r="35" spans="1:4" x14ac:dyDescent="0.25">
      <c r="A35" t="str">
        <f t="shared" si="0"/>
        <v>0.516</v>
      </c>
      <c r="B35">
        <f t="shared" si="1"/>
        <v>0.51638699999999993</v>
      </c>
      <c r="D35" s="10"/>
    </row>
    <row r="36" spans="1:4" x14ac:dyDescent="0.25">
      <c r="A36" t="str">
        <f t="shared" si="0"/>
        <v>0.517</v>
      </c>
      <c r="B36">
        <f t="shared" si="1"/>
        <v>0.51738699999999993</v>
      </c>
      <c r="D36" s="10"/>
    </row>
    <row r="37" spans="1:4" x14ac:dyDescent="0.25">
      <c r="A37" t="str">
        <f t="shared" si="0"/>
        <v>0.518</v>
      </c>
      <c r="B37">
        <f t="shared" si="1"/>
        <v>0.51838699999999993</v>
      </c>
      <c r="D37" s="10"/>
    </row>
    <row r="38" spans="1:4" x14ac:dyDescent="0.25">
      <c r="A38" t="str">
        <f t="shared" si="0"/>
        <v>0.519</v>
      </c>
      <c r="B38">
        <f t="shared" si="1"/>
        <v>0.51938699999999993</v>
      </c>
      <c r="D38" s="10"/>
    </row>
    <row r="39" spans="1:4" x14ac:dyDescent="0.25">
      <c r="A39" t="str">
        <f t="shared" si="0"/>
        <v>0.520</v>
      </c>
      <c r="B39">
        <f t="shared" si="1"/>
        <v>0.52038699999999993</v>
      </c>
      <c r="D39" s="10"/>
    </row>
    <row r="40" spans="1:4" x14ac:dyDescent="0.25">
      <c r="A40" t="str">
        <f t="shared" si="0"/>
        <v>0.521</v>
      </c>
      <c r="B40">
        <f t="shared" si="1"/>
        <v>0.52138699999999993</v>
      </c>
      <c r="D40" s="10"/>
    </row>
    <row r="41" spans="1:4" x14ac:dyDescent="0.25">
      <c r="A41" t="str">
        <f t="shared" si="0"/>
        <v>0.522</v>
      </c>
      <c r="B41">
        <f t="shared" si="1"/>
        <v>0.52238699999999993</v>
      </c>
      <c r="D41" s="10"/>
    </row>
    <row r="42" spans="1:4" x14ac:dyDescent="0.25">
      <c r="A42" t="str">
        <f t="shared" si="0"/>
        <v>0.523</v>
      </c>
      <c r="B42">
        <f t="shared" si="1"/>
        <v>0.52338699999999994</v>
      </c>
      <c r="D42" s="10"/>
    </row>
    <row r="43" spans="1:4" x14ac:dyDescent="0.25">
      <c r="A43" t="str">
        <f t="shared" si="0"/>
        <v>0.524</v>
      </c>
      <c r="B43">
        <f t="shared" si="1"/>
        <v>0.52438699999999994</v>
      </c>
      <c r="D43" s="10"/>
    </row>
    <row r="44" spans="1:4" x14ac:dyDescent="0.25">
      <c r="A44" t="str">
        <f t="shared" si="0"/>
        <v>0.525</v>
      </c>
      <c r="B44">
        <f t="shared" si="1"/>
        <v>0.52538699999999994</v>
      </c>
      <c r="D44" s="10"/>
    </row>
    <row r="45" spans="1:4" x14ac:dyDescent="0.25">
      <c r="A45" t="str">
        <f t="shared" si="0"/>
        <v>0.526</v>
      </c>
      <c r="B45">
        <f t="shared" si="1"/>
        <v>0.52638699999999994</v>
      </c>
      <c r="D45" s="10"/>
    </row>
    <row r="46" spans="1:4" x14ac:dyDescent="0.25">
      <c r="A46" t="str">
        <f t="shared" si="0"/>
        <v>0.527</v>
      </c>
      <c r="B46">
        <f t="shared" si="1"/>
        <v>0.52738699999999994</v>
      </c>
      <c r="D46" s="10"/>
    </row>
    <row r="47" spans="1:4" x14ac:dyDescent="0.25">
      <c r="A47" t="str">
        <f t="shared" si="0"/>
        <v>0.528</v>
      </c>
      <c r="B47">
        <f t="shared" si="1"/>
        <v>0.52838699999999994</v>
      </c>
      <c r="D47" s="10"/>
    </row>
    <row r="48" spans="1:4" x14ac:dyDescent="0.25">
      <c r="A48" t="str">
        <f t="shared" si="0"/>
        <v>0.529</v>
      </c>
      <c r="B48">
        <f t="shared" si="1"/>
        <v>0.52938699999999994</v>
      </c>
      <c r="D48" s="10"/>
    </row>
    <row r="49" spans="1:4" x14ac:dyDescent="0.25">
      <c r="A49" t="str">
        <f t="shared" si="0"/>
        <v>0.530</v>
      </c>
      <c r="B49">
        <f t="shared" si="1"/>
        <v>0.53038699999999994</v>
      </c>
      <c r="D49" s="10"/>
    </row>
    <row r="50" spans="1:4" x14ac:dyDescent="0.25">
      <c r="A50" t="str">
        <f t="shared" si="0"/>
        <v>0.531</v>
      </c>
      <c r="B50">
        <f t="shared" si="1"/>
        <v>0.53138699999999994</v>
      </c>
      <c r="D50" s="10"/>
    </row>
    <row r="51" spans="1:4" x14ac:dyDescent="0.25">
      <c r="A51" t="str">
        <f t="shared" si="0"/>
        <v>0.532</v>
      </c>
      <c r="B51">
        <f t="shared" si="1"/>
        <v>0.53238699999999994</v>
      </c>
      <c r="D51" s="10"/>
    </row>
    <row r="52" spans="1:4" x14ac:dyDescent="0.25">
      <c r="A52" t="str">
        <f t="shared" si="0"/>
        <v>0.533</v>
      </c>
      <c r="B52">
        <f t="shared" si="1"/>
        <v>0.53338699999999994</v>
      </c>
      <c r="D52" s="10"/>
    </row>
    <row r="53" spans="1:4" x14ac:dyDescent="0.25">
      <c r="A53" t="str">
        <f t="shared" si="0"/>
        <v>0.534</v>
      </c>
      <c r="B53">
        <f t="shared" si="1"/>
        <v>0.53438699999999995</v>
      </c>
      <c r="D53" s="10"/>
    </row>
    <row r="54" spans="1:4" x14ac:dyDescent="0.25">
      <c r="A54" t="str">
        <f t="shared" si="0"/>
        <v>0.535</v>
      </c>
      <c r="B54">
        <f t="shared" si="1"/>
        <v>0.53538699999999995</v>
      </c>
      <c r="D54" s="10"/>
    </row>
    <row r="55" spans="1:4" x14ac:dyDescent="0.25">
      <c r="A55" t="str">
        <f t="shared" si="0"/>
        <v>0.536</v>
      </c>
      <c r="B55">
        <f t="shared" si="1"/>
        <v>0.53638699999999995</v>
      </c>
      <c r="D55" s="10"/>
    </row>
    <row r="56" spans="1:4" x14ac:dyDescent="0.25">
      <c r="A56" t="str">
        <f t="shared" si="0"/>
        <v>0.537</v>
      </c>
      <c r="B56">
        <f t="shared" si="1"/>
        <v>0.53738699999999995</v>
      </c>
      <c r="D56" s="10"/>
    </row>
    <row r="57" spans="1:4" x14ac:dyDescent="0.25">
      <c r="A57" t="str">
        <f t="shared" si="0"/>
        <v>0.538</v>
      </c>
      <c r="B57">
        <f t="shared" si="1"/>
        <v>0.53838699999999995</v>
      </c>
      <c r="D57" s="10"/>
    </row>
    <row r="58" spans="1:4" x14ac:dyDescent="0.25">
      <c r="A58" t="str">
        <f t="shared" si="0"/>
        <v>0.539</v>
      </c>
      <c r="B58">
        <f t="shared" si="1"/>
        <v>0.53938699999999995</v>
      </c>
      <c r="D58" s="10"/>
    </row>
    <row r="59" spans="1:4" x14ac:dyDescent="0.25">
      <c r="A59" t="str">
        <f t="shared" si="0"/>
        <v>0.540</v>
      </c>
      <c r="B59">
        <f t="shared" si="1"/>
        <v>0.54038699999999995</v>
      </c>
      <c r="D59" s="10"/>
    </row>
    <row r="60" spans="1:4" x14ac:dyDescent="0.25">
      <c r="A60" t="str">
        <f t="shared" si="0"/>
        <v>0.541</v>
      </c>
      <c r="B60">
        <f t="shared" si="1"/>
        <v>0.54138699999999995</v>
      </c>
      <c r="D60" s="10"/>
    </row>
    <row r="61" spans="1:4" x14ac:dyDescent="0.25">
      <c r="A61" t="str">
        <f t="shared" si="0"/>
        <v>0.542</v>
      </c>
      <c r="B61">
        <f t="shared" si="1"/>
        <v>0.54238699999999995</v>
      </c>
      <c r="D61" s="10"/>
    </row>
    <row r="62" spans="1:4" x14ac:dyDescent="0.25">
      <c r="A62" t="str">
        <f t="shared" si="0"/>
        <v>0.543</v>
      </c>
      <c r="B62">
        <f t="shared" si="1"/>
        <v>0.54338699999999995</v>
      </c>
      <c r="D62" s="10"/>
    </row>
    <row r="63" spans="1:4" x14ac:dyDescent="0.25">
      <c r="A63" t="str">
        <f t="shared" si="0"/>
        <v>0.544</v>
      </c>
      <c r="B63">
        <f t="shared" si="1"/>
        <v>0.54438699999999995</v>
      </c>
      <c r="D63" s="10"/>
    </row>
    <row r="64" spans="1:4" x14ac:dyDescent="0.25">
      <c r="A64" t="str">
        <f t="shared" si="0"/>
        <v>0.545</v>
      </c>
      <c r="B64">
        <f t="shared" si="1"/>
        <v>0.54538699999999996</v>
      </c>
      <c r="D64" s="10"/>
    </row>
    <row r="65" spans="1:4" x14ac:dyDescent="0.25">
      <c r="A65" t="str">
        <f t="shared" si="0"/>
        <v>0.546</v>
      </c>
      <c r="B65">
        <f t="shared" si="1"/>
        <v>0.54638699999999996</v>
      </c>
      <c r="D65" s="10"/>
    </row>
    <row r="66" spans="1:4" x14ac:dyDescent="0.25">
      <c r="A66" t="str">
        <f t="shared" si="0"/>
        <v>0.547</v>
      </c>
      <c r="B66">
        <f t="shared" si="1"/>
        <v>0.54738699999999996</v>
      </c>
      <c r="D66" s="10"/>
    </row>
    <row r="67" spans="1:4" x14ac:dyDescent="0.25">
      <c r="A67" t="str">
        <f t="shared" si="0"/>
        <v>0.548</v>
      </c>
      <c r="B67">
        <f t="shared" si="1"/>
        <v>0.54838699999999996</v>
      </c>
      <c r="D67" s="10"/>
    </row>
    <row r="68" spans="1:4" x14ac:dyDescent="0.25">
      <c r="A68" t="str">
        <f t="shared" si="0"/>
        <v>0.549</v>
      </c>
      <c r="B68">
        <f t="shared" si="1"/>
        <v>0.54938699999999996</v>
      </c>
      <c r="D68" s="10"/>
    </row>
    <row r="69" spans="1:4" x14ac:dyDescent="0.25">
      <c r="A69" t="str">
        <f t="shared" ref="A69:A104" si="2">TEXT(B69,"0.000")</f>
        <v>0.550</v>
      </c>
      <c r="B69">
        <f t="shared" si="1"/>
        <v>0.55038699999999996</v>
      </c>
      <c r="D69" s="10"/>
    </row>
    <row r="70" spans="1:4" x14ac:dyDescent="0.25">
      <c r="A70" t="str">
        <f t="shared" si="2"/>
        <v>0.551</v>
      </c>
      <c r="B70">
        <f t="shared" ref="B70:B104" si="3">B69+0.001</f>
        <v>0.55138699999999996</v>
      </c>
      <c r="D70" s="10"/>
    </row>
    <row r="71" spans="1:4" x14ac:dyDescent="0.25">
      <c r="A71" t="str">
        <f t="shared" si="2"/>
        <v>0.552</v>
      </c>
      <c r="B71">
        <f t="shared" si="3"/>
        <v>0.55238699999999996</v>
      </c>
      <c r="D71" s="10"/>
    </row>
    <row r="72" spans="1:4" x14ac:dyDescent="0.25">
      <c r="A72" t="str">
        <f t="shared" si="2"/>
        <v>0.553</v>
      </c>
      <c r="B72">
        <f t="shared" si="3"/>
        <v>0.55338699999999996</v>
      </c>
      <c r="D72" s="10"/>
    </row>
    <row r="73" spans="1:4" x14ac:dyDescent="0.25">
      <c r="A73" t="str">
        <f t="shared" si="2"/>
        <v>0.554</v>
      </c>
      <c r="B73">
        <f t="shared" si="3"/>
        <v>0.55438699999999996</v>
      </c>
      <c r="D73" s="10"/>
    </row>
    <row r="74" spans="1:4" x14ac:dyDescent="0.25">
      <c r="A74" t="str">
        <f t="shared" si="2"/>
        <v>0.555</v>
      </c>
      <c r="B74">
        <f t="shared" si="3"/>
        <v>0.55538699999999996</v>
      </c>
      <c r="D74" s="10"/>
    </row>
    <row r="75" spans="1:4" x14ac:dyDescent="0.25">
      <c r="A75" t="str">
        <f t="shared" si="2"/>
        <v>0.556</v>
      </c>
      <c r="B75">
        <f t="shared" si="3"/>
        <v>0.55638699999999996</v>
      </c>
      <c r="D75" s="10"/>
    </row>
    <row r="76" spans="1:4" x14ac:dyDescent="0.25">
      <c r="A76" t="str">
        <f t="shared" si="2"/>
        <v>0.557</v>
      </c>
      <c r="B76">
        <f t="shared" si="3"/>
        <v>0.55738699999999997</v>
      </c>
      <c r="D76" s="10"/>
    </row>
    <row r="77" spans="1:4" x14ac:dyDescent="0.25">
      <c r="A77" t="str">
        <f t="shared" si="2"/>
        <v>0.558</v>
      </c>
      <c r="B77">
        <f t="shared" si="3"/>
        <v>0.55838699999999997</v>
      </c>
      <c r="D77" s="10"/>
    </row>
    <row r="78" spans="1:4" x14ac:dyDescent="0.25">
      <c r="A78" t="str">
        <f t="shared" si="2"/>
        <v>0.559</v>
      </c>
      <c r="B78">
        <f t="shared" si="3"/>
        <v>0.55938699999999997</v>
      </c>
      <c r="D78" s="10"/>
    </row>
    <row r="79" spans="1:4" x14ac:dyDescent="0.25">
      <c r="A79" t="str">
        <f t="shared" si="2"/>
        <v>0.560</v>
      </c>
      <c r="B79">
        <f t="shared" si="3"/>
        <v>0.56038699999999997</v>
      </c>
      <c r="D79" s="10"/>
    </row>
    <row r="80" spans="1:4" x14ac:dyDescent="0.25">
      <c r="A80" t="str">
        <f t="shared" si="2"/>
        <v>0.561</v>
      </c>
      <c r="B80">
        <f t="shared" si="3"/>
        <v>0.56138699999999997</v>
      </c>
      <c r="D80" s="10"/>
    </row>
    <row r="81" spans="1:4" x14ac:dyDescent="0.25">
      <c r="A81" t="str">
        <f t="shared" si="2"/>
        <v>0.562</v>
      </c>
      <c r="B81">
        <f t="shared" si="3"/>
        <v>0.56238699999999997</v>
      </c>
      <c r="D81" s="10"/>
    </row>
    <row r="82" spans="1:4" x14ac:dyDescent="0.25">
      <c r="A82" t="str">
        <f t="shared" si="2"/>
        <v>0.563</v>
      </c>
      <c r="B82">
        <f t="shared" si="3"/>
        <v>0.56338699999999997</v>
      </c>
      <c r="D82" s="10"/>
    </row>
    <row r="83" spans="1:4" x14ac:dyDescent="0.25">
      <c r="A83" t="str">
        <f t="shared" si="2"/>
        <v>0.564</v>
      </c>
      <c r="B83">
        <f t="shared" si="3"/>
        <v>0.56438699999999997</v>
      </c>
      <c r="D83" s="10"/>
    </row>
    <row r="84" spans="1:4" x14ac:dyDescent="0.25">
      <c r="A84" t="str">
        <f t="shared" si="2"/>
        <v>0.565</v>
      </c>
      <c r="B84">
        <f t="shared" si="3"/>
        <v>0.56538699999999997</v>
      </c>
      <c r="D84" s="10"/>
    </row>
    <row r="85" spans="1:4" x14ac:dyDescent="0.25">
      <c r="A85" t="str">
        <f t="shared" si="2"/>
        <v>0.566</v>
      </c>
      <c r="B85">
        <f t="shared" si="3"/>
        <v>0.56638699999999997</v>
      </c>
      <c r="D85" s="10"/>
    </row>
    <row r="86" spans="1:4" x14ac:dyDescent="0.25">
      <c r="A86" t="str">
        <f t="shared" si="2"/>
        <v>0.567</v>
      </c>
      <c r="B86">
        <f t="shared" si="3"/>
        <v>0.56738699999999997</v>
      </c>
      <c r="D86" s="10"/>
    </row>
    <row r="87" spans="1:4" x14ac:dyDescent="0.25">
      <c r="A87" t="str">
        <f t="shared" si="2"/>
        <v>0.568</v>
      </c>
      <c r="B87">
        <f t="shared" si="3"/>
        <v>0.56838699999999998</v>
      </c>
      <c r="D87" s="10"/>
    </row>
    <row r="88" spans="1:4" x14ac:dyDescent="0.25">
      <c r="A88" t="str">
        <f t="shared" si="2"/>
        <v>0.569</v>
      </c>
      <c r="B88">
        <f t="shared" si="3"/>
        <v>0.56938699999999998</v>
      </c>
      <c r="D88" s="10"/>
    </row>
    <row r="89" spans="1:4" x14ac:dyDescent="0.25">
      <c r="A89" t="str">
        <f t="shared" si="2"/>
        <v>0.570</v>
      </c>
      <c r="B89">
        <f t="shared" si="3"/>
        <v>0.57038699999999998</v>
      </c>
      <c r="D89" s="10"/>
    </row>
    <row r="90" spans="1:4" x14ac:dyDescent="0.25">
      <c r="A90" t="str">
        <f t="shared" si="2"/>
        <v>0.571</v>
      </c>
      <c r="B90">
        <f t="shared" si="3"/>
        <v>0.57138699999999998</v>
      </c>
      <c r="D90" s="10"/>
    </row>
    <row r="91" spans="1:4" x14ac:dyDescent="0.25">
      <c r="A91" t="str">
        <f t="shared" si="2"/>
        <v>0.572</v>
      </c>
      <c r="B91">
        <f t="shared" si="3"/>
        <v>0.57238699999999998</v>
      </c>
      <c r="D91" s="10"/>
    </row>
    <row r="92" spans="1:4" x14ac:dyDescent="0.25">
      <c r="A92" t="str">
        <f t="shared" si="2"/>
        <v>0.573</v>
      </c>
      <c r="B92">
        <f t="shared" si="3"/>
        <v>0.57338699999999998</v>
      </c>
      <c r="D92" s="10"/>
    </row>
    <row r="93" spans="1:4" x14ac:dyDescent="0.25">
      <c r="A93" t="str">
        <f t="shared" si="2"/>
        <v>0.574</v>
      </c>
      <c r="B93">
        <f t="shared" si="3"/>
        <v>0.57438699999999998</v>
      </c>
      <c r="D93" s="10"/>
    </row>
    <row r="94" spans="1:4" x14ac:dyDescent="0.25">
      <c r="A94" t="str">
        <f t="shared" si="2"/>
        <v>0.575</v>
      </c>
      <c r="B94">
        <f t="shared" si="3"/>
        <v>0.57538699999999998</v>
      </c>
      <c r="D94" s="10"/>
    </row>
    <row r="95" spans="1:4" x14ac:dyDescent="0.25">
      <c r="A95" t="str">
        <f t="shared" si="2"/>
        <v>0.576</v>
      </c>
      <c r="B95">
        <f t="shared" si="3"/>
        <v>0.57638699999999998</v>
      </c>
      <c r="D95" s="10"/>
    </row>
    <row r="96" spans="1:4" x14ac:dyDescent="0.25">
      <c r="A96" t="str">
        <f t="shared" si="2"/>
        <v>0.577</v>
      </c>
      <c r="B96">
        <f t="shared" si="3"/>
        <v>0.57738699999999998</v>
      </c>
      <c r="D96" s="10"/>
    </row>
    <row r="97" spans="1:4" x14ac:dyDescent="0.25">
      <c r="A97" t="str">
        <f t="shared" si="2"/>
        <v>0.578</v>
      </c>
      <c r="B97">
        <f t="shared" si="3"/>
        <v>0.57838699999999998</v>
      </c>
      <c r="D97" s="10"/>
    </row>
    <row r="98" spans="1:4" x14ac:dyDescent="0.25">
      <c r="A98" t="str">
        <f t="shared" si="2"/>
        <v>0.579</v>
      </c>
      <c r="B98">
        <f t="shared" si="3"/>
        <v>0.57938699999999999</v>
      </c>
      <c r="D98" s="10"/>
    </row>
    <row r="99" spans="1:4" x14ac:dyDescent="0.25">
      <c r="A99" t="str">
        <f t="shared" si="2"/>
        <v>0.580</v>
      </c>
      <c r="B99">
        <f t="shared" si="3"/>
        <v>0.58038699999999999</v>
      </c>
      <c r="D99" s="10"/>
    </row>
    <row r="100" spans="1:4" x14ac:dyDescent="0.25">
      <c r="A100" t="str">
        <f t="shared" si="2"/>
        <v>0.581</v>
      </c>
      <c r="B100">
        <f t="shared" si="3"/>
        <v>0.58138699999999999</v>
      </c>
      <c r="D100" s="10"/>
    </row>
    <row r="101" spans="1:4" x14ac:dyDescent="0.25">
      <c r="A101" t="str">
        <f t="shared" si="2"/>
        <v>0.582</v>
      </c>
      <c r="B101">
        <f t="shared" si="3"/>
        <v>0.58238699999999999</v>
      </c>
      <c r="D101" s="10"/>
    </row>
    <row r="102" spans="1:4" x14ac:dyDescent="0.25">
      <c r="A102" t="str">
        <f t="shared" si="2"/>
        <v>0.583</v>
      </c>
      <c r="B102">
        <f t="shared" si="3"/>
        <v>0.58338699999999999</v>
      </c>
      <c r="D102" s="10"/>
    </row>
    <row r="103" spans="1:4" x14ac:dyDescent="0.25">
      <c r="A103" t="str">
        <f t="shared" si="2"/>
        <v>0.584</v>
      </c>
      <c r="B103">
        <f t="shared" si="3"/>
        <v>0.58438699999999999</v>
      </c>
      <c r="D103" s="10"/>
    </row>
    <row r="104" spans="1:4" x14ac:dyDescent="0.25">
      <c r="A104" t="str">
        <f t="shared" si="2"/>
        <v>0.585</v>
      </c>
      <c r="B104">
        <f t="shared" si="3"/>
        <v>0.58538699999999999</v>
      </c>
      <c r="D104" s="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eet17.heston_change_kappa2">
                <anchor moveWithCells="1" sizeWithCells="1">
                  <from>
                    <xdr:col>4</xdr:col>
                    <xdr:colOff>333375</xdr:colOff>
                    <xdr:row>3</xdr:row>
                    <xdr:rowOff>47625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K104"/>
  <sheetViews>
    <sheetView workbookViewId="0">
      <selection activeCell="J5" sqref="J5"/>
    </sheetView>
  </sheetViews>
  <sheetFormatPr defaultRowHeight="15" x14ac:dyDescent="0.25"/>
  <cols>
    <col min="2" max="2" width="14.42578125" bestFit="1" customWidth="1"/>
    <col min="3" max="3" width="15.140625" bestFit="1" customWidth="1"/>
    <col min="4" max="4" width="12" bestFit="1" customWidth="1"/>
  </cols>
  <sheetData>
    <row r="1" spans="1:11" x14ac:dyDescent="0.25">
      <c r="B1" t="s">
        <v>92</v>
      </c>
      <c r="C1">
        <f>'Parameter Page'!H14</f>
        <v>0.48508600000000002</v>
      </c>
      <c r="E1">
        <f>C1-0.05</f>
        <v>0.43508600000000003</v>
      </c>
      <c r="F1">
        <f>C1+0.05</f>
        <v>0.53508600000000006</v>
      </c>
    </row>
    <row r="2" spans="1:11" x14ac:dyDescent="0.25">
      <c r="C2" t="s">
        <v>54</v>
      </c>
      <c r="D2">
        <f>COUNT(B4:B104)</f>
        <v>101</v>
      </c>
      <c r="J2" t="s">
        <v>55</v>
      </c>
    </row>
    <row r="3" spans="1:11" x14ac:dyDescent="0.25">
      <c r="B3" t="s">
        <v>93</v>
      </c>
      <c r="C3" t="s">
        <v>57</v>
      </c>
      <c r="I3" t="str">
        <f>B3</f>
        <v>kappa 3</v>
      </c>
      <c r="J3" t="s">
        <v>57</v>
      </c>
      <c r="K3" t="s">
        <v>59</v>
      </c>
    </row>
    <row r="4" spans="1:11" x14ac:dyDescent="0.25">
      <c r="A4" t="str">
        <f>TEXT(B4,"0.000")</f>
        <v>0.435</v>
      </c>
      <c r="B4">
        <f>E1</f>
        <v>0.43508600000000003</v>
      </c>
      <c r="I4" s="13">
        <f>C1-0.01</f>
        <v>0.47508600000000001</v>
      </c>
      <c r="J4">
        <v>887.15331401465608</v>
      </c>
      <c r="K4" t="s">
        <v>60</v>
      </c>
    </row>
    <row r="5" spans="1:11" x14ac:dyDescent="0.25">
      <c r="A5" t="str">
        <f t="shared" ref="A5:A68" si="0">TEXT(B5,"0.000")</f>
        <v>0.436</v>
      </c>
      <c r="B5">
        <f>B4+0.001</f>
        <v>0.43608600000000003</v>
      </c>
      <c r="D5" s="10"/>
      <c r="I5" s="13">
        <f>C1</f>
        <v>0.48508600000000002</v>
      </c>
      <c r="J5">
        <v>887.1663665656755</v>
      </c>
      <c r="K5" s="11">
        <f>(J5-J4)/J4</f>
        <v>1.4712847050483825E-5</v>
      </c>
    </row>
    <row r="6" spans="1:11" x14ac:dyDescent="0.25">
      <c r="A6" t="str">
        <f t="shared" si="0"/>
        <v>0.437</v>
      </c>
      <c r="B6">
        <f t="shared" ref="B6:B69" si="1">B5+0.001</f>
        <v>0.43708600000000003</v>
      </c>
      <c r="D6" s="10"/>
      <c r="I6" s="13">
        <f>C1+0.01</f>
        <v>0.49508600000000003</v>
      </c>
      <c r="J6">
        <v>886.28363501729359</v>
      </c>
      <c r="K6" s="11">
        <f>(J6-J5)/J5</f>
        <v>-9.9500114256931174E-4</v>
      </c>
    </row>
    <row r="7" spans="1:11" x14ac:dyDescent="0.25">
      <c r="A7" t="str">
        <f t="shared" si="0"/>
        <v>0.438</v>
      </c>
      <c r="B7">
        <f t="shared" si="1"/>
        <v>0.43808600000000003</v>
      </c>
      <c r="D7" s="10"/>
    </row>
    <row r="8" spans="1:11" x14ac:dyDescent="0.25">
      <c r="A8" t="str">
        <f t="shared" si="0"/>
        <v>0.439</v>
      </c>
      <c r="B8">
        <f t="shared" si="1"/>
        <v>0.43908600000000003</v>
      </c>
      <c r="D8" s="10"/>
    </row>
    <row r="9" spans="1:11" x14ac:dyDescent="0.25">
      <c r="A9" t="str">
        <f t="shared" si="0"/>
        <v>0.440</v>
      </c>
      <c r="B9">
        <f t="shared" si="1"/>
        <v>0.44008600000000003</v>
      </c>
      <c r="D9" s="10"/>
    </row>
    <row r="10" spans="1:11" x14ac:dyDescent="0.25">
      <c r="A10" t="str">
        <f t="shared" si="0"/>
        <v>0.441</v>
      </c>
      <c r="B10">
        <f t="shared" si="1"/>
        <v>0.44108600000000003</v>
      </c>
      <c r="D10" s="10"/>
    </row>
    <row r="11" spans="1:11" x14ac:dyDescent="0.25">
      <c r="A11" t="str">
        <f t="shared" si="0"/>
        <v>0.442</v>
      </c>
      <c r="B11">
        <f t="shared" si="1"/>
        <v>0.44208600000000003</v>
      </c>
      <c r="D11" s="10"/>
    </row>
    <row r="12" spans="1:11" x14ac:dyDescent="0.25">
      <c r="A12" t="str">
        <f t="shared" si="0"/>
        <v>0.443</v>
      </c>
      <c r="B12">
        <f t="shared" si="1"/>
        <v>0.44308600000000004</v>
      </c>
      <c r="D12" s="10"/>
    </row>
    <row r="13" spans="1:11" x14ac:dyDescent="0.25">
      <c r="A13" t="str">
        <f t="shared" si="0"/>
        <v>0.444</v>
      </c>
      <c r="B13">
        <f t="shared" si="1"/>
        <v>0.44408600000000004</v>
      </c>
      <c r="D13" s="10"/>
    </row>
    <row r="14" spans="1:11" x14ac:dyDescent="0.25">
      <c r="A14" t="str">
        <f t="shared" si="0"/>
        <v>0.445</v>
      </c>
      <c r="B14">
        <f t="shared" si="1"/>
        <v>0.44508600000000004</v>
      </c>
      <c r="D14" s="10"/>
    </row>
    <row r="15" spans="1:11" x14ac:dyDescent="0.25">
      <c r="A15" t="str">
        <f t="shared" si="0"/>
        <v>0.446</v>
      </c>
      <c r="B15">
        <f t="shared" si="1"/>
        <v>0.44608600000000004</v>
      </c>
      <c r="D15" s="10"/>
    </row>
    <row r="16" spans="1:11" x14ac:dyDescent="0.25">
      <c r="A16" t="str">
        <f t="shared" si="0"/>
        <v>0.447</v>
      </c>
      <c r="B16">
        <f t="shared" si="1"/>
        <v>0.44708600000000004</v>
      </c>
      <c r="D16" s="10"/>
    </row>
    <row r="17" spans="1:4" x14ac:dyDescent="0.25">
      <c r="A17" t="str">
        <f t="shared" si="0"/>
        <v>0.448</v>
      </c>
      <c r="B17">
        <f t="shared" si="1"/>
        <v>0.44808600000000004</v>
      </c>
      <c r="D17" s="10"/>
    </row>
    <row r="18" spans="1:4" x14ac:dyDescent="0.25">
      <c r="A18" t="str">
        <f t="shared" si="0"/>
        <v>0.449</v>
      </c>
      <c r="B18">
        <f t="shared" si="1"/>
        <v>0.44908600000000004</v>
      </c>
      <c r="D18" s="10"/>
    </row>
    <row r="19" spans="1:4" x14ac:dyDescent="0.25">
      <c r="A19" t="str">
        <f t="shared" si="0"/>
        <v>0.450</v>
      </c>
      <c r="B19">
        <f t="shared" si="1"/>
        <v>0.45008600000000004</v>
      </c>
      <c r="D19" s="10"/>
    </row>
    <row r="20" spans="1:4" x14ac:dyDescent="0.25">
      <c r="A20" t="str">
        <f t="shared" si="0"/>
        <v>0.451</v>
      </c>
      <c r="B20">
        <f t="shared" si="1"/>
        <v>0.45108600000000004</v>
      </c>
      <c r="D20" s="10"/>
    </row>
    <row r="21" spans="1:4" x14ac:dyDescent="0.25">
      <c r="A21" t="str">
        <f t="shared" si="0"/>
        <v>0.452</v>
      </c>
      <c r="B21">
        <f t="shared" si="1"/>
        <v>0.45208600000000004</v>
      </c>
      <c r="D21" s="10"/>
    </row>
    <row r="22" spans="1:4" x14ac:dyDescent="0.25">
      <c r="A22" t="str">
        <f t="shared" si="0"/>
        <v>0.453</v>
      </c>
      <c r="B22">
        <f t="shared" si="1"/>
        <v>0.45308600000000004</v>
      </c>
      <c r="D22" s="10"/>
    </row>
    <row r="23" spans="1:4" x14ac:dyDescent="0.25">
      <c r="A23" t="str">
        <f t="shared" si="0"/>
        <v>0.454</v>
      </c>
      <c r="B23">
        <f t="shared" si="1"/>
        <v>0.45408600000000005</v>
      </c>
      <c r="D23" s="10"/>
    </row>
    <row r="24" spans="1:4" x14ac:dyDescent="0.25">
      <c r="A24" t="str">
        <f t="shared" si="0"/>
        <v>0.455</v>
      </c>
      <c r="B24">
        <f t="shared" si="1"/>
        <v>0.45508600000000005</v>
      </c>
      <c r="D24" s="10"/>
    </row>
    <row r="25" spans="1:4" x14ac:dyDescent="0.25">
      <c r="A25" t="str">
        <f t="shared" si="0"/>
        <v>0.456</v>
      </c>
      <c r="B25">
        <f t="shared" si="1"/>
        <v>0.45608600000000005</v>
      </c>
      <c r="D25" s="10"/>
    </row>
    <row r="26" spans="1:4" x14ac:dyDescent="0.25">
      <c r="A26" t="str">
        <f t="shared" si="0"/>
        <v>0.457</v>
      </c>
      <c r="B26">
        <f t="shared" si="1"/>
        <v>0.45708600000000005</v>
      </c>
      <c r="D26" s="10"/>
    </row>
    <row r="27" spans="1:4" x14ac:dyDescent="0.25">
      <c r="A27" t="str">
        <f t="shared" si="0"/>
        <v>0.458</v>
      </c>
      <c r="B27">
        <f t="shared" si="1"/>
        <v>0.45808600000000005</v>
      </c>
      <c r="D27" s="10"/>
    </row>
    <row r="28" spans="1:4" x14ac:dyDescent="0.25">
      <c r="A28" t="str">
        <f t="shared" si="0"/>
        <v>0.459</v>
      </c>
      <c r="B28">
        <f t="shared" si="1"/>
        <v>0.45908600000000005</v>
      </c>
      <c r="D28" s="10"/>
    </row>
    <row r="29" spans="1:4" x14ac:dyDescent="0.25">
      <c r="A29" t="str">
        <f t="shared" si="0"/>
        <v>0.460</v>
      </c>
      <c r="B29">
        <f t="shared" si="1"/>
        <v>0.46008600000000005</v>
      </c>
      <c r="D29" s="10"/>
    </row>
    <row r="30" spans="1:4" x14ac:dyDescent="0.25">
      <c r="A30" t="str">
        <f t="shared" si="0"/>
        <v>0.461</v>
      </c>
      <c r="B30">
        <f t="shared" si="1"/>
        <v>0.46108600000000005</v>
      </c>
      <c r="D30" s="10"/>
    </row>
    <row r="31" spans="1:4" x14ac:dyDescent="0.25">
      <c r="A31" t="str">
        <f t="shared" si="0"/>
        <v>0.462</v>
      </c>
      <c r="B31">
        <f t="shared" si="1"/>
        <v>0.46208600000000005</v>
      </c>
      <c r="D31" s="10"/>
    </row>
    <row r="32" spans="1:4" x14ac:dyDescent="0.25">
      <c r="A32" t="str">
        <f t="shared" si="0"/>
        <v>0.463</v>
      </c>
      <c r="B32">
        <f t="shared" si="1"/>
        <v>0.46308600000000005</v>
      </c>
      <c r="D32" s="10"/>
    </row>
    <row r="33" spans="1:4" x14ac:dyDescent="0.25">
      <c r="A33" t="str">
        <f t="shared" si="0"/>
        <v>0.464</v>
      </c>
      <c r="B33">
        <f t="shared" si="1"/>
        <v>0.46408600000000005</v>
      </c>
      <c r="D33" s="10"/>
    </row>
    <row r="34" spans="1:4" x14ac:dyDescent="0.25">
      <c r="A34" t="str">
        <f t="shared" si="0"/>
        <v>0.465</v>
      </c>
      <c r="B34">
        <f t="shared" si="1"/>
        <v>0.46508600000000005</v>
      </c>
      <c r="D34" s="10"/>
    </row>
    <row r="35" spans="1:4" x14ac:dyDescent="0.25">
      <c r="A35" t="str">
        <f t="shared" si="0"/>
        <v>0.466</v>
      </c>
      <c r="B35">
        <f t="shared" si="1"/>
        <v>0.46608600000000006</v>
      </c>
      <c r="D35" s="10"/>
    </row>
    <row r="36" spans="1:4" x14ac:dyDescent="0.25">
      <c r="A36" t="str">
        <f t="shared" si="0"/>
        <v>0.467</v>
      </c>
      <c r="B36">
        <f t="shared" si="1"/>
        <v>0.46708600000000006</v>
      </c>
      <c r="D36" s="10"/>
    </row>
    <row r="37" spans="1:4" x14ac:dyDescent="0.25">
      <c r="A37" t="str">
        <f t="shared" si="0"/>
        <v>0.468</v>
      </c>
      <c r="B37">
        <f t="shared" si="1"/>
        <v>0.46808600000000006</v>
      </c>
      <c r="D37" s="10"/>
    </row>
    <row r="38" spans="1:4" x14ac:dyDescent="0.25">
      <c r="A38" t="str">
        <f t="shared" si="0"/>
        <v>0.469</v>
      </c>
      <c r="B38">
        <f t="shared" si="1"/>
        <v>0.46908600000000006</v>
      </c>
      <c r="D38" s="10"/>
    </row>
    <row r="39" spans="1:4" x14ac:dyDescent="0.25">
      <c r="A39" t="str">
        <f t="shared" si="0"/>
        <v>0.470</v>
      </c>
      <c r="B39">
        <f t="shared" si="1"/>
        <v>0.47008600000000006</v>
      </c>
      <c r="D39" s="10"/>
    </row>
    <row r="40" spans="1:4" x14ac:dyDescent="0.25">
      <c r="A40" t="str">
        <f t="shared" si="0"/>
        <v>0.471</v>
      </c>
      <c r="B40">
        <f t="shared" si="1"/>
        <v>0.47108600000000006</v>
      </c>
      <c r="D40" s="10"/>
    </row>
    <row r="41" spans="1:4" x14ac:dyDescent="0.25">
      <c r="A41" t="str">
        <f t="shared" si="0"/>
        <v>0.472</v>
      </c>
      <c r="B41">
        <f t="shared" si="1"/>
        <v>0.47208600000000006</v>
      </c>
      <c r="D41" s="10"/>
    </row>
    <row r="42" spans="1:4" x14ac:dyDescent="0.25">
      <c r="A42" t="str">
        <f t="shared" si="0"/>
        <v>0.473</v>
      </c>
      <c r="B42">
        <f t="shared" si="1"/>
        <v>0.47308600000000006</v>
      </c>
      <c r="D42" s="10"/>
    </row>
    <row r="43" spans="1:4" x14ac:dyDescent="0.25">
      <c r="A43" t="str">
        <f t="shared" si="0"/>
        <v>0.474</v>
      </c>
      <c r="B43">
        <f t="shared" si="1"/>
        <v>0.47408600000000006</v>
      </c>
      <c r="D43" s="10"/>
    </row>
    <row r="44" spans="1:4" x14ac:dyDescent="0.25">
      <c r="A44" t="str">
        <f t="shared" si="0"/>
        <v>0.475</v>
      </c>
      <c r="B44">
        <f t="shared" si="1"/>
        <v>0.47508600000000006</v>
      </c>
      <c r="D44" s="10"/>
    </row>
    <row r="45" spans="1:4" x14ac:dyDescent="0.25">
      <c r="A45" t="str">
        <f t="shared" si="0"/>
        <v>0.476</v>
      </c>
      <c r="B45">
        <f t="shared" si="1"/>
        <v>0.47608600000000006</v>
      </c>
      <c r="D45" s="10"/>
    </row>
    <row r="46" spans="1:4" x14ac:dyDescent="0.25">
      <c r="A46" t="str">
        <f t="shared" si="0"/>
        <v>0.477</v>
      </c>
      <c r="B46">
        <f t="shared" si="1"/>
        <v>0.47708600000000007</v>
      </c>
      <c r="D46" s="10"/>
    </row>
    <row r="47" spans="1:4" x14ac:dyDescent="0.25">
      <c r="A47" t="str">
        <f t="shared" si="0"/>
        <v>0.478</v>
      </c>
      <c r="B47">
        <f t="shared" si="1"/>
        <v>0.47808600000000007</v>
      </c>
      <c r="D47" s="10"/>
    </row>
    <row r="48" spans="1:4" x14ac:dyDescent="0.25">
      <c r="A48" t="str">
        <f t="shared" si="0"/>
        <v>0.479</v>
      </c>
      <c r="B48">
        <f t="shared" si="1"/>
        <v>0.47908600000000007</v>
      </c>
      <c r="D48" s="10"/>
    </row>
    <row r="49" spans="1:4" x14ac:dyDescent="0.25">
      <c r="A49" t="str">
        <f t="shared" si="0"/>
        <v>0.480</v>
      </c>
      <c r="B49">
        <f t="shared" si="1"/>
        <v>0.48008600000000007</v>
      </c>
      <c r="D49" s="10"/>
    </row>
    <row r="50" spans="1:4" x14ac:dyDescent="0.25">
      <c r="A50" t="str">
        <f t="shared" si="0"/>
        <v>0.481</v>
      </c>
      <c r="B50">
        <f t="shared" si="1"/>
        <v>0.48108600000000007</v>
      </c>
      <c r="D50" s="10"/>
    </row>
    <row r="51" spans="1:4" x14ac:dyDescent="0.25">
      <c r="A51" t="str">
        <f t="shared" si="0"/>
        <v>0.482</v>
      </c>
      <c r="B51">
        <f t="shared" si="1"/>
        <v>0.48208600000000007</v>
      </c>
      <c r="D51" s="10"/>
    </row>
    <row r="52" spans="1:4" x14ac:dyDescent="0.25">
      <c r="A52" t="str">
        <f t="shared" si="0"/>
        <v>0.483</v>
      </c>
      <c r="B52">
        <f t="shared" si="1"/>
        <v>0.48308600000000007</v>
      </c>
      <c r="D52" s="10"/>
    </row>
    <row r="53" spans="1:4" x14ac:dyDescent="0.25">
      <c r="A53" t="str">
        <f t="shared" si="0"/>
        <v>0.484</v>
      </c>
      <c r="B53">
        <f t="shared" si="1"/>
        <v>0.48408600000000007</v>
      </c>
      <c r="D53" s="10"/>
    </row>
    <row r="54" spans="1:4" x14ac:dyDescent="0.25">
      <c r="A54" t="str">
        <f t="shared" si="0"/>
        <v>0.485</v>
      </c>
      <c r="B54">
        <f t="shared" si="1"/>
        <v>0.48508600000000007</v>
      </c>
      <c r="D54" s="10"/>
    </row>
    <row r="55" spans="1:4" x14ac:dyDescent="0.25">
      <c r="A55" t="str">
        <f t="shared" si="0"/>
        <v>0.486</v>
      </c>
      <c r="B55">
        <f t="shared" si="1"/>
        <v>0.48608600000000007</v>
      </c>
      <c r="D55" s="10"/>
    </row>
    <row r="56" spans="1:4" x14ac:dyDescent="0.25">
      <c r="A56" t="str">
        <f t="shared" si="0"/>
        <v>0.487</v>
      </c>
      <c r="B56">
        <f t="shared" si="1"/>
        <v>0.48708600000000007</v>
      </c>
      <c r="D56" s="10"/>
    </row>
    <row r="57" spans="1:4" x14ac:dyDescent="0.25">
      <c r="A57" t="str">
        <f t="shared" si="0"/>
        <v>0.488</v>
      </c>
      <c r="B57">
        <f t="shared" si="1"/>
        <v>0.48808600000000008</v>
      </c>
      <c r="D57" s="10"/>
    </row>
    <row r="58" spans="1:4" x14ac:dyDescent="0.25">
      <c r="A58" t="str">
        <f t="shared" si="0"/>
        <v>0.489</v>
      </c>
      <c r="B58">
        <f t="shared" si="1"/>
        <v>0.48908600000000008</v>
      </c>
      <c r="D58" s="10"/>
    </row>
    <row r="59" spans="1:4" x14ac:dyDescent="0.25">
      <c r="A59" t="str">
        <f t="shared" si="0"/>
        <v>0.490</v>
      </c>
      <c r="B59">
        <f t="shared" si="1"/>
        <v>0.49008600000000008</v>
      </c>
      <c r="D59" s="10"/>
    </row>
    <row r="60" spans="1:4" x14ac:dyDescent="0.25">
      <c r="A60" t="str">
        <f t="shared" si="0"/>
        <v>0.491</v>
      </c>
      <c r="B60">
        <f t="shared" si="1"/>
        <v>0.49108600000000008</v>
      </c>
      <c r="D60" s="10"/>
    </row>
    <row r="61" spans="1:4" x14ac:dyDescent="0.25">
      <c r="A61" t="str">
        <f t="shared" si="0"/>
        <v>0.492</v>
      </c>
      <c r="B61">
        <f t="shared" si="1"/>
        <v>0.49208600000000008</v>
      </c>
      <c r="D61" s="10"/>
    </row>
    <row r="62" spans="1:4" x14ac:dyDescent="0.25">
      <c r="A62" t="str">
        <f t="shared" si="0"/>
        <v>0.493</v>
      </c>
      <c r="B62">
        <f t="shared" si="1"/>
        <v>0.49308600000000008</v>
      </c>
      <c r="D62" s="10"/>
    </row>
    <row r="63" spans="1:4" x14ac:dyDescent="0.25">
      <c r="A63" t="str">
        <f t="shared" si="0"/>
        <v>0.494</v>
      </c>
      <c r="B63">
        <f t="shared" si="1"/>
        <v>0.49408600000000008</v>
      </c>
      <c r="D63" s="10"/>
    </row>
    <row r="64" spans="1:4" x14ac:dyDescent="0.25">
      <c r="A64" t="str">
        <f t="shared" si="0"/>
        <v>0.495</v>
      </c>
      <c r="B64">
        <f t="shared" si="1"/>
        <v>0.49508600000000008</v>
      </c>
      <c r="D64" s="10"/>
    </row>
    <row r="65" spans="1:4" x14ac:dyDescent="0.25">
      <c r="A65" t="str">
        <f t="shared" si="0"/>
        <v>0.496</v>
      </c>
      <c r="B65">
        <f t="shared" si="1"/>
        <v>0.49608600000000008</v>
      </c>
      <c r="D65" s="10"/>
    </row>
    <row r="66" spans="1:4" x14ac:dyDescent="0.25">
      <c r="A66" t="str">
        <f t="shared" si="0"/>
        <v>0.497</v>
      </c>
      <c r="B66">
        <f t="shared" si="1"/>
        <v>0.49708600000000008</v>
      </c>
      <c r="D66" s="10"/>
    </row>
    <row r="67" spans="1:4" x14ac:dyDescent="0.25">
      <c r="A67" t="str">
        <f t="shared" si="0"/>
        <v>0.498</v>
      </c>
      <c r="B67">
        <f t="shared" si="1"/>
        <v>0.49808600000000008</v>
      </c>
      <c r="D67" s="10"/>
    </row>
    <row r="68" spans="1:4" x14ac:dyDescent="0.25">
      <c r="A68" t="str">
        <f t="shared" si="0"/>
        <v>0.499</v>
      </c>
      <c r="B68">
        <f t="shared" si="1"/>
        <v>0.49908600000000009</v>
      </c>
      <c r="D68" s="10"/>
    </row>
    <row r="69" spans="1:4" x14ac:dyDescent="0.25">
      <c r="A69" t="str">
        <f t="shared" ref="A69:A104" si="2">TEXT(B69,"0.000")</f>
        <v>0.500</v>
      </c>
      <c r="B69">
        <f t="shared" si="1"/>
        <v>0.50008600000000003</v>
      </c>
      <c r="D69" s="10"/>
    </row>
    <row r="70" spans="1:4" x14ac:dyDescent="0.25">
      <c r="A70" t="str">
        <f t="shared" si="2"/>
        <v>0.501</v>
      </c>
      <c r="B70">
        <f t="shared" ref="B70:B104" si="3">B69+0.001</f>
        <v>0.50108600000000003</v>
      </c>
      <c r="D70" s="10"/>
    </row>
    <row r="71" spans="1:4" x14ac:dyDescent="0.25">
      <c r="A71" t="str">
        <f t="shared" si="2"/>
        <v>0.502</v>
      </c>
      <c r="B71">
        <f t="shared" si="3"/>
        <v>0.50208600000000003</v>
      </c>
      <c r="D71" s="10"/>
    </row>
    <row r="72" spans="1:4" x14ac:dyDescent="0.25">
      <c r="A72" t="str">
        <f t="shared" si="2"/>
        <v>0.503</v>
      </c>
      <c r="B72">
        <f t="shared" si="3"/>
        <v>0.50308600000000003</v>
      </c>
      <c r="D72" s="10"/>
    </row>
    <row r="73" spans="1:4" x14ac:dyDescent="0.25">
      <c r="A73" t="str">
        <f t="shared" si="2"/>
        <v>0.504</v>
      </c>
      <c r="B73">
        <f t="shared" si="3"/>
        <v>0.50408600000000003</v>
      </c>
      <c r="D73" s="10"/>
    </row>
    <row r="74" spans="1:4" x14ac:dyDescent="0.25">
      <c r="A74" t="str">
        <f t="shared" si="2"/>
        <v>0.505</v>
      </c>
      <c r="B74">
        <f t="shared" si="3"/>
        <v>0.50508600000000003</v>
      </c>
      <c r="D74" s="10"/>
    </row>
    <row r="75" spans="1:4" x14ac:dyDescent="0.25">
      <c r="A75" t="str">
        <f t="shared" si="2"/>
        <v>0.506</v>
      </c>
      <c r="B75">
        <f t="shared" si="3"/>
        <v>0.50608600000000004</v>
      </c>
      <c r="D75" s="10"/>
    </row>
    <row r="76" spans="1:4" x14ac:dyDescent="0.25">
      <c r="A76" t="str">
        <f t="shared" si="2"/>
        <v>0.507</v>
      </c>
      <c r="B76">
        <f t="shared" si="3"/>
        <v>0.50708600000000004</v>
      </c>
      <c r="D76" s="10"/>
    </row>
    <row r="77" spans="1:4" x14ac:dyDescent="0.25">
      <c r="A77" t="str">
        <f t="shared" si="2"/>
        <v>0.508</v>
      </c>
      <c r="B77">
        <f t="shared" si="3"/>
        <v>0.50808600000000004</v>
      </c>
      <c r="D77" s="10"/>
    </row>
    <row r="78" spans="1:4" x14ac:dyDescent="0.25">
      <c r="A78" t="str">
        <f t="shared" si="2"/>
        <v>0.509</v>
      </c>
      <c r="B78">
        <f t="shared" si="3"/>
        <v>0.50908600000000004</v>
      </c>
      <c r="D78" s="10"/>
    </row>
    <row r="79" spans="1:4" x14ac:dyDescent="0.25">
      <c r="A79" t="str">
        <f t="shared" si="2"/>
        <v>0.510</v>
      </c>
      <c r="B79">
        <f t="shared" si="3"/>
        <v>0.51008600000000004</v>
      </c>
      <c r="D79" s="10"/>
    </row>
    <row r="80" spans="1:4" x14ac:dyDescent="0.25">
      <c r="A80" t="str">
        <f t="shared" si="2"/>
        <v>0.511</v>
      </c>
      <c r="B80">
        <f t="shared" si="3"/>
        <v>0.51108600000000004</v>
      </c>
      <c r="D80" s="10"/>
    </row>
    <row r="81" spans="1:4" x14ac:dyDescent="0.25">
      <c r="A81" t="str">
        <f t="shared" si="2"/>
        <v>0.512</v>
      </c>
      <c r="B81">
        <f t="shared" si="3"/>
        <v>0.51208600000000004</v>
      </c>
      <c r="D81" s="10"/>
    </row>
    <row r="82" spans="1:4" x14ac:dyDescent="0.25">
      <c r="A82" t="str">
        <f t="shared" si="2"/>
        <v>0.513</v>
      </c>
      <c r="B82">
        <f t="shared" si="3"/>
        <v>0.51308600000000004</v>
      </c>
      <c r="D82" s="10"/>
    </row>
    <row r="83" spans="1:4" x14ac:dyDescent="0.25">
      <c r="A83" t="str">
        <f t="shared" si="2"/>
        <v>0.514</v>
      </c>
      <c r="B83">
        <f t="shared" si="3"/>
        <v>0.51408600000000004</v>
      </c>
      <c r="D83" s="10"/>
    </row>
    <row r="84" spans="1:4" x14ac:dyDescent="0.25">
      <c r="A84" t="str">
        <f t="shared" si="2"/>
        <v>0.515</v>
      </c>
      <c r="B84">
        <f t="shared" si="3"/>
        <v>0.51508600000000004</v>
      </c>
      <c r="D84" s="10"/>
    </row>
    <row r="85" spans="1:4" x14ac:dyDescent="0.25">
      <c r="A85" t="str">
        <f t="shared" si="2"/>
        <v>0.516</v>
      </c>
      <c r="B85">
        <f t="shared" si="3"/>
        <v>0.51608600000000004</v>
      </c>
      <c r="D85" s="10"/>
    </row>
    <row r="86" spans="1:4" x14ac:dyDescent="0.25">
      <c r="A86" t="str">
        <f t="shared" si="2"/>
        <v>0.517</v>
      </c>
      <c r="B86">
        <f t="shared" si="3"/>
        <v>0.51708600000000005</v>
      </c>
      <c r="D86" s="10"/>
    </row>
    <row r="87" spans="1:4" x14ac:dyDescent="0.25">
      <c r="A87" t="str">
        <f t="shared" si="2"/>
        <v>0.518</v>
      </c>
      <c r="B87">
        <f t="shared" si="3"/>
        <v>0.51808600000000005</v>
      </c>
      <c r="D87" s="10"/>
    </row>
    <row r="88" spans="1:4" x14ac:dyDescent="0.25">
      <c r="A88" t="str">
        <f t="shared" si="2"/>
        <v>0.519</v>
      </c>
      <c r="B88">
        <f t="shared" si="3"/>
        <v>0.51908600000000005</v>
      </c>
      <c r="D88" s="10"/>
    </row>
    <row r="89" spans="1:4" x14ac:dyDescent="0.25">
      <c r="A89" t="str">
        <f t="shared" si="2"/>
        <v>0.520</v>
      </c>
      <c r="B89">
        <f t="shared" si="3"/>
        <v>0.52008600000000005</v>
      </c>
      <c r="D89" s="10"/>
    </row>
    <row r="90" spans="1:4" x14ac:dyDescent="0.25">
      <c r="A90" t="str">
        <f t="shared" si="2"/>
        <v>0.521</v>
      </c>
      <c r="B90">
        <f t="shared" si="3"/>
        <v>0.52108600000000005</v>
      </c>
      <c r="D90" s="10"/>
    </row>
    <row r="91" spans="1:4" x14ac:dyDescent="0.25">
      <c r="A91" t="str">
        <f t="shared" si="2"/>
        <v>0.522</v>
      </c>
      <c r="B91">
        <f t="shared" si="3"/>
        <v>0.52208600000000005</v>
      </c>
      <c r="D91" s="10"/>
    </row>
    <row r="92" spans="1:4" x14ac:dyDescent="0.25">
      <c r="A92" t="str">
        <f t="shared" si="2"/>
        <v>0.523</v>
      </c>
      <c r="B92">
        <f t="shared" si="3"/>
        <v>0.52308600000000005</v>
      </c>
      <c r="D92" s="10"/>
    </row>
    <row r="93" spans="1:4" x14ac:dyDescent="0.25">
      <c r="A93" t="str">
        <f t="shared" si="2"/>
        <v>0.524</v>
      </c>
      <c r="B93">
        <f t="shared" si="3"/>
        <v>0.52408600000000005</v>
      </c>
      <c r="D93" s="10"/>
    </row>
    <row r="94" spans="1:4" x14ac:dyDescent="0.25">
      <c r="A94" t="str">
        <f t="shared" si="2"/>
        <v>0.525</v>
      </c>
      <c r="B94">
        <f t="shared" si="3"/>
        <v>0.52508600000000005</v>
      </c>
      <c r="D94" s="10"/>
    </row>
    <row r="95" spans="1:4" x14ac:dyDescent="0.25">
      <c r="A95" t="str">
        <f t="shared" si="2"/>
        <v>0.526</v>
      </c>
      <c r="B95">
        <f t="shared" si="3"/>
        <v>0.52608600000000005</v>
      </c>
      <c r="D95" s="10"/>
    </row>
    <row r="96" spans="1:4" x14ac:dyDescent="0.25">
      <c r="A96" t="str">
        <f t="shared" si="2"/>
        <v>0.527</v>
      </c>
      <c r="B96">
        <f t="shared" si="3"/>
        <v>0.52708600000000005</v>
      </c>
      <c r="D96" s="10"/>
    </row>
    <row r="97" spans="1:4" x14ac:dyDescent="0.25">
      <c r="A97" t="str">
        <f t="shared" si="2"/>
        <v>0.528</v>
      </c>
      <c r="B97">
        <f t="shared" si="3"/>
        <v>0.52808600000000006</v>
      </c>
      <c r="D97" s="10"/>
    </row>
    <row r="98" spans="1:4" x14ac:dyDescent="0.25">
      <c r="A98" t="str">
        <f t="shared" si="2"/>
        <v>0.529</v>
      </c>
      <c r="B98">
        <f t="shared" si="3"/>
        <v>0.52908600000000006</v>
      </c>
      <c r="D98" s="10"/>
    </row>
    <row r="99" spans="1:4" x14ac:dyDescent="0.25">
      <c r="A99" t="str">
        <f t="shared" si="2"/>
        <v>0.530</v>
      </c>
      <c r="B99">
        <f t="shared" si="3"/>
        <v>0.53008600000000006</v>
      </c>
      <c r="D99" s="10"/>
    </row>
    <row r="100" spans="1:4" x14ac:dyDescent="0.25">
      <c r="A100" t="str">
        <f t="shared" si="2"/>
        <v>0.531</v>
      </c>
      <c r="B100">
        <f t="shared" si="3"/>
        <v>0.53108600000000006</v>
      </c>
      <c r="D100" s="10"/>
    </row>
    <row r="101" spans="1:4" x14ac:dyDescent="0.25">
      <c r="A101" t="str">
        <f t="shared" si="2"/>
        <v>0.532</v>
      </c>
      <c r="B101">
        <f t="shared" si="3"/>
        <v>0.53208600000000006</v>
      </c>
      <c r="D101" s="10"/>
    </row>
    <row r="102" spans="1:4" x14ac:dyDescent="0.25">
      <c r="A102" t="str">
        <f t="shared" si="2"/>
        <v>0.533</v>
      </c>
      <c r="B102">
        <f t="shared" si="3"/>
        <v>0.53308600000000006</v>
      </c>
      <c r="D102" s="10"/>
    </row>
    <row r="103" spans="1:4" x14ac:dyDescent="0.25">
      <c r="A103" t="str">
        <f t="shared" si="2"/>
        <v>0.534</v>
      </c>
      <c r="B103">
        <f t="shared" si="3"/>
        <v>0.53408600000000006</v>
      </c>
      <c r="D103" s="10"/>
    </row>
    <row r="104" spans="1:4" x14ac:dyDescent="0.25">
      <c r="A104" t="str">
        <f t="shared" si="2"/>
        <v>0.535</v>
      </c>
      <c r="B104">
        <f t="shared" si="3"/>
        <v>0.53508600000000006</v>
      </c>
      <c r="D104" s="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Sheet18.heston_change_kappa3">
                <anchor moveWithCells="1" sizeWithCells="1">
                  <from>
                    <xdr:col>4</xdr:col>
                    <xdr:colOff>333375</xdr:colOff>
                    <xdr:row>3</xdr:row>
                    <xdr:rowOff>47625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K104"/>
  <sheetViews>
    <sheetView zoomScaleNormal="100" workbookViewId="0">
      <selection activeCell="G17" sqref="G17"/>
    </sheetView>
  </sheetViews>
  <sheetFormatPr defaultRowHeight="15" x14ac:dyDescent="0.25"/>
  <cols>
    <col min="2" max="2" width="15.7109375" bestFit="1" customWidth="1"/>
    <col min="3" max="3" width="15.140625" bestFit="1" customWidth="1"/>
  </cols>
  <sheetData>
    <row r="1" spans="1:11" x14ac:dyDescent="0.25">
      <c r="B1" t="s">
        <v>94</v>
      </c>
      <c r="C1">
        <f>'Parameter Page'!B5</f>
        <v>-6.1900000000000002E-3</v>
      </c>
      <c r="D1">
        <f>C1*100</f>
        <v>-0.61899999999999999</v>
      </c>
      <c r="E1">
        <f>C1-0.05</f>
        <v>-5.6190000000000004E-2</v>
      </c>
      <c r="F1">
        <f>C1+0.05</f>
        <v>4.3810000000000002E-2</v>
      </c>
    </row>
    <row r="2" spans="1:11" x14ac:dyDescent="0.25">
      <c r="C2" t="s">
        <v>54</v>
      </c>
      <c r="D2">
        <f>COUNT(B4:B204)</f>
        <v>101</v>
      </c>
      <c r="J2" t="s">
        <v>55</v>
      </c>
    </row>
    <row r="3" spans="1:11" x14ac:dyDescent="0.25">
      <c r="B3" t="s">
        <v>95</v>
      </c>
      <c r="C3" t="s">
        <v>57</v>
      </c>
      <c r="I3" t="str">
        <f>B3</f>
        <v>r1</v>
      </c>
      <c r="J3" t="s">
        <v>57</v>
      </c>
      <c r="K3" t="s">
        <v>59</v>
      </c>
    </row>
    <row r="4" spans="1:11" x14ac:dyDescent="0.25">
      <c r="A4" t="str">
        <f>TEXT(B4,"0.0000%")</f>
        <v>-5.6190%</v>
      </c>
      <c r="B4">
        <f>E1</f>
        <v>-5.6190000000000004E-2</v>
      </c>
      <c r="I4" s="13">
        <f>C1-0.01</f>
        <v>-1.619E-2</v>
      </c>
      <c r="J4">
        <v>811.65004055464021</v>
      </c>
      <c r="K4" t="s">
        <v>60</v>
      </c>
    </row>
    <row r="5" spans="1:11" x14ac:dyDescent="0.25">
      <c r="A5" t="str">
        <f t="shared" ref="A5:A68" si="0">TEXT(B5,"0.0000%")</f>
        <v>-5.5190%</v>
      </c>
      <c r="B5">
        <f>B4+0.001</f>
        <v>-5.5190000000000003E-2</v>
      </c>
      <c r="I5" s="13">
        <f>C1</f>
        <v>-6.1900000000000002E-3</v>
      </c>
      <c r="J5">
        <v>816.82946968352667</v>
      </c>
      <c r="K5" s="11">
        <f>(J5-J4)/J4</f>
        <v>6.3813575680315331E-3</v>
      </c>
    </row>
    <row r="6" spans="1:11" x14ac:dyDescent="0.25">
      <c r="A6" t="str">
        <f t="shared" si="0"/>
        <v>-5.4190%</v>
      </c>
      <c r="B6">
        <f t="shared" ref="B6:B69" si="1">B5+0.001</f>
        <v>-5.4190000000000002E-2</v>
      </c>
      <c r="I6" s="13">
        <f>C1+0.01</f>
        <v>3.81E-3</v>
      </c>
      <c r="J6">
        <v>821.36789193444986</v>
      </c>
      <c r="K6" s="11">
        <f>(J6-J5)/J5</f>
        <v>5.5561441149785673E-3</v>
      </c>
    </row>
    <row r="7" spans="1:11" x14ac:dyDescent="0.25">
      <c r="A7" t="str">
        <f t="shared" si="0"/>
        <v>-5.3190%</v>
      </c>
      <c r="B7">
        <f t="shared" si="1"/>
        <v>-5.3190000000000001E-2</v>
      </c>
    </row>
    <row r="8" spans="1:11" x14ac:dyDescent="0.25">
      <c r="A8" t="str">
        <f t="shared" si="0"/>
        <v>-5.2190%</v>
      </c>
      <c r="B8">
        <f t="shared" si="1"/>
        <v>-5.219E-2</v>
      </c>
    </row>
    <row r="9" spans="1:11" x14ac:dyDescent="0.25">
      <c r="A9" t="str">
        <f t="shared" si="0"/>
        <v>-5.1190%</v>
      </c>
      <c r="B9">
        <f t="shared" si="1"/>
        <v>-5.1189999999999999E-2</v>
      </c>
    </row>
    <row r="10" spans="1:11" x14ac:dyDescent="0.25">
      <c r="A10" t="str">
        <f t="shared" si="0"/>
        <v>-5.0190%</v>
      </c>
      <c r="B10">
        <f t="shared" si="1"/>
        <v>-5.0189999999999999E-2</v>
      </c>
    </row>
    <row r="11" spans="1:11" x14ac:dyDescent="0.25">
      <c r="A11" t="str">
        <f t="shared" si="0"/>
        <v>-4.9190%</v>
      </c>
      <c r="B11">
        <f t="shared" si="1"/>
        <v>-4.9189999999999998E-2</v>
      </c>
    </row>
    <row r="12" spans="1:11" x14ac:dyDescent="0.25">
      <c r="A12" t="str">
        <f t="shared" si="0"/>
        <v>-4.8190%</v>
      </c>
      <c r="B12">
        <f t="shared" si="1"/>
        <v>-4.8189999999999997E-2</v>
      </c>
    </row>
    <row r="13" spans="1:11" x14ac:dyDescent="0.25">
      <c r="A13" t="str">
        <f t="shared" si="0"/>
        <v>-4.7190%</v>
      </c>
      <c r="B13">
        <f t="shared" si="1"/>
        <v>-4.7189999999999996E-2</v>
      </c>
    </row>
    <row r="14" spans="1:11" x14ac:dyDescent="0.25">
      <c r="A14" t="str">
        <f t="shared" si="0"/>
        <v>-4.6190%</v>
      </c>
      <c r="B14">
        <f t="shared" si="1"/>
        <v>-4.6189999999999995E-2</v>
      </c>
    </row>
    <row r="15" spans="1:11" x14ac:dyDescent="0.25">
      <c r="A15" t="str">
        <f t="shared" si="0"/>
        <v>-4.5190%</v>
      </c>
      <c r="B15">
        <f t="shared" si="1"/>
        <v>-4.5189999999999994E-2</v>
      </c>
    </row>
    <row r="16" spans="1:11" x14ac:dyDescent="0.25">
      <c r="A16" t="str">
        <f t="shared" si="0"/>
        <v>-4.4190%</v>
      </c>
      <c r="B16">
        <f t="shared" si="1"/>
        <v>-4.4189999999999993E-2</v>
      </c>
    </row>
    <row r="17" spans="1:2" x14ac:dyDescent="0.25">
      <c r="A17" t="str">
        <f t="shared" si="0"/>
        <v>-4.3190%</v>
      </c>
      <c r="B17">
        <f t="shared" si="1"/>
        <v>-4.3189999999999992E-2</v>
      </c>
    </row>
    <row r="18" spans="1:2" x14ac:dyDescent="0.25">
      <c r="A18" t="str">
        <f t="shared" si="0"/>
        <v>-4.2190%</v>
      </c>
      <c r="B18">
        <f t="shared" si="1"/>
        <v>-4.2189999999999991E-2</v>
      </c>
    </row>
    <row r="19" spans="1:2" x14ac:dyDescent="0.25">
      <c r="A19" t="str">
        <f t="shared" si="0"/>
        <v>-4.1190%</v>
      </c>
      <c r="B19">
        <f t="shared" si="1"/>
        <v>-4.1189999999999991E-2</v>
      </c>
    </row>
    <row r="20" spans="1:2" x14ac:dyDescent="0.25">
      <c r="A20" t="str">
        <f t="shared" si="0"/>
        <v>-4.0190%</v>
      </c>
      <c r="B20">
        <f t="shared" si="1"/>
        <v>-4.018999999999999E-2</v>
      </c>
    </row>
    <row r="21" spans="1:2" x14ac:dyDescent="0.25">
      <c r="A21" t="str">
        <f t="shared" si="0"/>
        <v>-3.9190%</v>
      </c>
      <c r="B21">
        <f t="shared" si="1"/>
        <v>-3.9189999999999989E-2</v>
      </c>
    </row>
    <row r="22" spans="1:2" x14ac:dyDescent="0.25">
      <c r="A22" t="str">
        <f t="shared" si="0"/>
        <v>-3.8190%</v>
      </c>
      <c r="B22">
        <f t="shared" si="1"/>
        <v>-3.8189999999999988E-2</v>
      </c>
    </row>
    <row r="23" spans="1:2" x14ac:dyDescent="0.25">
      <c r="A23" t="str">
        <f t="shared" si="0"/>
        <v>-3.7190%</v>
      </c>
      <c r="B23">
        <f t="shared" si="1"/>
        <v>-3.7189999999999987E-2</v>
      </c>
    </row>
    <row r="24" spans="1:2" x14ac:dyDescent="0.25">
      <c r="A24" t="str">
        <f t="shared" si="0"/>
        <v>-3.6190%</v>
      </c>
      <c r="B24">
        <f t="shared" si="1"/>
        <v>-3.6189999999999986E-2</v>
      </c>
    </row>
    <row r="25" spans="1:2" x14ac:dyDescent="0.25">
      <c r="A25" t="str">
        <f t="shared" si="0"/>
        <v>-3.5190%</v>
      </c>
      <c r="B25">
        <f t="shared" si="1"/>
        <v>-3.5189999999999985E-2</v>
      </c>
    </row>
    <row r="26" spans="1:2" x14ac:dyDescent="0.25">
      <c r="A26" t="str">
        <f t="shared" si="0"/>
        <v>-3.4190%</v>
      </c>
      <c r="B26">
        <f t="shared" si="1"/>
        <v>-3.4189999999999984E-2</v>
      </c>
    </row>
    <row r="27" spans="1:2" x14ac:dyDescent="0.25">
      <c r="A27" t="str">
        <f t="shared" si="0"/>
        <v>-3.3190%</v>
      </c>
      <c r="B27">
        <f t="shared" si="1"/>
        <v>-3.3189999999999983E-2</v>
      </c>
    </row>
    <row r="28" spans="1:2" x14ac:dyDescent="0.25">
      <c r="A28" t="str">
        <f t="shared" si="0"/>
        <v>-3.2190%</v>
      </c>
      <c r="B28">
        <f t="shared" si="1"/>
        <v>-3.2189999999999983E-2</v>
      </c>
    </row>
    <row r="29" spans="1:2" x14ac:dyDescent="0.25">
      <c r="A29" t="str">
        <f t="shared" si="0"/>
        <v>-3.1190%</v>
      </c>
      <c r="B29">
        <f t="shared" si="1"/>
        <v>-3.1189999999999982E-2</v>
      </c>
    </row>
    <row r="30" spans="1:2" x14ac:dyDescent="0.25">
      <c r="A30" t="str">
        <f t="shared" si="0"/>
        <v>-3.0190%</v>
      </c>
      <c r="B30">
        <f t="shared" si="1"/>
        <v>-3.0189999999999981E-2</v>
      </c>
    </row>
    <row r="31" spans="1:2" x14ac:dyDescent="0.25">
      <c r="A31" t="str">
        <f t="shared" si="0"/>
        <v>-2.9190%</v>
      </c>
      <c r="B31">
        <f t="shared" si="1"/>
        <v>-2.918999999999998E-2</v>
      </c>
    </row>
    <row r="32" spans="1:2" x14ac:dyDescent="0.25">
      <c r="A32" t="str">
        <f t="shared" si="0"/>
        <v>-2.8190%</v>
      </c>
      <c r="B32">
        <f t="shared" si="1"/>
        <v>-2.8189999999999979E-2</v>
      </c>
    </row>
    <row r="33" spans="1:2" x14ac:dyDescent="0.25">
      <c r="A33" t="str">
        <f t="shared" si="0"/>
        <v>-2.7190%</v>
      </c>
      <c r="B33">
        <f t="shared" si="1"/>
        <v>-2.7189999999999978E-2</v>
      </c>
    </row>
    <row r="34" spans="1:2" x14ac:dyDescent="0.25">
      <c r="A34" t="str">
        <f t="shared" si="0"/>
        <v>-2.6190%</v>
      </c>
      <c r="B34">
        <f t="shared" si="1"/>
        <v>-2.6189999999999977E-2</v>
      </c>
    </row>
    <row r="35" spans="1:2" x14ac:dyDescent="0.25">
      <c r="A35" t="str">
        <f t="shared" si="0"/>
        <v>-2.5190%</v>
      </c>
      <c r="B35">
        <f t="shared" si="1"/>
        <v>-2.5189999999999976E-2</v>
      </c>
    </row>
    <row r="36" spans="1:2" x14ac:dyDescent="0.25">
      <c r="A36" t="str">
        <f t="shared" si="0"/>
        <v>-2.4190%</v>
      </c>
      <c r="B36">
        <f t="shared" si="1"/>
        <v>-2.4189999999999975E-2</v>
      </c>
    </row>
    <row r="37" spans="1:2" x14ac:dyDescent="0.25">
      <c r="A37" t="str">
        <f t="shared" si="0"/>
        <v>-2.3190%</v>
      </c>
      <c r="B37">
        <f t="shared" si="1"/>
        <v>-2.3189999999999975E-2</v>
      </c>
    </row>
    <row r="38" spans="1:2" x14ac:dyDescent="0.25">
      <c r="A38" t="str">
        <f t="shared" si="0"/>
        <v>-2.2190%</v>
      </c>
      <c r="B38">
        <f t="shared" si="1"/>
        <v>-2.2189999999999974E-2</v>
      </c>
    </row>
    <row r="39" spans="1:2" x14ac:dyDescent="0.25">
      <c r="A39" t="str">
        <f t="shared" si="0"/>
        <v>-2.1190%</v>
      </c>
      <c r="B39">
        <f t="shared" si="1"/>
        <v>-2.1189999999999973E-2</v>
      </c>
    </row>
    <row r="40" spans="1:2" x14ac:dyDescent="0.25">
      <c r="A40" t="str">
        <f t="shared" si="0"/>
        <v>-2.0190%</v>
      </c>
      <c r="B40">
        <f t="shared" si="1"/>
        <v>-2.0189999999999972E-2</v>
      </c>
    </row>
    <row r="41" spans="1:2" x14ac:dyDescent="0.25">
      <c r="A41" t="str">
        <f t="shared" si="0"/>
        <v>-1.9190%</v>
      </c>
      <c r="B41">
        <f t="shared" si="1"/>
        <v>-1.9189999999999971E-2</v>
      </c>
    </row>
    <row r="42" spans="1:2" x14ac:dyDescent="0.25">
      <c r="A42" t="str">
        <f t="shared" si="0"/>
        <v>-1.8190%</v>
      </c>
      <c r="B42">
        <f t="shared" si="1"/>
        <v>-1.818999999999997E-2</v>
      </c>
    </row>
    <row r="43" spans="1:2" x14ac:dyDescent="0.25">
      <c r="A43" t="str">
        <f t="shared" si="0"/>
        <v>-1.7190%</v>
      </c>
      <c r="B43">
        <f t="shared" si="1"/>
        <v>-1.7189999999999969E-2</v>
      </c>
    </row>
    <row r="44" spans="1:2" x14ac:dyDescent="0.25">
      <c r="A44" t="str">
        <f t="shared" si="0"/>
        <v>-1.6190%</v>
      </c>
      <c r="B44">
        <f t="shared" si="1"/>
        <v>-1.6189999999999968E-2</v>
      </c>
    </row>
    <row r="45" spans="1:2" x14ac:dyDescent="0.25">
      <c r="A45" t="str">
        <f t="shared" si="0"/>
        <v>-1.5190%</v>
      </c>
      <c r="B45">
        <f t="shared" si="1"/>
        <v>-1.5189999999999967E-2</v>
      </c>
    </row>
    <row r="46" spans="1:2" x14ac:dyDescent="0.25">
      <c r="A46" t="str">
        <f t="shared" si="0"/>
        <v>-1.4190%</v>
      </c>
      <c r="B46">
        <f t="shared" si="1"/>
        <v>-1.4189999999999967E-2</v>
      </c>
    </row>
    <row r="47" spans="1:2" x14ac:dyDescent="0.25">
      <c r="A47" t="str">
        <f t="shared" si="0"/>
        <v>-1.3190%</v>
      </c>
      <c r="B47">
        <f t="shared" si="1"/>
        <v>-1.3189999999999966E-2</v>
      </c>
    </row>
    <row r="48" spans="1:2" x14ac:dyDescent="0.25">
      <c r="A48" t="str">
        <f t="shared" si="0"/>
        <v>-1.2190%</v>
      </c>
      <c r="B48">
        <f t="shared" si="1"/>
        <v>-1.2189999999999965E-2</v>
      </c>
    </row>
    <row r="49" spans="1:2" x14ac:dyDescent="0.25">
      <c r="A49" t="str">
        <f t="shared" si="0"/>
        <v>-1.1190%</v>
      </c>
      <c r="B49">
        <f t="shared" si="1"/>
        <v>-1.1189999999999964E-2</v>
      </c>
    </row>
    <row r="50" spans="1:2" x14ac:dyDescent="0.25">
      <c r="A50" t="str">
        <f t="shared" si="0"/>
        <v>-1.0190%</v>
      </c>
      <c r="B50">
        <f t="shared" si="1"/>
        <v>-1.0189999999999963E-2</v>
      </c>
    </row>
    <row r="51" spans="1:2" x14ac:dyDescent="0.25">
      <c r="A51" t="str">
        <f t="shared" si="0"/>
        <v>-0.9190%</v>
      </c>
      <c r="B51">
        <f t="shared" si="1"/>
        <v>-9.1899999999999621E-3</v>
      </c>
    </row>
    <row r="52" spans="1:2" x14ac:dyDescent="0.25">
      <c r="A52" t="str">
        <f t="shared" si="0"/>
        <v>-0.8190%</v>
      </c>
      <c r="B52">
        <f t="shared" si="1"/>
        <v>-8.1899999999999612E-3</v>
      </c>
    </row>
    <row r="53" spans="1:2" x14ac:dyDescent="0.25">
      <c r="A53" t="str">
        <f t="shared" si="0"/>
        <v>-0.7190%</v>
      </c>
      <c r="B53">
        <f t="shared" si="1"/>
        <v>-7.1899999999999612E-3</v>
      </c>
    </row>
    <row r="54" spans="1:2" x14ac:dyDescent="0.25">
      <c r="A54" t="str">
        <f t="shared" si="0"/>
        <v>-0.6190%</v>
      </c>
      <c r="B54">
        <f t="shared" si="1"/>
        <v>-6.1899999999999612E-3</v>
      </c>
    </row>
    <row r="55" spans="1:2" x14ac:dyDescent="0.25">
      <c r="A55" t="str">
        <f t="shared" si="0"/>
        <v>-0.5190%</v>
      </c>
      <c r="B55">
        <f t="shared" si="1"/>
        <v>-5.1899999999999611E-3</v>
      </c>
    </row>
    <row r="56" spans="1:2" x14ac:dyDescent="0.25">
      <c r="A56" t="str">
        <f t="shared" si="0"/>
        <v>-0.4190%</v>
      </c>
      <c r="B56">
        <f t="shared" si="1"/>
        <v>-4.1899999999999611E-3</v>
      </c>
    </row>
    <row r="57" spans="1:2" x14ac:dyDescent="0.25">
      <c r="A57" t="str">
        <f t="shared" si="0"/>
        <v>-0.3190%</v>
      </c>
      <c r="B57">
        <f t="shared" si="1"/>
        <v>-3.1899999999999611E-3</v>
      </c>
    </row>
    <row r="58" spans="1:2" x14ac:dyDescent="0.25">
      <c r="A58" t="str">
        <f t="shared" si="0"/>
        <v>-0.2190%</v>
      </c>
      <c r="B58">
        <f t="shared" si="1"/>
        <v>-2.1899999999999611E-3</v>
      </c>
    </row>
    <row r="59" spans="1:2" x14ac:dyDescent="0.25">
      <c r="A59" t="str">
        <f t="shared" si="0"/>
        <v>-0.1190%</v>
      </c>
      <c r="B59">
        <f t="shared" si="1"/>
        <v>-1.1899999999999611E-3</v>
      </c>
    </row>
    <row r="60" spans="1:2" x14ac:dyDescent="0.25">
      <c r="A60" t="str">
        <f t="shared" si="0"/>
        <v>-0.0190%</v>
      </c>
      <c r="B60">
        <f t="shared" si="1"/>
        <v>-1.8999999999996103E-4</v>
      </c>
    </row>
    <row r="61" spans="1:2" x14ac:dyDescent="0.25">
      <c r="A61" t="str">
        <f t="shared" si="0"/>
        <v>0.0810%</v>
      </c>
      <c r="B61">
        <f t="shared" si="1"/>
        <v>8.1000000000003899E-4</v>
      </c>
    </row>
    <row r="62" spans="1:2" x14ac:dyDescent="0.25">
      <c r="A62" t="str">
        <f t="shared" si="0"/>
        <v>0.1810%</v>
      </c>
      <c r="B62">
        <f t="shared" si="1"/>
        <v>1.810000000000039E-3</v>
      </c>
    </row>
    <row r="63" spans="1:2" x14ac:dyDescent="0.25">
      <c r="A63" t="str">
        <f t="shared" si="0"/>
        <v>0.2810%</v>
      </c>
      <c r="B63">
        <f t="shared" si="1"/>
        <v>2.810000000000039E-3</v>
      </c>
    </row>
    <row r="64" spans="1:2" x14ac:dyDescent="0.25">
      <c r="A64" t="str">
        <f t="shared" si="0"/>
        <v>0.3810%</v>
      </c>
      <c r="B64">
        <f t="shared" si="1"/>
        <v>3.810000000000039E-3</v>
      </c>
    </row>
    <row r="65" spans="1:2" x14ac:dyDescent="0.25">
      <c r="A65" t="str">
        <f t="shared" si="0"/>
        <v>0.4810%</v>
      </c>
      <c r="B65">
        <f t="shared" si="1"/>
        <v>4.8100000000000391E-3</v>
      </c>
    </row>
    <row r="66" spans="1:2" x14ac:dyDescent="0.25">
      <c r="A66" t="str">
        <f t="shared" si="0"/>
        <v>0.5810%</v>
      </c>
      <c r="B66">
        <f t="shared" si="1"/>
        <v>5.8100000000000391E-3</v>
      </c>
    </row>
    <row r="67" spans="1:2" x14ac:dyDescent="0.25">
      <c r="A67" t="str">
        <f t="shared" si="0"/>
        <v>0.6810%</v>
      </c>
      <c r="B67">
        <f t="shared" si="1"/>
        <v>6.8100000000000391E-3</v>
      </c>
    </row>
    <row r="68" spans="1:2" x14ac:dyDescent="0.25">
      <c r="A68" t="str">
        <f t="shared" si="0"/>
        <v>0.7810%</v>
      </c>
      <c r="B68">
        <f t="shared" si="1"/>
        <v>7.8100000000000391E-3</v>
      </c>
    </row>
    <row r="69" spans="1:2" x14ac:dyDescent="0.25">
      <c r="A69" t="str">
        <f t="shared" ref="A69:A104" si="2">TEXT(B69,"0.0000%")</f>
        <v>0.8810%</v>
      </c>
      <c r="B69">
        <f t="shared" si="1"/>
        <v>8.81000000000004E-3</v>
      </c>
    </row>
    <row r="70" spans="1:2" x14ac:dyDescent="0.25">
      <c r="A70" t="str">
        <f t="shared" si="2"/>
        <v>0.9810%</v>
      </c>
      <c r="B70">
        <f t="shared" ref="B70:B104" si="3">B69+0.001</f>
        <v>9.8100000000000409E-3</v>
      </c>
    </row>
    <row r="71" spans="1:2" x14ac:dyDescent="0.25">
      <c r="A71" t="str">
        <f t="shared" si="2"/>
        <v>1.0810%</v>
      </c>
      <c r="B71">
        <f t="shared" si="3"/>
        <v>1.0810000000000042E-2</v>
      </c>
    </row>
    <row r="72" spans="1:2" x14ac:dyDescent="0.25">
      <c r="A72" t="str">
        <f t="shared" si="2"/>
        <v>1.1810%</v>
      </c>
      <c r="B72">
        <f t="shared" si="3"/>
        <v>1.1810000000000043E-2</v>
      </c>
    </row>
    <row r="73" spans="1:2" x14ac:dyDescent="0.25">
      <c r="A73" t="str">
        <f t="shared" si="2"/>
        <v>1.2810%</v>
      </c>
      <c r="B73">
        <f t="shared" si="3"/>
        <v>1.2810000000000044E-2</v>
      </c>
    </row>
    <row r="74" spans="1:2" x14ac:dyDescent="0.25">
      <c r="A74" t="str">
        <f t="shared" si="2"/>
        <v>1.3810%</v>
      </c>
      <c r="B74">
        <f t="shared" si="3"/>
        <v>1.3810000000000044E-2</v>
      </c>
    </row>
    <row r="75" spans="1:2" x14ac:dyDescent="0.25">
      <c r="A75" t="str">
        <f t="shared" si="2"/>
        <v>1.4810%</v>
      </c>
      <c r="B75">
        <f t="shared" si="3"/>
        <v>1.4810000000000045E-2</v>
      </c>
    </row>
    <row r="76" spans="1:2" x14ac:dyDescent="0.25">
      <c r="A76" t="str">
        <f t="shared" si="2"/>
        <v>1.5810%</v>
      </c>
      <c r="B76">
        <f t="shared" si="3"/>
        <v>1.5810000000000046E-2</v>
      </c>
    </row>
    <row r="77" spans="1:2" x14ac:dyDescent="0.25">
      <c r="A77" t="str">
        <f t="shared" si="2"/>
        <v>1.6810%</v>
      </c>
      <c r="B77">
        <f t="shared" si="3"/>
        <v>1.6810000000000047E-2</v>
      </c>
    </row>
    <row r="78" spans="1:2" x14ac:dyDescent="0.25">
      <c r="A78" t="str">
        <f t="shared" si="2"/>
        <v>1.7810%</v>
      </c>
      <c r="B78">
        <f t="shared" si="3"/>
        <v>1.7810000000000048E-2</v>
      </c>
    </row>
    <row r="79" spans="1:2" x14ac:dyDescent="0.25">
      <c r="A79" t="str">
        <f t="shared" si="2"/>
        <v>1.8810%</v>
      </c>
      <c r="B79">
        <f t="shared" si="3"/>
        <v>1.8810000000000049E-2</v>
      </c>
    </row>
    <row r="80" spans="1:2" x14ac:dyDescent="0.25">
      <c r="A80" t="str">
        <f t="shared" si="2"/>
        <v>1.9810%</v>
      </c>
      <c r="B80">
        <f t="shared" si="3"/>
        <v>1.981000000000005E-2</v>
      </c>
    </row>
    <row r="81" spans="1:2" x14ac:dyDescent="0.25">
      <c r="A81" t="str">
        <f t="shared" si="2"/>
        <v>2.0810%</v>
      </c>
      <c r="B81">
        <f t="shared" si="3"/>
        <v>2.0810000000000051E-2</v>
      </c>
    </row>
    <row r="82" spans="1:2" x14ac:dyDescent="0.25">
      <c r="A82" t="str">
        <f t="shared" si="2"/>
        <v>2.1810%</v>
      </c>
      <c r="B82">
        <f t="shared" si="3"/>
        <v>2.1810000000000052E-2</v>
      </c>
    </row>
    <row r="83" spans="1:2" x14ac:dyDescent="0.25">
      <c r="A83" t="str">
        <f t="shared" si="2"/>
        <v>2.2810%</v>
      </c>
      <c r="B83">
        <f t="shared" si="3"/>
        <v>2.2810000000000052E-2</v>
      </c>
    </row>
    <row r="84" spans="1:2" x14ac:dyDescent="0.25">
      <c r="A84" t="str">
        <f t="shared" si="2"/>
        <v>2.3810%</v>
      </c>
      <c r="B84">
        <f t="shared" si="3"/>
        <v>2.3810000000000053E-2</v>
      </c>
    </row>
    <row r="85" spans="1:2" x14ac:dyDescent="0.25">
      <c r="A85" t="str">
        <f t="shared" si="2"/>
        <v>2.4810%</v>
      </c>
      <c r="B85">
        <f t="shared" si="3"/>
        <v>2.4810000000000054E-2</v>
      </c>
    </row>
    <row r="86" spans="1:2" x14ac:dyDescent="0.25">
      <c r="A86" t="str">
        <f t="shared" si="2"/>
        <v>2.5810%</v>
      </c>
      <c r="B86">
        <f t="shared" si="3"/>
        <v>2.5810000000000055E-2</v>
      </c>
    </row>
    <row r="87" spans="1:2" x14ac:dyDescent="0.25">
      <c r="A87" t="str">
        <f t="shared" si="2"/>
        <v>2.6810%</v>
      </c>
      <c r="B87">
        <f t="shared" si="3"/>
        <v>2.6810000000000056E-2</v>
      </c>
    </row>
    <row r="88" spans="1:2" x14ac:dyDescent="0.25">
      <c r="A88" t="str">
        <f t="shared" si="2"/>
        <v>2.7810%</v>
      </c>
      <c r="B88">
        <f t="shared" si="3"/>
        <v>2.7810000000000057E-2</v>
      </c>
    </row>
    <row r="89" spans="1:2" x14ac:dyDescent="0.25">
      <c r="A89" t="str">
        <f t="shared" si="2"/>
        <v>2.8810%</v>
      </c>
      <c r="B89">
        <f t="shared" si="3"/>
        <v>2.8810000000000058E-2</v>
      </c>
    </row>
    <row r="90" spans="1:2" x14ac:dyDescent="0.25">
      <c r="A90" t="str">
        <f t="shared" si="2"/>
        <v>2.9810%</v>
      </c>
      <c r="B90">
        <f t="shared" si="3"/>
        <v>2.9810000000000059E-2</v>
      </c>
    </row>
    <row r="91" spans="1:2" x14ac:dyDescent="0.25">
      <c r="A91" t="str">
        <f t="shared" si="2"/>
        <v>3.0810%</v>
      </c>
      <c r="B91">
        <f t="shared" si="3"/>
        <v>3.081000000000006E-2</v>
      </c>
    </row>
    <row r="92" spans="1:2" x14ac:dyDescent="0.25">
      <c r="A92" t="str">
        <f t="shared" si="2"/>
        <v>3.1810%</v>
      </c>
      <c r="B92">
        <f t="shared" si="3"/>
        <v>3.181000000000006E-2</v>
      </c>
    </row>
    <row r="93" spans="1:2" x14ac:dyDescent="0.25">
      <c r="A93" t="str">
        <f t="shared" si="2"/>
        <v>3.2810%</v>
      </c>
      <c r="B93">
        <f t="shared" si="3"/>
        <v>3.2810000000000061E-2</v>
      </c>
    </row>
    <row r="94" spans="1:2" x14ac:dyDescent="0.25">
      <c r="A94" t="str">
        <f t="shared" si="2"/>
        <v>3.3810%</v>
      </c>
      <c r="B94">
        <f t="shared" si="3"/>
        <v>3.3810000000000062E-2</v>
      </c>
    </row>
    <row r="95" spans="1:2" x14ac:dyDescent="0.25">
      <c r="A95" t="str">
        <f t="shared" si="2"/>
        <v>3.4810%</v>
      </c>
      <c r="B95">
        <f t="shared" si="3"/>
        <v>3.4810000000000063E-2</v>
      </c>
    </row>
    <row r="96" spans="1:2" x14ac:dyDescent="0.25">
      <c r="A96" t="str">
        <f t="shared" si="2"/>
        <v>3.5810%</v>
      </c>
      <c r="B96">
        <f t="shared" si="3"/>
        <v>3.5810000000000064E-2</v>
      </c>
    </row>
    <row r="97" spans="1:2" x14ac:dyDescent="0.25">
      <c r="A97" t="str">
        <f t="shared" si="2"/>
        <v>3.6810%</v>
      </c>
      <c r="B97">
        <f t="shared" si="3"/>
        <v>3.6810000000000065E-2</v>
      </c>
    </row>
    <row r="98" spans="1:2" x14ac:dyDescent="0.25">
      <c r="A98" t="str">
        <f t="shared" si="2"/>
        <v>3.7810%</v>
      </c>
      <c r="B98">
        <f t="shared" si="3"/>
        <v>3.7810000000000066E-2</v>
      </c>
    </row>
    <row r="99" spans="1:2" x14ac:dyDescent="0.25">
      <c r="A99" t="str">
        <f t="shared" si="2"/>
        <v>3.8810%</v>
      </c>
      <c r="B99">
        <f t="shared" si="3"/>
        <v>3.8810000000000067E-2</v>
      </c>
    </row>
    <row r="100" spans="1:2" x14ac:dyDescent="0.25">
      <c r="A100" t="str">
        <f t="shared" si="2"/>
        <v>3.9810%</v>
      </c>
      <c r="B100">
        <f t="shared" si="3"/>
        <v>3.9810000000000068E-2</v>
      </c>
    </row>
    <row r="101" spans="1:2" x14ac:dyDescent="0.25">
      <c r="A101" t="str">
        <f t="shared" si="2"/>
        <v>4.0810%</v>
      </c>
      <c r="B101">
        <f t="shared" si="3"/>
        <v>4.0810000000000068E-2</v>
      </c>
    </row>
    <row r="102" spans="1:2" x14ac:dyDescent="0.25">
      <c r="A102" t="str">
        <f t="shared" si="2"/>
        <v>4.1810%</v>
      </c>
      <c r="B102">
        <f t="shared" si="3"/>
        <v>4.1810000000000069E-2</v>
      </c>
    </row>
    <row r="103" spans="1:2" x14ac:dyDescent="0.25">
      <c r="A103" t="str">
        <f t="shared" si="2"/>
        <v>4.2810%</v>
      </c>
      <c r="B103">
        <f t="shared" si="3"/>
        <v>4.281000000000007E-2</v>
      </c>
    </row>
    <row r="104" spans="1:2" x14ac:dyDescent="0.25">
      <c r="A104" t="str">
        <f t="shared" si="2"/>
        <v>4.3810%</v>
      </c>
      <c r="B104">
        <f t="shared" si="3"/>
        <v>4.3810000000000071E-2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Sheet19.heston_change_r1">
                <anchor moveWithCells="1" sizeWithCells="1">
                  <from>
                    <xdr:col>4</xdr:col>
                    <xdr:colOff>133350</xdr:colOff>
                    <xdr:row>5</xdr:row>
                    <xdr:rowOff>142875</xdr:rowOff>
                  </from>
                  <to>
                    <xdr:col>5</xdr:col>
                    <xdr:colOff>304800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K104"/>
  <sheetViews>
    <sheetView workbookViewId="0">
      <selection activeCell="H16" sqref="H16"/>
    </sheetView>
  </sheetViews>
  <sheetFormatPr defaultRowHeight="15" x14ac:dyDescent="0.25"/>
  <cols>
    <col min="2" max="2" width="15.7109375" bestFit="1" customWidth="1"/>
    <col min="3" max="3" width="15.140625" bestFit="1" customWidth="1"/>
  </cols>
  <sheetData>
    <row r="1" spans="1:11" x14ac:dyDescent="0.25">
      <c r="B1" t="s">
        <v>96</v>
      </c>
      <c r="C1">
        <f>'Parameter Page'!E5</f>
        <v>-7.3499999999999998E-3</v>
      </c>
      <c r="D1">
        <f>C1*100</f>
        <v>-0.73499999999999999</v>
      </c>
      <c r="E1">
        <f>C1-0.05</f>
        <v>-5.7350000000000005E-2</v>
      </c>
      <c r="F1">
        <f>C1+0.05</f>
        <v>4.265E-2</v>
      </c>
    </row>
    <row r="2" spans="1:11" x14ac:dyDescent="0.25">
      <c r="C2" t="s">
        <v>54</v>
      </c>
      <c r="D2">
        <f>COUNT(B4:B204)</f>
        <v>101</v>
      </c>
      <c r="J2" t="s">
        <v>55</v>
      </c>
    </row>
    <row r="3" spans="1:11" x14ac:dyDescent="0.25">
      <c r="B3" t="s">
        <v>97</v>
      </c>
      <c r="C3" t="s">
        <v>57</v>
      </c>
      <c r="I3" t="str">
        <f>B3</f>
        <v>r2</v>
      </c>
      <c r="J3" t="s">
        <v>57</v>
      </c>
      <c r="K3" t="s">
        <v>59</v>
      </c>
    </row>
    <row r="4" spans="1:11" x14ac:dyDescent="0.25">
      <c r="A4" t="str">
        <f>TEXT(B4,"0.0000%")</f>
        <v>-5.7350%</v>
      </c>
      <c r="B4">
        <f>E1</f>
        <v>-5.7350000000000005E-2</v>
      </c>
      <c r="I4" s="13">
        <f>C1-0.01</f>
        <v>-1.7350000000000001E-2</v>
      </c>
      <c r="J4">
        <v>816.78139277261346</v>
      </c>
      <c r="K4" t="s">
        <v>60</v>
      </c>
    </row>
    <row r="5" spans="1:11" x14ac:dyDescent="0.25">
      <c r="A5" t="str">
        <f t="shared" ref="A5:A68" si="0">TEXT(B5,"0.0000%")</f>
        <v>-5.6350%</v>
      </c>
      <c r="B5">
        <f>B4+0.001</f>
        <v>-5.6350000000000004E-2</v>
      </c>
      <c r="I5" s="13">
        <f>C1</f>
        <v>-7.3499999999999998E-3</v>
      </c>
      <c r="J5">
        <v>819.38968068699728</v>
      </c>
      <c r="K5" s="11">
        <f>(J5-J4)/J4</f>
        <v>3.1933733278739773E-3</v>
      </c>
    </row>
    <row r="6" spans="1:11" x14ac:dyDescent="0.25">
      <c r="A6" t="str">
        <f t="shared" si="0"/>
        <v>-5.5350%</v>
      </c>
      <c r="B6">
        <f t="shared" ref="B6:B69" si="1">B5+0.001</f>
        <v>-5.5350000000000003E-2</v>
      </c>
      <c r="I6" s="13">
        <f>C1+0.01</f>
        <v>2.6500000000000004E-3</v>
      </c>
      <c r="J6">
        <v>821.67660804670766</v>
      </c>
      <c r="K6" s="11">
        <f>(J6-J5)/J5</f>
        <v>2.791013132839258E-3</v>
      </c>
    </row>
    <row r="7" spans="1:11" x14ac:dyDescent="0.25">
      <c r="A7" t="str">
        <f t="shared" si="0"/>
        <v>-5.4350%</v>
      </c>
      <c r="B7">
        <f t="shared" si="1"/>
        <v>-5.4350000000000002E-2</v>
      </c>
    </row>
    <row r="8" spans="1:11" x14ac:dyDescent="0.25">
      <c r="A8" t="str">
        <f t="shared" si="0"/>
        <v>-5.3350%</v>
      </c>
      <c r="B8">
        <f t="shared" si="1"/>
        <v>-5.3350000000000002E-2</v>
      </c>
    </row>
    <row r="9" spans="1:11" x14ac:dyDescent="0.25">
      <c r="A9" t="str">
        <f t="shared" si="0"/>
        <v>-5.2350%</v>
      </c>
      <c r="B9">
        <f t="shared" si="1"/>
        <v>-5.2350000000000001E-2</v>
      </c>
    </row>
    <row r="10" spans="1:11" x14ac:dyDescent="0.25">
      <c r="A10" t="str">
        <f t="shared" si="0"/>
        <v>-5.1350%</v>
      </c>
      <c r="B10">
        <f t="shared" si="1"/>
        <v>-5.135E-2</v>
      </c>
    </row>
    <row r="11" spans="1:11" x14ac:dyDescent="0.25">
      <c r="A11" t="str">
        <f t="shared" si="0"/>
        <v>-5.0350%</v>
      </c>
      <c r="B11">
        <f t="shared" si="1"/>
        <v>-5.0349999999999999E-2</v>
      </c>
    </row>
    <row r="12" spans="1:11" x14ac:dyDescent="0.25">
      <c r="A12" t="str">
        <f t="shared" si="0"/>
        <v>-4.9350%</v>
      </c>
      <c r="B12">
        <f t="shared" si="1"/>
        <v>-4.9349999999999998E-2</v>
      </c>
    </row>
    <row r="13" spans="1:11" x14ac:dyDescent="0.25">
      <c r="A13" t="str">
        <f t="shared" si="0"/>
        <v>-4.8350%</v>
      </c>
      <c r="B13">
        <f t="shared" si="1"/>
        <v>-4.8349999999999997E-2</v>
      </c>
    </row>
    <row r="14" spans="1:11" x14ac:dyDescent="0.25">
      <c r="A14" t="str">
        <f t="shared" si="0"/>
        <v>-4.7350%</v>
      </c>
      <c r="B14">
        <f t="shared" si="1"/>
        <v>-4.7349999999999996E-2</v>
      </c>
    </row>
    <row r="15" spans="1:11" x14ac:dyDescent="0.25">
      <c r="A15" t="str">
        <f t="shared" si="0"/>
        <v>-4.6350%</v>
      </c>
      <c r="B15">
        <f t="shared" si="1"/>
        <v>-4.6349999999999995E-2</v>
      </c>
    </row>
    <row r="16" spans="1:11" x14ac:dyDescent="0.25">
      <c r="A16" t="str">
        <f t="shared" si="0"/>
        <v>-4.5350%</v>
      </c>
      <c r="B16">
        <f t="shared" si="1"/>
        <v>-4.5349999999999994E-2</v>
      </c>
    </row>
    <row r="17" spans="1:2" x14ac:dyDescent="0.25">
      <c r="A17" t="str">
        <f t="shared" si="0"/>
        <v>-4.4350%</v>
      </c>
      <c r="B17">
        <f t="shared" si="1"/>
        <v>-4.4349999999999994E-2</v>
      </c>
    </row>
    <row r="18" spans="1:2" x14ac:dyDescent="0.25">
      <c r="A18" t="str">
        <f t="shared" si="0"/>
        <v>-4.3350%</v>
      </c>
      <c r="B18">
        <f t="shared" si="1"/>
        <v>-4.3349999999999993E-2</v>
      </c>
    </row>
    <row r="19" spans="1:2" x14ac:dyDescent="0.25">
      <c r="A19" t="str">
        <f t="shared" si="0"/>
        <v>-4.2350%</v>
      </c>
      <c r="B19">
        <f t="shared" si="1"/>
        <v>-4.2349999999999992E-2</v>
      </c>
    </row>
    <row r="20" spans="1:2" x14ac:dyDescent="0.25">
      <c r="A20" t="str">
        <f t="shared" si="0"/>
        <v>-4.1350%</v>
      </c>
      <c r="B20">
        <f t="shared" si="1"/>
        <v>-4.1349999999999991E-2</v>
      </c>
    </row>
    <row r="21" spans="1:2" x14ac:dyDescent="0.25">
      <c r="A21" t="str">
        <f t="shared" si="0"/>
        <v>-4.0350%</v>
      </c>
      <c r="B21">
        <f t="shared" si="1"/>
        <v>-4.034999999999999E-2</v>
      </c>
    </row>
    <row r="22" spans="1:2" x14ac:dyDescent="0.25">
      <c r="A22" t="str">
        <f t="shared" si="0"/>
        <v>-3.9350%</v>
      </c>
      <c r="B22">
        <f t="shared" si="1"/>
        <v>-3.9349999999999989E-2</v>
      </c>
    </row>
    <row r="23" spans="1:2" x14ac:dyDescent="0.25">
      <c r="A23" t="str">
        <f t="shared" si="0"/>
        <v>-3.8350%</v>
      </c>
      <c r="B23">
        <f t="shared" si="1"/>
        <v>-3.8349999999999988E-2</v>
      </c>
    </row>
    <row r="24" spans="1:2" x14ac:dyDescent="0.25">
      <c r="A24" t="str">
        <f t="shared" si="0"/>
        <v>-3.7350%</v>
      </c>
      <c r="B24">
        <f t="shared" si="1"/>
        <v>-3.7349999999999987E-2</v>
      </c>
    </row>
    <row r="25" spans="1:2" x14ac:dyDescent="0.25">
      <c r="A25" t="str">
        <f t="shared" si="0"/>
        <v>-3.6350%</v>
      </c>
      <c r="B25">
        <f t="shared" si="1"/>
        <v>-3.6349999999999986E-2</v>
      </c>
    </row>
    <row r="26" spans="1:2" x14ac:dyDescent="0.25">
      <c r="A26" t="str">
        <f t="shared" si="0"/>
        <v>-3.5350%</v>
      </c>
      <c r="B26">
        <f t="shared" si="1"/>
        <v>-3.5349999999999986E-2</v>
      </c>
    </row>
    <row r="27" spans="1:2" x14ac:dyDescent="0.25">
      <c r="A27" t="str">
        <f t="shared" si="0"/>
        <v>-3.4350%</v>
      </c>
      <c r="B27">
        <f t="shared" si="1"/>
        <v>-3.4349999999999985E-2</v>
      </c>
    </row>
    <row r="28" spans="1:2" x14ac:dyDescent="0.25">
      <c r="A28" t="str">
        <f t="shared" si="0"/>
        <v>-3.3350%</v>
      </c>
      <c r="B28">
        <f t="shared" si="1"/>
        <v>-3.3349999999999984E-2</v>
      </c>
    </row>
    <row r="29" spans="1:2" x14ac:dyDescent="0.25">
      <c r="A29" t="str">
        <f t="shared" si="0"/>
        <v>-3.2350%</v>
      </c>
      <c r="B29">
        <f t="shared" si="1"/>
        <v>-3.2349999999999983E-2</v>
      </c>
    </row>
    <row r="30" spans="1:2" x14ac:dyDescent="0.25">
      <c r="A30" t="str">
        <f t="shared" si="0"/>
        <v>-3.1350%</v>
      </c>
      <c r="B30">
        <f t="shared" si="1"/>
        <v>-3.1349999999999982E-2</v>
      </c>
    </row>
    <row r="31" spans="1:2" x14ac:dyDescent="0.25">
      <c r="A31" t="str">
        <f t="shared" si="0"/>
        <v>-3.0350%</v>
      </c>
      <c r="B31">
        <f t="shared" si="1"/>
        <v>-3.0349999999999981E-2</v>
      </c>
    </row>
    <row r="32" spans="1:2" x14ac:dyDescent="0.25">
      <c r="A32" t="str">
        <f t="shared" si="0"/>
        <v>-2.9350%</v>
      </c>
      <c r="B32">
        <f t="shared" si="1"/>
        <v>-2.934999999999998E-2</v>
      </c>
    </row>
    <row r="33" spans="1:2" x14ac:dyDescent="0.25">
      <c r="A33" t="str">
        <f t="shared" si="0"/>
        <v>-2.8350%</v>
      </c>
      <c r="B33">
        <f t="shared" si="1"/>
        <v>-2.8349999999999979E-2</v>
      </c>
    </row>
    <row r="34" spans="1:2" x14ac:dyDescent="0.25">
      <c r="A34" t="str">
        <f t="shared" si="0"/>
        <v>-2.7350%</v>
      </c>
      <c r="B34">
        <f t="shared" si="1"/>
        <v>-2.7349999999999978E-2</v>
      </c>
    </row>
    <row r="35" spans="1:2" x14ac:dyDescent="0.25">
      <c r="A35" t="str">
        <f t="shared" si="0"/>
        <v>-2.6350%</v>
      </c>
      <c r="B35">
        <f t="shared" si="1"/>
        <v>-2.6349999999999978E-2</v>
      </c>
    </row>
    <row r="36" spans="1:2" x14ac:dyDescent="0.25">
      <c r="A36" t="str">
        <f t="shared" si="0"/>
        <v>-2.5350%</v>
      </c>
      <c r="B36">
        <f t="shared" si="1"/>
        <v>-2.5349999999999977E-2</v>
      </c>
    </row>
    <row r="37" spans="1:2" x14ac:dyDescent="0.25">
      <c r="A37" t="str">
        <f t="shared" si="0"/>
        <v>-2.4350%</v>
      </c>
      <c r="B37">
        <f t="shared" si="1"/>
        <v>-2.4349999999999976E-2</v>
      </c>
    </row>
    <row r="38" spans="1:2" x14ac:dyDescent="0.25">
      <c r="A38" t="str">
        <f t="shared" si="0"/>
        <v>-2.3350%</v>
      </c>
      <c r="B38">
        <f t="shared" si="1"/>
        <v>-2.3349999999999975E-2</v>
      </c>
    </row>
    <row r="39" spans="1:2" x14ac:dyDescent="0.25">
      <c r="A39" t="str">
        <f t="shared" si="0"/>
        <v>-2.2350%</v>
      </c>
      <c r="B39">
        <f t="shared" si="1"/>
        <v>-2.2349999999999974E-2</v>
      </c>
    </row>
    <row r="40" spans="1:2" x14ac:dyDescent="0.25">
      <c r="A40" t="str">
        <f t="shared" si="0"/>
        <v>-2.1350%</v>
      </c>
      <c r="B40">
        <f t="shared" si="1"/>
        <v>-2.1349999999999973E-2</v>
      </c>
    </row>
    <row r="41" spans="1:2" x14ac:dyDescent="0.25">
      <c r="A41" t="str">
        <f t="shared" si="0"/>
        <v>-2.0350%</v>
      </c>
      <c r="B41">
        <f t="shared" si="1"/>
        <v>-2.0349999999999972E-2</v>
      </c>
    </row>
    <row r="42" spans="1:2" x14ac:dyDescent="0.25">
      <c r="A42" t="str">
        <f t="shared" si="0"/>
        <v>-1.9350%</v>
      </c>
      <c r="B42">
        <f t="shared" si="1"/>
        <v>-1.9349999999999971E-2</v>
      </c>
    </row>
    <row r="43" spans="1:2" x14ac:dyDescent="0.25">
      <c r="A43" t="str">
        <f t="shared" si="0"/>
        <v>-1.8350%</v>
      </c>
      <c r="B43">
        <f t="shared" si="1"/>
        <v>-1.8349999999999971E-2</v>
      </c>
    </row>
    <row r="44" spans="1:2" x14ac:dyDescent="0.25">
      <c r="A44" t="str">
        <f t="shared" si="0"/>
        <v>-1.7350%</v>
      </c>
      <c r="B44">
        <f t="shared" si="1"/>
        <v>-1.734999999999997E-2</v>
      </c>
    </row>
    <row r="45" spans="1:2" x14ac:dyDescent="0.25">
      <c r="A45" t="str">
        <f t="shared" si="0"/>
        <v>-1.6350%</v>
      </c>
      <c r="B45">
        <f t="shared" si="1"/>
        <v>-1.6349999999999969E-2</v>
      </c>
    </row>
    <row r="46" spans="1:2" x14ac:dyDescent="0.25">
      <c r="A46" t="str">
        <f t="shared" si="0"/>
        <v>-1.5350%</v>
      </c>
      <c r="B46">
        <f t="shared" si="1"/>
        <v>-1.5349999999999968E-2</v>
      </c>
    </row>
    <row r="47" spans="1:2" x14ac:dyDescent="0.25">
      <c r="A47" t="str">
        <f t="shared" si="0"/>
        <v>-1.4350%</v>
      </c>
      <c r="B47">
        <f t="shared" si="1"/>
        <v>-1.4349999999999967E-2</v>
      </c>
    </row>
    <row r="48" spans="1:2" x14ac:dyDescent="0.25">
      <c r="A48" t="str">
        <f t="shared" si="0"/>
        <v>-1.3350%</v>
      </c>
      <c r="B48">
        <f t="shared" si="1"/>
        <v>-1.3349999999999966E-2</v>
      </c>
    </row>
    <row r="49" spans="1:2" x14ac:dyDescent="0.25">
      <c r="A49" t="str">
        <f t="shared" si="0"/>
        <v>-1.2350%</v>
      </c>
      <c r="B49">
        <f t="shared" si="1"/>
        <v>-1.2349999999999965E-2</v>
      </c>
    </row>
    <row r="50" spans="1:2" x14ac:dyDescent="0.25">
      <c r="A50" t="str">
        <f t="shared" si="0"/>
        <v>-1.1350%</v>
      </c>
      <c r="B50">
        <f t="shared" si="1"/>
        <v>-1.1349999999999964E-2</v>
      </c>
    </row>
    <row r="51" spans="1:2" x14ac:dyDescent="0.25">
      <c r="A51" t="str">
        <f t="shared" si="0"/>
        <v>-1.0350%</v>
      </c>
      <c r="B51">
        <f t="shared" si="1"/>
        <v>-1.0349999999999963E-2</v>
      </c>
    </row>
    <row r="52" spans="1:2" x14ac:dyDescent="0.25">
      <c r="A52" t="str">
        <f t="shared" si="0"/>
        <v>-0.9350%</v>
      </c>
      <c r="B52">
        <f t="shared" si="1"/>
        <v>-9.3499999999999625E-3</v>
      </c>
    </row>
    <row r="53" spans="1:2" x14ac:dyDescent="0.25">
      <c r="A53" t="str">
        <f t="shared" si="0"/>
        <v>-0.8350%</v>
      </c>
      <c r="B53">
        <f t="shared" si="1"/>
        <v>-8.3499999999999616E-3</v>
      </c>
    </row>
    <row r="54" spans="1:2" x14ac:dyDescent="0.25">
      <c r="A54" t="str">
        <f t="shared" si="0"/>
        <v>-0.7350%</v>
      </c>
      <c r="B54">
        <f t="shared" si="1"/>
        <v>-7.3499999999999616E-3</v>
      </c>
    </row>
    <row r="55" spans="1:2" x14ac:dyDescent="0.25">
      <c r="A55" t="str">
        <f t="shared" si="0"/>
        <v>-0.6350%</v>
      </c>
      <c r="B55">
        <f t="shared" si="1"/>
        <v>-6.3499999999999616E-3</v>
      </c>
    </row>
    <row r="56" spans="1:2" x14ac:dyDescent="0.25">
      <c r="A56" t="str">
        <f t="shared" si="0"/>
        <v>-0.5350%</v>
      </c>
      <c r="B56">
        <f t="shared" si="1"/>
        <v>-5.3499999999999616E-3</v>
      </c>
    </row>
    <row r="57" spans="1:2" x14ac:dyDescent="0.25">
      <c r="A57" t="str">
        <f t="shared" si="0"/>
        <v>-0.4350%</v>
      </c>
      <c r="B57">
        <f t="shared" si="1"/>
        <v>-4.3499999999999615E-3</v>
      </c>
    </row>
    <row r="58" spans="1:2" x14ac:dyDescent="0.25">
      <c r="A58" t="str">
        <f t="shared" si="0"/>
        <v>-0.3350%</v>
      </c>
      <c r="B58">
        <f t="shared" si="1"/>
        <v>-3.3499999999999615E-3</v>
      </c>
    </row>
    <row r="59" spans="1:2" x14ac:dyDescent="0.25">
      <c r="A59" t="str">
        <f t="shared" si="0"/>
        <v>-0.2350%</v>
      </c>
      <c r="B59">
        <f t="shared" si="1"/>
        <v>-2.3499999999999615E-3</v>
      </c>
    </row>
    <row r="60" spans="1:2" x14ac:dyDescent="0.25">
      <c r="A60" t="str">
        <f t="shared" si="0"/>
        <v>-0.1350%</v>
      </c>
      <c r="B60">
        <f t="shared" si="1"/>
        <v>-1.3499999999999615E-3</v>
      </c>
    </row>
    <row r="61" spans="1:2" x14ac:dyDescent="0.25">
      <c r="A61" t="str">
        <f t="shared" si="0"/>
        <v>-0.0350%</v>
      </c>
      <c r="B61">
        <f t="shared" si="1"/>
        <v>-3.4999999999996145E-4</v>
      </c>
    </row>
    <row r="62" spans="1:2" x14ac:dyDescent="0.25">
      <c r="A62" t="str">
        <f t="shared" si="0"/>
        <v>0.0650%</v>
      </c>
      <c r="B62">
        <f t="shared" si="1"/>
        <v>6.5000000000003857E-4</v>
      </c>
    </row>
    <row r="63" spans="1:2" x14ac:dyDescent="0.25">
      <c r="A63" t="str">
        <f t="shared" si="0"/>
        <v>0.1650%</v>
      </c>
      <c r="B63">
        <f t="shared" si="1"/>
        <v>1.6500000000000386E-3</v>
      </c>
    </row>
    <row r="64" spans="1:2" x14ac:dyDescent="0.25">
      <c r="A64" t="str">
        <f t="shared" si="0"/>
        <v>0.2650%</v>
      </c>
      <c r="B64">
        <f t="shared" si="1"/>
        <v>2.6500000000000386E-3</v>
      </c>
    </row>
    <row r="65" spans="1:2" x14ac:dyDescent="0.25">
      <c r="A65" t="str">
        <f t="shared" si="0"/>
        <v>0.3650%</v>
      </c>
      <c r="B65">
        <f t="shared" si="1"/>
        <v>3.6500000000000386E-3</v>
      </c>
    </row>
    <row r="66" spans="1:2" x14ac:dyDescent="0.25">
      <c r="A66" t="str">
        <f t="shared" si="0"/>
        <v>0.4650%</v>
      </c>
      <c r="B66">
        <f t="shared" si="1"/>
        <v>4.6500000000000387E-3</v>
      </c>
    </row>
    <row r="67" spans="1:2" x14ac:dyDescent="0.25">
      <c r="A67" t="str">
        <f t="shared" si="0"/>
        <v>0.5650%</v>
      </c>
      <c r="B67">
        <f t="shared" si="1"/>
        <v>5.6500000000000387E-3</v>
      </c>
    </row>
    <row r="68" spans="1:2" x14ac:dyDescent="0.25">
      <c r="A68" t="str">
        <f t="shared" si="0"/>
        <v>0.6650%</v>
      </c>
      <c r="B68">
        <f t="shared" si="1"/>
        <v>6.6500000000000387E-3</v>
      </c>
    </row>
    <row r="69" spans="1:2" x14ac:dyDescent="0.25">
      <c r="A69" t="str">
        <f t="shared" ref="A69:A104" si="2">TEXT(B69,"0.0000%")</f>
        <v>0.7650%</v>
      </c>
      <c r="B69">
        <f t="shared" si="1"/>
        <v>7.6500000000000387E-3</v>
      </c>
    </row>
    <row r="70" spans="1:2" x14ac:dyDescent="0.25">
      <c r="A70" t="str">
        <f t="shared" si="2"/>
        <v>0.8650%</v>
      </c>
      <c r="B70">
        <f t="shared" ref="B70:B104" si="3">B69+0.001</f>
        <v>8.6500000000000396E-3</v>
      </c>
    </row>
    <row r="71" spans="1:2" x14ac:dyDescent="0.25">
      <c r="A71" t="str">
        <f t="shared" si="2"/>
        <v>0.9650%</v>
      </c>
      <c r="B71">
        <f t="shared" si="3"/>
        <v>9.6500000000000405E-3</v>
      </c>
    </row>
    <row r="72" spans="1:2" x14ac:dyDescent="0.25">
      <c r="A72" t="str">
        <f t="shared" si="2"/>
        <v>1.0650%</v>
      </c>
      <c r="B72">
        <f t="shared" si="3"/>
        <v>1.0650000000000041E-2</v>
      </c>
    </row>
    <row r="73" spans="1:2" x14ac:dyDescent="0.25">
      <c r="A73" t="str">
        <f t="shared" si="2"/>
        <v>1.1650%</v>
      </c>
      <c r="B73">
        <f t="shared" si="3"/>
        <v>1.1650000000000042E-2</v>
      </c>
    </row>
    <row r="74" spans="1:2" x14ac:dyDescent="0.25">
      <c r="A74" t="str">
        <f t="shared" si="2"/>
        <v>1.2650%</v>
      </c>
      <c r="B74">
        <f t="shared" si="3"/>
        <v>1.2650000000000043E-2</v>
      </c>
    </row>
    <row r="75" spans="1:2" x14ac:dyDescent="0.25">
      <c r="A75" t="str">
        <f t="shared" si="2"/>
        <v>1.3650%</v>
      </c>
      <c r="B75">
        <f t="shared" si="3"/>
        <v>1.3650000000000044E-2</v>
      </c>
    </row>
    <row r="76" spans="1:2" x14ac:dyDescent="0.25">
      <c r="A76" t="str">
        <f t="shared" si="2"/>
        <v>1.4650%</v>
      </c>
      <c r="B76">
        <f t="shared" si="3"/>
        <v>1.4650000000000045E-2</v>
      </c>
    </row>
    <row r="77" spans="1:2" x14ac:dyDescent="0.25">
      <c r="A77" t="str">
        <f t="shared" si="2"/>
        <v>1.5650%</v>
      </c>
      <c r="B77">
        <f t="shared" si="3"/>
        <v>1.5650000000000046E-2</v>
      </c>
    </row>
    <row r="78" spans="1:2" x14ac:dyDescent="0.25">
      <c r="A78" t="str">
        <f t="shared" si="2"/>
        <v>1.6650%</v>
      </c>
      <c r="B78">
        <f t="shared" si="3"/>
        <v>1.6650000000000047E-2</v>
      </c>
    </row>
    <row r="79" spans="1:2" x14ac:dyDescent="0.25">
      <c r="A79" t="str">
        <f t="shared" si="2"/>
        <v>1.7650%</v>
      </c>
      <c r="B79">
        <f t="shared" si="3"/>
        <v>1.7650000000000048E-2</v>
      </c>
    </row>
    <row r="80" spans="1:2" x14ac:dyDescent="0.25">
      <c r="A80" t="str">
        <f t="shared" si="2"/>
        <v>1.8650%</v>
      </c>
      <c r="B80">
        <f t="shared" si="3"/>
        <v>1.8650000000000048E-2</v>
      </c>
    </row>
    <row r="81" spans="1:2" x14ac:dyDescent="0.25">
      <c r="A81" t="str">
        <f t="shared" si="2"/>
        <v>1.9650%</v>
      </c>
      <c r="B81">
        <f t="shared" si="3"/>
        <v>1.9650000000000049E-2</v>
      </c>
    </row>
    <row r="82" spans="1:2" x14ac:dyDescent="0.25">
      <c r="A82" t="str">
        <f t="shared" si="2"/>
        <v>2.0650%</v>
      </c>
      <c r="B82">
        <f t="shared" si="3"/>
        <v>2.065000000000005E-2</v>
      </c>
    </row>
    <row r="83" spans="1:2" x14ac:dyDescent="0.25">
      <c r="A83" t="str">
        <f t="shared" si="2"/>
        <v>2.1650%</v>
      </c>
      <c r="B83">
        <f t="shared" si="3"/>
        <v>2.1650000000000051E-2</v>
      </c>
    </row>
    <row r="84" spans="1:2" x14ac:dyDescent="0.25">
      <c r="A84" t="str">
        <f t="shared" si="2"/>
        <v>2.2650%</v>
      </c>
      <c r="B84">
        <f t="shared" si="3"/>
        <v>2.2650000000000052E-2</v>
      </c>
    </row>
    <row r="85" spans="1:2" x14ac:dyDescent="0.25">
      <c r="A85" t="str">
        <f t="shared" si="2"/>
        <v>2.3650%</v>
      </c>
      <c r="B85">
        <f t="shared" si="3"/>
        <v>2.3650000000000053E-2</v>
      </c>
    </row>
    <row r="86" spans="1:2" x14ac:dyDescent="0.25">
      <c r="A86" t="str">
        <f t="shared" si="2"/>
        <v>2.4650%</v>
      </c>
      <c r="B86">
        <f t="shared" si="3"/>
        <v>2.4650000000000054E-2</v>
      </c>
    </row>
    <row r="87" spans="1:2" x14ac:dyDescent="0.25">
      <c r="A87" t="str">
        <f t="shared" si="2"/>
        <v>2.5650%</v>
      </c>
      <c r="B87">
        <f t="shared" si="3"/>
        <v>2.5650000000000055E-2</v>
      </c>
    </row>
    <row r="88" spans="1:2" x14ac:dyDescent="0.25">
      <c r="A88" t="str">
        <f t="shared" si="2"/>
        <v>2.6650%</v>
      </c>
      <c r="B88">
        <f t="shared" si="3"/>
        <v>2.6650000000000056E-2</v>
      </c>
    </row>
    <row r="89" spans="1:2" x14ac:dyDescent="0.25">
      <c r="A89" t="str">
        <f t="shared" si="2"/>
        <v>2.7650%</v>
      </c>
      <c r="B89">
        <f t="shared" si="3"/>
        <v>2.7650000000000056E-2</v>
      </c>
    </row>
    <row r="90" spans="1:2" x14ac:dyDescent="0.25">
      <c r="A90" t="str">
        <f t="shared" si="2"/>
        <v>2.8650%</v>
      </c>
      <c r="B90">
        <f t="shared" si="3"/>
        <v>2.8650000000000057E-2</v>
      </c>
    </row>
    <row r="91" spans="1:2" x14ac:dyDescent="0.25">
      <c r="A91" t="str">
        <f t="shared" si="2"/>
        <v>2.9650%</v>
      </c>
      <c r="B91">
        <f t="shared" si="3"/>
        <v>2.9650000000000058E-2</v>
      </c>
    </row>
    <row r="92" spans="1:2" x14ac:dyDescent="0.25">
      <c r="A92" t="str">
        <f t="shared" si="2"/>
        <v>3.0650%</v>
      </c>
      <c r="B92">
        <f t="shared" si="3"/>
        <v>3.0650000000000059E-2</v>
      </c>
    </row>
    <row r="93" spans="1:2" x14ac:dyDescent="0.25">
      <c r="A93" t="str">
        <f t="shared" si="2"/>
        <v>3.1650%</v>
      </c>
      <c r="B93">
        <f t="shared" si="3"/>
        <v>3.165000000000006E-2</v>
      </c>
    </row>
    <row r="94" spans="1:2" x14ac:dyDescent="0.25">
      <c r="A94" t="str">
        <f t="shared" si="2"/>
        <v>3.2650%</v>
      </c>
      <c r="B94">
        <f t="shared" si="3"/>
        <v>3.2650000000000061E-2</v>
      </c>
    </row>
    <row r="95" spans="1:2" x14ac:dyDescent="0.25">
      <c r="A95" t="str">
        <f t="shared" si="2"/>
        <v>3.3650%</v>
      </c>
      <c r="B95">
        <f t="shared" si="3"/>
        <v>3.3650000000000062E-2</v>
      </c>
    </row>
    <row r="96" spans="1:2" x14ac:dyDescent="0.25">
      <c r="A96" t="str">
        <f t="shared" si="2"/>
        <v>3.4650%</v>
      </c>
      <c r="B96">
        <f t="shared" si="3"/>
        <v>3.4650000000000063E-2</v>
      </c>
    </row>
    <row r="97" spans="1:2" x14ac:dyDescent="0.25">
      <c r="A97" t="str">
        <f t="shared" si="2"/>
        <v>3.5650%</v>
      </c>
      <c r="B97">
        <f t="shared" si="3"/>
        <v>3.5650000000000064E-2</v>
      </c>
    </row>
    <row r="98" spans="1:2" x14ac:dyDescent="0.25">
      <c r="A98" t="str">
        <f t="shared" si="2"/>
        <v>3.6650%</v>
      </c>
      <c r="B98">
        <f t="shared" si="3"/>
        <v>3.6650000000000064E-2</v>
      </c>
    </row>
    <row r="99" spans="1:2" x14ac:dyDescent="0.25">
      <c r="A99" t="str">
        <f t="shared" si="2"/>
        <v>3.7650%</v>
      </c>
      <c r="B99">
        <f t="shared" si="3"/>
        <v>3.7650000000000065E-2</v>
      </c>
    </row>
    <row r="100" spans="1:2" x14ac:dyDescent="0.25">
      <c r="A100" t="str">
        <f t="shared" si="2"/>
        <v>3.8650%</v>
      </c>
      <c r="B100">
        <f t="shared" si="3"/>
        <v>3.8650000000000066E-2</v>
      </c>
    </row>
    <row r="101" spans="1:2" x14ac:dyDescent="0.25">
      <c r="A101" t="str">
        <f t="shared" si="2"/>
        <v>3.9650%</v>
      </c>
      <c r="B101">
        <f t="shared" si="3"/>
        <v>3.9650000000000067E-2</v>
      </c>
    </row>
    <row r="102" spans="1:2" x14ac:dyDescent="0.25">
      <c r="A102" t="str">
        <f t="shared" si="2"/>
        <v>4.0650%</v>
      </c>
      <c r="B102">
        <f t="shared" si="3"/>
        <v>4.0650000000000068E-2</v>
      </c>
    </row>
    <row r="103" spans="1:2" x14ac:dyDescent="0.25">
      <c r="A103" t="str">
        <f t="shared" si="2"/>
        <v>4.1650%</v>
      </c>
      <c r="B103">
        <f t="shared" si="3"/>
        <v>4.1650000000000069E-2</v>
      </c>
    </row>
    <row r="104" spans="1:2" x14ac:dyDescent="0.25">
      <c r="A104" t="str">
        <f t="shared" si="2"/>
        <v>4.2650%</v>
      </c>
      <c r="B104">
        <f t="shared" si="3"/>
        <v>4.265000000000007E-2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1]!Sheet9.black_scholes_sensitivity_in_r1">
                <anchor moveWithCells="1" sizeWithCells="1">
                  <from>
                    <xdr:col>4</xdr:col>
                    <xdr:colOff>133350</xdr:colOff>
                    <xdr:row>5</xdr:row>
                    <xdr:rowOff>142875</xdr:rowOff>
                  </from>
                  <to>
                    <xdr:col>5</xdr:col>
                    <xdr:colOff>304800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Sheet20.heston_change_r2">
                <anchor moveWithCells="1" sizeWithCells="1">
                  <from>
                    <xdr:col>4</xdr:col>
                    <xdr:colOff>133350</xdr:colOff>
                    <xdr:row>5</xdr:row>
                    <xdr:rowOff>142875</xdr:rowOff>
                  </from>
                  <to>
                    <xdr:col>5</xdr:col>
                    <xdr:colOff>304800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K104"/>
  <sheetViews>
    <sheetView tabSelected="1" workbookViewId="0">
      <selection activeCell="E11" sqref="E11"/>
    </sheetView>
  </sheetViews>
  <sheetFormatPr defaultRowHeight="15" x14ac:dyDescent="0.25"/>
  <cols>
    <col min="2" max="2" width="15.7109375" bestFit="1" customWidth="1"/>
    <col min="3" max="3" width="15.140625" bestFit="1" customWidth="1"/>
  </cols>
  <sheetData>
    <row r="1" spans="1:11" x14ac:dyDescent="0.25">
      <c r="B1" t="s">
        <v>98</v>
      </c>
      <c r="C1">
        <f>'Parameter Page'!H5</f>
        <v>6.9300000000000004E-3</v>
      </c>
      <c r="D1">
        <f>C1*100</f>
        <v>0.69300000000000006</v>
      </c>
      <c r="E1">
        <f>C1-0.05</f>
        <v>-4.3070000000000004E-2</v>
      </c>
      <c r="F1">
        <f>C1+0.05</f>
        <v>5.6930000000000001E-2</v>
      </c>
    </row>
    <row r="2" spans="1:11" x14ac:dyDescent="0.25">
      <c r="C2" t="s">
        <v>54</v>
      </c>
      <c r="D2">
        <f>COUNT(B4:B204)</f>
        <v>101</v>
      </c>
      <c r="J2" t="s">
        <v>55</v>
      </c>
    </row>
    <row r="3" spans="1:11" x14ac:dyDescent="0.25">
      <c r="B3" t="s">
        <v>99</v>
      </c>
      <c r="C3" t="s">
        <v>57</v>
      </c>
      <c r="I3" t="str">
        <f>B3</f>
        <v>r3</v>
      </c>
      <c r="J3" t="s">
        <v>57</v>
      </c>
      <c r="K3" t="s">
        <v>59</v>
      </c>
    </row>
    <row r="4" spans="1:11" x14ac:dyDescent="0.25">
      <c r="A4" t="str">
        <f>TEXT(B4,"0.0000%")</f>
        <v>-4.3070%</v>
      </c>
      <c r="B4">
        <f>E1</f>
        <v>-4.3070000000000004E-2</v>
      </c>
      <c r="I4" s="13">
        <f>C1-0.01</f>
        <v>-3.0699999999999998E-3</v>
      </c>
      <c r="J4">
        <v>832.03726113987329</v>
      </c>
      <c r="K4" t="s">
        <v>60</v>
      </c>
    </row>
    <row r="5" spans="1:11" x14ac:dyDescent="0.25">
      <c r="A5" t="str">
        <f t="shared" ref="A5:A68" si="0">TEXT(B5,"0.0000%")</f>
        <v>-4.2070%</v>
      </c>
      <c r="B5">
        <f>B4+0.001</f>
        <v>-4.2070000000000003E-2</v>
      </c>
      <c r="I5" s="13">
        <f>C1</f>
        <v>6.9300000000000004E-3</v>
      </c>
      <c r="J5">
        <v>836.81031195288074</v>
      </c>
      <c r="K5" s="11">
        <f>(J5-J4)/J4</f>
        <v>5.736583006473131E-3</v>
      </c>
    </row>
    <row r="6" spans="1:11" x14ac:dyDescent="0.25">
      <c r="A6" t="str">
        <f t="shared" si="0"/>
        <v>-4.1070%</v>
      </c>
      <c r="B6">
        <f t="shared" ref="B6:B69" si="1">B5+0.001</f>
        <v>-4.1070000000000002E-2</v>
      </c>
      <c r="I6" s="13">
        <f>C1+0.01</f>
        <v>1.6930000000000001E-2</v>
      </c>
      <c r="J6">
        <v>841.0792690104995</v>
      </c>
      <c r="K6" s="11">
        <f>(J6-J5)/J5</f>
        <v>5.1014632547443329E-3</v>
      </c>
    </row>
    <row r="7" spans="1:11" x14ac:dyDescent="0.25">
      <c r="A7" t="str">
        <f t="shared" si="0"/>
        <v>-4.0070%</v>
      </c>
      <c r="B7">
        <f t="shared" si="1"/>
        <v>-4.0070000000000001E-2</v>
      </c>
    </row>
    <row r="8" spans="1:11" x14ac:dyDescent="0.25">
      <c r="A8" t="str">
        <f t="shared" si="0"/>
        <v>-3.9070%</v>
      </c>
      <c r="B8">
        <f t="shared" si="1"/>
        <v>-3.9070000000000001E-2</v>
      </c>
    </row>
    <row r="9" spans="1:11" x14ac:dyDescent="0.25">
      <c r="A9" t="str">
        <f t="shared" si="0"/>
        <v>-3.8070%</v>
      </c>
      <c r="B9">
        <f t="shared" si="1"/>
        <v>-3.807E-2</v>
      </c>
    </row>
    <row r="10" spans="1:11" x14ac:dyDescent="0.25">
      <c r="A10" t="str">
        <f t="shared" si="0"/>
        <v>-3.7070%</v>
      </c>
      <c r="B10">
        <f t="shared" si="1"/>
        <v>-3.7069999999999999E-2</v>
      </c>
    </row>
    <row r="11" spans="1:11" x14ac:dyDescent="0.25">
      <c r="A11" t="str">
        <f t="shared" si="0"/>
        <v>-3.6070%</v>
      </c>
      <c r="B11">
        <f t="shared" si="1"/>
        <v>-3.6069999999999998E-2</v>
      </c>
    </row>
    <row r="12" spans="1:11" x14ac:dyDescent="0.25">
      <c r="A12" t="str">
        <f t="shared" si="0"/>
        <v>-3.5070%</v>
      </c>
      <c r="B12">
        <f t="shared" si="1"/>
        <v>-3.5069999999999997E-2</v>
      </c>
    </row>
    <row r="13" spans="1:11" x14ac:dyDescent="0.25">
      <c r="A13" t="str">
        <f t="shared" si="0"/>
        <v>-3.4070%</v>
      </c>
      <c r="B13">
        <f t="shared" si="1"/>
        <v>-3.4069999999999996E-2</v>
      </c>
    </row>
    <row r="14" spans="1:11" x14ac:dyDescent="0.25">
      <c r="A14" t="str">
        <f t="shared" si="0"/>
        <v>-3.3070%</v>
      </c>
      <c r="B14">
        <f t="shared" si="1"/>
        <v>-3.3069999999999995E-2</v>
      </c>
    </row>
    <row r="15" spans="1:11" x14ac:dyDescent="0.25">
      <c r="A15" t="str">
        <f t="shared" si="0"/>
        <v>-3.2070%</v>
      </c>
      <c r="B15">
        <f t="shared" si="1"/>
        <v>-3.2069999999999994E-2</v>
      </c>
    </row>
    <row r="16" spans="1:11" x14ac:dyDescent="0.25">
      <c r="A16" t="str">
        <f t="shared" si="0"/>
        <v>-3.1070%</v>
      </c>
      <c r="B16">
        <f t="shared" si="1"/>
        <v>-3.1069999999999993E-2</v>
      </c>
    </row>
    <row r="17" spans="1:2" x14ac:dyDescent="0.25">
      <c r="A17" t="str">
        <f t="shared" si="0"/>
        <v>-3.0070%</v>
      </c>
      <c r="B17">
        <f t="shared" si="1"/>
        <v>-3.0069999999999993E-2</v>
      </c>
    </row>
    <row r="18" spans="1:2" x14ac:dyDescent="0.25">
      <c r="A18" t="str">
        <f t="shared" si="0"/>
        <v>-2.9070%</v>
      </c>
      <c r="B18">
        <f t="shared" si="1"/>
        <v>-2.9069999999999992E-2</v>
      </c>
    </row>
    <row r="19" spans="1:2" x14ac:dyDescent="0.25">
      <c r="A19" t="str">
        <f t="shared" si="0"/>
        <v>-2.8070%</v>
      </c>
      <c r="B19">
        <f t="shared" si="1"/>
        <v>-2.8069999999999991E-2</v>
      </c>
    </row>
    <row r="20" spans="1:2" x14ac:dyDescent="0.25">
      <c r="A20" t="str">
        <f t="shared" si="0"/>
        <v>-2.7070%</v>
      </c>
      <c r="B20">
        <f t="shared" si="1"/>
        <v>-2.706999999999999E-2</v>
      </c>
    </row>
    <row r="21" spans="1:2" x14ac:dyDescent="0.25">
      <c r="A21" t="str">
        <f t="shared" si="0"/>
        <v>-2.6070%</v>
      </c>
      <c r="B21">
        <f t="shared" si="1"/>
        <v>-2.6069999999999989E-2</v>
      </c>
    </row>
    <row r="22" spans="1:2" x14ac:dyDescent="0.25">
      <c r="A22" t="str">
        <f t="shared" si="0"/>
        <v>-2.5070%</v>
      </c>
      <c r="B22">
        <f t="shared" si="1"/>
        <v>-2.5069999999999988E-2</v>
      </c>
    </row>
    <row r="23" spans="1:2" x14ac:dyDescent="0.25">
      <c r="A23" t="str">
        <f t="shared" si="0"/>
        <v>-2.4070%</v>
      </c>
      <c r="B23">
        <f t="shared" si="1"/>
        <v>-2.4069999999999987E-2</v>
      </c>
    </row>
    <row r="24" spans="1:2" x14ac:dyDescent="0.25">
      <c r="A24" t="str">
        <f t="shared" si="0"/>
        <v>-2.3070%</v>
      </c>
      <c r="B24">
        <f t="shared" si="1"/>
        <v>-2.3069999999999986E-2</v>
      </c>
    </row>
    <row r="25" spans="1:2" x14ac:dyDescent="0.25">
      <c r="A25" t="str">
        <f t="shared" si="0"/>
        <v>-2.2070%</v>
      </c>
      <c r="B25">
        <f t="shared" si="1"/>
        <v>-2.2069999999999985E-2</v>
      </c>
    </row>
    <row r="26" spans="1:2" x14ac:dyDescent="0.25">
      <c r="A26" t="str">
        <f t="shared" si="0"/>
        <v>-2.1070%</v>
      </c>
      <c r="B26">
        <f t="shared" si="1"/>
        <v>-2.1069999999999985E-2</v>
      </c>
    </row>
    <row r="27" spans="1:2" x14ac:dyDescent="0.25">
      <c r="A27" t="str">
        <f t="shared" si="0"/>
        <v>-2.0070%</v>
      </c>
      <c r="B27">
        <f t="shared" si="1"/>
        <v>-2.0069999999999984E-2</v>
      </c>
    </row>
    <row r="28" spans="1:2" x14ac:dyDescent="0.25">
      <c r="A28" t="str">
        <f t="shared" si="0"/>
        <v>-1.9070%</v>
      </c>
      <c r="B28">
        <f t="shared" si="1"/>
        <v>-1.9069999999999983E-2</v>
      </c>
    </row>
    <row r="29" spans="1:2" x14ac:dyDescent="0.25">
      <c r="A29" t="str">
        <f t="shared" si="0"/>
        <v>-1.8070%</v>
      </c>
      <c r="B29">
        <f t="shared" si="1"/>
        <v>-1.8069999999999982E-2</v>
      </c>
    </row>
    <row r="30" spans="1:2" x14ac:dyDescent="0.25">
      <c r="A30" t="str">
        <f t="shared" si="0"/>
        <v>-1.7070%</v>
      </c>
      <c r="B30">
        <f t="shared" si="1"/>
        <v>-1.7069999999999981E-2</v>
      </c>
    </row>
    <row r="31" spans="1:2" x14ac:dyDescent="0.25">
      <c r="A31" t="str">
        <f t="shared" si="0"/>
        <v>-1.6070%</v>
      </c>
      <c r="B31">
        <f t="shared" si="1"/>
        <v>-1.606999999999998E-2</v>
      </c>
    </row>
    <row r="32" spans="1:2" x14ac:dyDescent="0.25">
      <c r="A32" t="str">
        <f t="shared" si="0"/>
        <v>-1.5070%</v>
      </c>
      <c r="B32">
        <f t="shared" si="1"/>
        <v>-1.5069999999999979E-2</v>
      </c>
    </row>
    <row r="33" spans="1:2" x14ac:dyDescent="0.25">
      <c r="A33" t="str">
        <f t="shared" si="0"/>
        <v>-1.4070%</v>
      </c>
      <c r="B33">
        <f t="shared" si="1"/>
        <v>-1.4069999999999978E-2</v>
      </c>
    </row>
    <row r="34" spans="1:2" x14ac:dyDescent="0.25">
      <c r="A34" t="str">
        <f t="shared" si="0"/>
        <v>-1.3070%</v>
      </c>
      <c r="B34">
        <f t="shared" si="1"/>
        <v>-1.3069999999999977E-2</v>
      </c>
    </row>
    <row r="35" spans="1:2" x14ac:dyDescent="0.25">
      <c r="A35" t="str">
        <f t="shared" si="0"/>
        <v>-1.2070%</v>
      </c>
      <c r="B35">
        <f t="shared" si="1"/>
        <v>-1.2069999999999977E-2</v>
      </c>
    </row>
    <row r="36" spans="1:2" x14ac:dyDescent="0.25">
      <c r="A36" t="str">
        <f t="shared" si="0"/>
        <v>-1.1070%</v>
      </c>
      <c r="B36">
        <f t="shared" si="1"/>
        <v>-1.1069999999999976E-2</v>
      </c>
    </row>
    <row r="37" spans="1:2" x14ac:dyDescent="0.25">
      <c r="A37" t="str">
        <f t="shared" si="0"/>
        <v>-1.0070%</v>
      </c>
      <c r="B37">
        <f t="shared" si="1"/>
        <v>-1.0069999999999975E-2</v>
      </c>
    </row>
    <row r="38" spans="1:2" x14ac:dyDescent="0.25">
      <c r="A38" t="str">
        <f t="shared" si="0"/>
        <v>-0.9070%</v>
      </c>
      <c r="B38">
        <f t="shared" si="1"/>
        <v>-9.0699999999999739E-3</v>
      </c>
    </row>
    <row r="39" spans="1:2" x14ac:dyDescent="0.25">
      <c r="A39" t="str">
        <f t="shared" si="0"/>
        <v>-0.8070%</v>
      </c>
      <c r="B39">
        <f t="shared" si="1"/>
        <v>-8.069999999999973E-3</v>
      </c>
    </row>
    <row r="40" spans="1:2" x14ac:dyDescent="0.25">
      <c r="A40" t="str">
        <f t="shared" si="0"/>
        <v>-0.7070%</v>
      </c>
      <c r="B40">
        <f t="shared" si="1"/>
        <v>-7.069999999999973E-3</v>
      </c>
    </row>
    <row r="41" spans="1:2" x14ac:dyDescent="0.25">
      <c r="A41" t="str">
        <f t="shared" si="0"/>
        <v>-0.6070%</v>
      </c>
      <c r="B41">
        <f t="shared" si="1"/>
        <v>-6.069999999999973E-3</v>
      </c>
    </row>
    <row r="42" spans="1:2" x14ac:dyDescent="0.25">
      <c r="A42" t="str">
        <f t="shared" si="0"/>
        <v>-0.5070%</v>
      </c>
      <c r="B42">
        <f t="shared" si="1"/>
        <v>-5.069999999999973E-3</v>
      </c>
    </row>
    <row r="43" spans="1:2" x14ac:dyDescent="0.25">
      <c r="A43" t="str">
        <f t="shared" si="0"/>
        <v>-0.4070%</v>
      </c>
      <c r="B43">
        <f t="shared" si="1"/>
        <v>-4.0699999999999729E-3</v>
      </c>
    </row>
    <row r="44" spans="1:2" x14ac:dyDescent="0.25">
      <c r="A44" t="str">
        <f t="shared" si="0"/>
        <v>-0.3070%</v>
      </c>
      <c r="B44">
        <f t="shared" si="1"/>
        <v>-3.0699999999999729E-3</v>
      </c>
    </row>
    <row r="45" spans="1:2" x14ac:dyDescent="0.25">
      <c r="A45" t="str">
        <f t="shared" si="0"/>
        <v>-0.2070%</v>
      </c>
      <c r="B45">
        <f t="shared" si="1"/>
        <v>-2.0699999999999729E-3</v>
      </c>
    </row>
    <row r="46" spans="1:2" x14ac:dyDescent="0.25">
      <c r="A46" t="str">
        <f t="shared" si="0"/>
        <v>-0.1070%</v>
      </c>
      <c r="B46">
        <f t="shared" si="1"/>
        <v>-1.0699999999999729E-3</v>
      </c>
    </row>
    <row r="47" spans="1:2" x14ac:dyDescent="0.25">
      <c r="A47" t="str">
        <f t="shared" si="0"/>
        <v>-0.0070%</v>
      </c>
      <c r="B47">
        <f t="shared" si="1"/>
        <v>-6.9999999999972862E-5</v>
      </c>
    </row>
    <row r="48" spans="1:2" x14ac:dyDescent="0.25">
      <c r="A48" t="str">
        <f t="shared" si="0"/>
        <v>0.0930%</v>
      </c>
      <c r="B48">
        <f t="shared" si="1"/>
        <v>9.3000000000002716E-4</v>
      </c>
    </row>
    <row r="49" spans="1:2" x14ac:dyDescent="0.25">
      <c r="A49" t="str">
        <f t="shared" si="0"/>
        <v>0.1930%</v>
      </c>
      <c r="B49">
        <f t="shared" si="1"/>
        <v>1.9300000000000272E-3</v>
      </c>
    </row>
    <row r="50" spans="1:2" x14ac:dyDescent="0.25">
      <c r="A50" t="str">
        <f t="shared" si="0"/>
        <v>0.2930%</v>
      </c>
      <c r="B50">
        <f t="shared" si="1"/>
        <v>2.9300000000000272E-3</v>
      </c>
    </row>
    <row r="51" spans="1:2" x14ac:dyDescent="0.25">
      <c r="A51" t="str">
        <f t="shared" si="0"/>
        <v>0.3930%</v>
      </c>
      <c r="B51">
        <f t="shared" si="1"/>
        <v>3.9300000000000272E-3</v>
      </c>
    </row>
    <row r="52" spans="1:2" x14ac:dyDescent="0.25">
      <c r="A52" t="str">
        <f t="shared" si="0"/>
        <v>0.4930%</v>
      </c>
      <c r="B52">
        <f t="shared" si="1"/>
        <v>4.9300000000000272E-3</v>
      </c>
    </row>
    <row r="53" spans="1:2" x14ac:dyDescent="0.25">
      <c r="A53" t="str">
        <f t="shared" si="0"/>
        <v>0.5930%</v>
      </c>
      <c r="B53">
        <f t="shared" si="1"/>
        <v>5.9300000000000273E-3</v>
      </c>
    </row>
    <row r="54" spans="1:2" x14ac:dyDescent="0.25">
      <c r="A54" t="str">
        <f t="shared" si="0"/>
        <v>0.6930%</v>
      </c>
      <c r="B54">
        <f t="shared" si="1"/>
        <v>6.9300000000000273E-3</v>
      </c>
    </row>
    <row r="55" spans="1:2" x14ac:dyDescent="0.25">
      <c r="A55" t="str">
        <f t="shared" si="0"/>
        <v>0.7930%</v>
      </c>
      <c r="B55">
        <f t="shared" si="1"/>
        <v>7.9300000000000273E-3</v>
      </c>
    </row>
    <row r="56" spans="1:2" x14ac:dyDescent="0.25">
      <c r="A56" t="str">
        <f t="shared" si="0"/>
        <v>0.8930%</v>
      </c>
      <c r="B56">
        <f t="shared" si="1"/>
        <v>8.9300000000000282E-3</v>
      </c>
    </row>
    <row r="57" spans="1:2" x14ac:dyDescent="0.25">
      <c r="A57" t="str">
        <f t="shared" si="0"/>
        <v>0.9930%</v>
      </c>
      <c r="B57">
        <f t="shared" si="1"/>
        <v>9.9300000000000291E-3</v>
      </c>
    </row>
    <row r="58" spans="1:2" x14ac:dyDescent="0.25">
      <c r="A58" t="str">
        <f t="shared" si="0"/>
        <v>1.0930%</v>
      </c>
      <c r="B58">
        <f t="shared" si="1"/>
        <v>1.093000000000003E-2</v>
      </c>
    </row>
    <row r="59" spans="1:2" x14ac:dyDescent="0.25">
      <c r="A59" t="str">
        <f t="shared" si="0"/>
        <v>1.1930%</v>
      </c>
      <c r="B59">
        <f t="shared" si="1"/>
        <v>1.1930000000000031E-2</v>
      </c>
    </row>
    <row r="60" spans="1:2" x14ac:dyDescent="0.25">
      <c r="A60" t="str">
        <f t="shared" si="0"/>
        <v>1.2930%</v>
      </c>
      <c r="B60">
        <f t="shared" si="1"/>
        <v>1.2930000000000032E-2</v>
      </c>
    </row>
    <row r="61" spans="1:2" x14ac:dyDescent="0.25">
      <c r="A61" t="str">
        <f t="shared" si="0"/>
        <v>1.3930%</v>
      </c>
      <c r="B61">
        <f t="shared" si="1"/>
        <v>1.3930000000000033E-2</v>
      </c>
    </row>
    <row r="62" spans="1:2" x14ac:dyDescent="0.25">
      <c r="A62" t="str">
        <f t="shared" si="0"/>
        <v>1.4930%</v>
      </c>
      <c r="B62">
        <f t="shared" si="1"/>
        <v>1.4930000000000034E-2</v>
      </c>
    </row>
    <row r="63" spans="1:2" x14ac:dyDescent="0.25">
      <c r="A63" t="str">
        <f t="shared" si="0"/>
        <v>1.5930%</v>
      </c>
      <c r="B63">
        <f t="shared" si="1"/>
        <v>1.5930000000000034E-2</v>
      </c>
    </row>
    <row r="64" spans="1:2" x14ac:dyDescent="0.25">
      <c r="A64" t="str">
        <f t="shared" si="0"/>
        <v>1.6930%</v>
      </c>
      <c r="B64">
        <f t="shared" si="1"/>
        <v>1.6930000000000035E-2</v>
      </c>
    </row>
    <row r="65" spans="1:2" x14ac:dyDescent="0.25">
      <c r="A65" t="str">
        <f t="shared" si="0"/>
        <v>1.7930%</v>
      </c>
      <c r="B65">
        <f t="shared" si="1"/>
        <v>1.7930000000000036E-2</v>
      </c>
    </row>
    <row r="66" spans="1:2" x14ac:dyDescent="0.25">
      <c r="A66" t="str">
        <f t="shared" si="0"/>
        <v>1.8930%</v>
      </c>
      <c r="B66">
        <f t="shared" si="1"/>
        <v>1.8930000000000037E-2</v>
      </c>
    </row>
    <row r="67" spans="1:2" x14ac:dyDescent="0.25">
      <c r="A67" t="str">
        <f t="shared" si="0"/>
        <v>1.9930%</v>
      </c>
      <c r="B67">
        <f t="shared" si="1"/>
        <v>1.9930000000000038E-2</v>
      </c>
    </row>
    <row r="68" spans="1:2" x14ac:dyDescent="0.25">
      <c r="A68" t="str">
        <f t="shared" si="0"/>
        <v>2.0930%</v>
      </c>
      <c r="B68">
        <f t="shared" si="1"/>
        <v>2.0930000000000039E-2</v>
      </c>
    </row>
    <row r="69" spans="1:2" x14ac:dyDescent="0.25">
      <c r="A69" t="str">
        <f t="shared" ref="A69:A104" si="2">TEXT(B69,"0.0000%")</f>
        <v>2.1930%</v>
      </c>
      <c r="B69">
        <f t="shared" si="1"/>
        <v>2.193000000000004E-2</v>
      </c>
    </row>
    <row r="70" spans="1:2" x14ac:dyDescent="0.25">
      <c r="A70" t="str">
        <f t="shared" si="2"/>
        <v>2.2930%</v>
      </c>
      <c r="B70">
        <f t="shared" ref="B70:B104" si="3">B69+0.001</f>
        <v>2.2930000000000041E-2</v>
      </c>
    </row>
    <row r="71" spans="1:2" x14ac:dyDescent="0.25">
      <c r="A71" t="str">
        <f t="shared" si="2"/>
        <v>2.3930%</v>
      </c>
      <c r="B71">
        <f t="shared" si="3"/>
        <v>2.3930000000000042E-2</v>
      </c>
    </row>
    <row r="72" spans="1:2" x14ac:dyDescent="0.25">
      <c r="A72" t="str">
        <f t="shared" si="2"/>
        <v>2.4930%</v>
      </c>
      <c r="B72">
        <f t="shared" si="3"/>
        <v>2.4930000000000042E-2</v>
      </c>
    </row>
    <row r="73" spans="1:2" x14ac:dyDescent="0.25">
      <c r="A73" t="str">
        <f t="shared" si="2"/>
        <v>2.5930%</v>
      </c>
      <c r="B73">
        <f t="shared" si="3"/>
        <v>2.5930000000000043E-2</v>
      </c>
    </row>
    <row r="74" spans="1:2" x14ac:dyDescent="0.25">
      <c r="A74" t="str">
        <f t="shared" si="2"/>
        <v>2.6930%</v>
      </c>
      <c r="B74">
        <f t="shared" si="3"/>
        <v>2.6930000000000044E-2</v>
      </c>
    </row>
    <row r="75" spans="1:2" x14ac:dyDescent="0.25">
      <c r="A75" t="str">
        <f t="shared" si="2"/>
        <v>2.7930%</v>
      </c>
      <c r="B75">
        <f t="shared" si="3"/>
        <v>2.7930000000000045E-2</v>
      </c>
    </row>
    <row r="76" spans="1:2" x14ac:dyDescent="0.25">
      <c r="A76" t="str">
        <f t="shared" si="2"/>
        <v>2.8930%</v>
      </c>
      <c r="B76">
        <f t="shared" si="3"/>
        <v>2.8930000000000046E-2</v>
      </c>
    </row>
    <row r="77" spans="1:2" x14ac:dyDescent="0.25">
      <c r="A77" t="str">
        <f t="shared" si="2"/>
        <v>2.9930%</v>
      </c>
      <c r="B77">
        <f t="shared" si="3"/>
        <v>2.9930000000000047E-2</v>
      </c>
    </row>
    <row r="78" spans="1:2" x14ac:dyDescent="0.25">
      <c r="A78" t="str">
        <f t="shared" si="2"/>
        <v>3.0930%</v>
      </c>
      <c r="B78">
        <f t="shared" si="3"/>
        <v>3.0930000000000048E-2</v>
      </c>
    </row>
    <row r="79" spans="1:2" x14ac:dyDescent="0.25">
      <c r="A79" t="str">
        <f t="shared" si="2"/>
        <v>3.1930%</v>
      </c>
      <c r="B79">
        <f t="shared" si="3"/>
        <v>3.1930000000000049E-2</v>
      </c>
    </row>
    <row r="80" spans="1:2" x14ac:dyDescent="0.25">
      <c r="A80" t="str">
        <f t="shared" si="2"/>
        <v>3.2930%</v>
      </c>
      <c r="B80">
        <f t="shared" si="3"/>
        <v>3.293000000000005E-2</v>
      </c>
    </row>
    <row r="81" spans="1:2" x14ac:dyDescent="0.25">
      <c r="A81" t="str">
        <f t="shared" si="2"/>
        <v>3.3930%</v>
      </c>
      <c r="B81">
        <f t="shared" si="3"/>
        <v>3.393000000000005E-2</v>
      </c>
    </row>
    <row r="82" spans="1:2" x14ac:dyDescent="0.25">
      <c r="A82" t="str">
        <f t="shared" si="2"/>
        <v>3.4930%</v>
      </c>
      <c r="B82">
        <f t="shared" si="3"/>
        <v>3.4930000000000051E-2</v>
      </c>
    </row>
    <row r="83" spans="1:2" x14ac:dyDescent="0.25">
      <c r="A83" t="str">
        <f t="shared" si="2"/>
        <v>3.5930%</v>
      </c>
      <c r="B83">
        <f t="shared" si="3"/>
        <v>3.5930000000000052E-2</v>
      </c>
    </row>
    <row r="84" spans="1:2" x14ac:dyDescent="0.25">
      <c r="A84" t="str">
        <f t="shared" si="2"/>
        <v>3.6930%</v>
      </c>
      <c r="B84">
        <f t="shared" si="3"/>
        <v>3.6930000000000053E-2</v>
      </c>
    </row>
    <row r="85" spans="1:2" x14ac:dyDescent="0.25">
      <c r="A85" t="str">
        <f t="shared" si="2"/>
        <v>3.7930%</v>
      </c>
      <c r="B85">
        <f t="shared" si="3"/>
        <v>3.7930000000000054E-2</v>
      </c>
    </row>
    <row r="86" spans="1:2" x14ac:dyDescent="0.25">
      <c r="A86" t="str">
        <f t="shared" si="2"/>
        <v>3.8930%</v>
      </c>
      <c r="B86">
        <f t="shared" si="3"/>
        <v>3.8930000000000055E-2</v>
      </c>
    </row>
    <row r="87" spans="1:2" x14ac:dyDescent="0.25">
      <c r="A87" t="str">
        <f t="shared" si="2"/>
        <v>3.9930%</v>
      </c>
      <c r="B87">
        <f t="shared" si="3"/>
        <v>3.9930000000000056E-2</v>
      </c>
    </row>
    <row r="88" spans="1:2" x14ac:dyDescent="0.25">
      <c r="A88" t="str">
        <f t="shared" si="2"/>
        <v>4.0930%</v>
      </c>
      <c r="B88">
        <f t="shared" si="3"/>
        <v>4.0930000000000057E-2</v>
      </c>
    </row>
    <row r="89" spans="1:2" x14ac:dyDescent="0.25">
      <c r="A89" t="str">
        <f t="shared" si="2"/>
        <v>4.1930%</v>
      </c>
      <c r="B89">
        <f t="shared" si="3"/>
        <v>4.1930000000000058E-2</v>
      </c>
    </row>
    <row r="90" spans="1:2" x14ac:dyDescent="0.25">
      <c r="A90" t="str">
        <f t="shared" si="2"/>
        <v>4.2930%</v>
      </c>
      <c r="B90">
        <f t="shared" si="3"/>
        <v>4.2930000000000058E-2</v>
      </c>
    </row>
    <row r="91" spans="1:2" x14ac:dyDescent="0.25">
      <c r="A91" t="str">
        <f t="shared" si="2"/>
        <v>4.3930%</v>
      </c>
      <c r="B91">
        <f t="shared" si="3"/>
        <v>4.3930000000000059E-2</v>
      </c>
    </row>
    <row r="92" spans="1:2" x14ac:dyDescent="0.25">
      <c r="A92" t="str">
        <f t="shared" si="2"/>
        <v>4.4930%</v>
      </c>
      <c r="B92">
        <f t="shared" si="3"/>
        <v>4.493000000000006E-2</v>
      </c>
    </row>
    <row r="93" spans="1:2" x14ac:dyDescent="0.25">
      <c r="A93" t="str">
        <f t="shared" si="2"/>
        <v>4.5930%</v>
      </c>
      <c r="B93">
        <f t="shared" si="3"/>
        <v>4.5930000000000061E-2</v>
      </c>
    </row>
    <row r="94" spans="1:2" x14ac:dyDescent="0.25">
      <c r="A94" t="str">
        <f t="shared" si="2"/>
        <v>4.6930%</v>
      </c>
      <c r="B94">
        <f t="shared" si="3"/>
        <v>4.6930000000000062E-2</v>
      </c>
    </row>
    <row r="95" spans="1:2" x14ac:dyDescent="0.25">
      <c r="A95" t="str">
        <f t="shared" si="2"/>
        <v>4.7930%</v>
      </c>
      <c r="B95">
        <f t="shared" si="3"/>
        <v>4.7930000000000063E-2</v>
      </c>
    </row>
    <row r="96" spans="1:2" x14ac:dyDescent="0.25">
      <c r="A96" t="str">
        <f t="shared" si="2"/>
        <v>4.8930%</v>
      </c>
      <c r="B96">
        <f t="shared" si="3"/>
        <v>4.8930000000000064E-2</v>
      </c>
    </row>
    <row r="97" spans="1:2" x14ac:dyDescent="0.25">
      <c r="A97" t="str">
        <f t="shared" si="2"/>
        <v>4.9930%</v>
      </c>
      <c r="B97">
        <f t="shared" si="3"/>
        <v>4.9930000000000065E-2</v>
      </c>
    </row>
    <row r="98" spans="1:2" x14ac:dyDescent="0.25">
      <c r="A98" t="str">
        <f t="shared" si="2"/>
        <v>5.0930%</v>
      </c>
      <c r="B98">
        <f t="shared" si="3"/>
        <v>5.0930000000000065E-2</v>
      </c>
    </row>
    <row r="99" spans="1:2" x14ac:dyDescent="0.25">
      <c r="A99" t="str">
        <f t="shared" si="2"/>
        <v>5.1930%</v>
      </c>
      <c r="B99">
        <f t="shared" si="3"/>
        <v>5.1930000000000066E-2</v>
      </c>
    </row>
    <row r="100" spans="1:2" x14ac:dyDescent="0.25">
      <c r="A100" t="str">
        <f t="shared" si="2"/>
        <v>5.2930%</v>
      </c>
      <c r="B100">
        <f t="shared" si="3"/>
        <v>5.2930000000000067E-2</v>
      </c>
    </row>
    <row r="101" spans="1:2" x14ac:dyDescent="0.25">
      <c r="A101" t="str">
        <f t="shared" si="2"/>
        <v>5.3930%</v>
      </c>
      <c r="B101">
        <f t="shared" si="3"/>
        <v>5.3930000000000068E-2</v>
      </c>
    </row>
    <row r="102" spans="1:2" x14ac:dyDescent="0.25">
      <c r="A102" t="str">
        <f t="shared" si="2"/>
        <v>5.4930%</v>
      </c>
      <c r="B102">
        <f t="shared" si="3"/>
        <v>5.4930000000000069E-2</v>
      </c>
    </row>
    <row r="103" spans="1:2" x14ac:dyDescent="0.25">
      <c r="A103" t="str">
        <f t="shared" si="2"/>
        <v>5.5930%</v>
      </c>
      <c r="B103">
        <f t="shared" si="3"/>
        <v>5.593000000000007E-2</v>
      </c>
    </row>
    <row r="104" spans="1:2" x14ac:dyDescent="0.25">
      <c r="A104" t="str">
        <f t="shared" si="2"/>
        <v>5.6930%</v>
      </c>
      <c r="B104">
        <f t="shared" si="3"/>
        <v>5.6930000000000071E-2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1]!Sheet9.black_scholes_sensitivity_in_r1">
                <anchor moveWithCells="1" sizeWithCells="1">
                  <from>
                    <xdr:col>4</xdr:col>
                    <xdr:colOff>133350</xdr:colOff>
                    <xdr:row>5</xdr:row>
                    <xdr:rowOff>142875</xdr:rowOff>
                  </from>
                  <to>
                    <xdr:col>5</xdr:col>
                    <xdr:colOff>304800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Sheet21.heston_change_r3">
                <anchor moveWithCells="1" sizeWithCells="1">
                  <from>
                    <xdr:col>4</xdr:col>
                    <xdr:colOff>133350</xdr:colOff>
                    <xdr:row>5</xdr:row>
                    <xdr:rowOff>142875</xdr:rowOff>
                  </from>
                  <to>
                    <xdr:col>5</xdr:col>
                    <xdr:colOff>304800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read me</vt:lpstr>
      <vt:lpstr>Parameter Page</vt:lpstr>
      <vt:lpstr>Cholesky Decomposition</vt:lpstr>
      <vt:lpstr>Changes in S1</vt:lpstr>
      <vt:lpstr>Changes in S2</vt:lpstr>
      <vt:lpstr>Changes in S3</vt:lpstr>
      <vt:lpstr>v1(0)</vt:lpstr>
      <vt:lpstr>v2(0)</vt:lpstr>
      <vt:lpstr>v3(0)</vt:lpstr>
      <vt:lpstr>sigma_v1</vt:lpstr>
      <vt:lpstr>sigma_v2</vt:lpstr>
      <vt:lpstr>sigma_v3</vt:lpstr>
      <vt:lpstr>theta_1</vt:lpstr>
      <vt:lpstr>theta_2</vt:lpstr>
      <vt:lpstr>theta_3</vt:lpstr>
      <vt:lpstr>kappa_1</vt:lpstr>
      <vt:lpstr>kappa_2</vt:lpstr>
      <vt:lpstr>kappa_3</vt:lpstr>
      <vt:lpstr>r1</vt:lpstr>
      <vt:lpstr>r2</vt:lpstr>
      <vt:lpstr>r3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LEUNG, Chi Shun</dc:creator>
  <cp:lastModifiedBy>LEUNG, Chi Shun</cp:lastModifiedBy>
  <dcterms:created xsi:type="dcterms:W3CDTF">2018-11-16T13:31:42Z</dcterms:created>
  <dcterms:modified xsi:type="dcterms:W3CDTF">2018-11-25T14:19:48Z</dcterms:modified>
</cp:coreProperties>
</file>