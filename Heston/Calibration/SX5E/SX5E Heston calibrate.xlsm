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\Desktop\Heston Calibration Finalized\SX5E Heston Calibration Finalized\"/>
    </mc:Choice>
  </mc:AlternateContent>
  <xr:revisionPtr revIDLastSave="0" documentId="13_ncr:1_{30A8D752-143F-4835-88E2-3893A1FEB90E}" xr6:coauthVersionLast="40" xr6:coauthVersionMax="40" xr10:uidLastSave="{00000000-0000-0000-0000-000000000000}"/>
  <bookViews>
    <workbookView xWindow="0" yWindow="0" windowWidth="19200" windowHeight="7440" xr2:uid="{00000000-000D-0000-FFFF-FFFF00000000}"/>
  </bookViews>
  <sheets>
    <sheet name="Calibration" sheetId="2" r:id="rId1"/>
    <sheet name="12_18_20 (2year) call" sheetId="14" r:id="rId2"/>
    <sheet name="12_20_19 (1year) call" sheetId="15" r:id="rId3"/>
  </sheets>
  <functionGroups builtInGroupCount="19"/>
  <externalReferences>
    <externalReference r:id="rId4"/>
  </externalReferences>
  <definedNames>
    <definedName name="SpreadsheetBuilder_1" hidden="1">#REF!</definedName>
    <definedName name="SpreadsheetBuilder_2" hidden="1">#REF!</definedName>
    <definedName name="SpreadsheetBuilder_3" hidden="1">'[1]121820 call'!#REF!</definedName>
    <definedName name="SpreadsheetBuilder_4" hidden="1">#REF!</definedName>
    <definedName name="SpreadsheetBuilder_6" hidden="1">#REF!</definedName>
    <definedName name="SpreadsheetBuilder_8" hidden="1">#REF!</definedName>
    <definedName name="SpreadsheetBuilder_9" hidden="1">#REF!</definedName>
    <definedName name="test">Calibration!$D$10:$D$15</definedName>
    <definedName name="texst">Calibration!$D$10:$D$14</definedName>
    <definedName name="Weighting_Scheme">Calibration!$Z$5:$Z$6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39" i="2" l="1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I39" i="2"/>
  <c r="H39" i="2"/>
  <c r="I38" i="2"/>
  <c r="H38" i="2"/>
  <c r="I37" i="2"/>
  <c r="H37" i="2"/>
  <c r="I36" i="2"/>
  <c r="H36" i="2"/>
  <c r="I35" i="2"/>
  <c r="H35" i="2"/>
  <c r="I34" i="2"/>
  <c r="H34" i="2"/>
  <c r="I33" i="2"/>
  <c r="H33" i="2"/>
  <c r="I32" i="2"/>
  <c r="H32" i="2"/>
  <c r="I31" i="2"/>
  <c r="H31" i="2"/>
  <c r="I30" i="2"/>
  <c r="H30" i="2"/>
  <c r="I29" i="2"/>
  <c r="H29" i="2"/>
  <c r="I28" i="2"/>
  <c r="H28" i="2"/>
  <c r="I27" i="2"/>
  <c r="H27" i="2"/>
  <c r="I26" i="2"/>
  <c r="H26" i="2"/>
  <c r="I25" i="2"/>
  <c r="H25" i="2"/>
  <c r="I24" i="2"/>
  <c r="H24" i="2"/>
  <c r="I23" i="2"/>
  <c r="H23" i="2"/>
  <c r="I22" i="2"/>
  <c r="H22" i="2"/>
  <c r="I21" i="2"/>
  <c r="H21" i="2"/>
  <c r="I20" i="2"/>
  <c r="H20" i="2"/>
  <c r="I19" i="2"/>
  <c r="H19" i="2"/>
  <c r="I18" i="2"/>
  <c r="H18" i="2"/>
  <c r="I17" i="2"/>
  <c r="H17" i="2"/>
  <c r="I16" i="2"/>
  <c r="H16" i="2"/>
  <c r="I15" i="2"/>
  <c r="H15" i="2"/>
  <c r="I14" i="2"/>
  <c r="H14" i="2"/>
  <c r="I13" i="2"/>
  <c r="H13" i="2"/>
  <c r="I12" i="2"/>
  <c r="H12" i="2"/>
  <c r="I11" i="2"/>
  <c r="H11" i="2"/>
  <c r="I10" i="2"/>
  <c r="H10" i="2"/>
  <c r="I9" i="2"/>
  <c r="H9" i="2"/>
  <c r="I8" i="2"/>
  <c r="H8" i="2"/>
  <c r="I7" i="2"/>
  <c r="H7" i="2"/>
  <c r="I6" i="2"/>
  <c r="H6" i="2"/>
  <c r="M5" i="2" l="1"/>
  <c r="H5" i="2"/>
  <c r="C7" i="2"/>
  <c r="I38" i="15"/>
  <c r="J38" i="15" s="1"/>
  <c r="K38" i="15" s="1"/>
  <c r="L38" i="15" s="1"/>
  <c r="I37" i="15"/>
  <c r="J37" i="15" s="1"/>
  <c r="K37" i="15" s="1"/>
  <c r="L37" i="15" s="1"/>
  <c r="I36" i="15"/>
  <c r="J36" i="15" s="1"/>
  <c r="K36" i="15" s="1"/>
  <c r="L36" i="15" s="1"/>
  <c r="I35" i="15"/>
  <c r="J35" i="15" s="1"/>
  <c r="K35" i="15" s="1"/>
  <c r="L35" i="15" s="1"/>
  <c r="I34" i="15"/>
  <c r="J34" i="15" s="1"/>
  <c r="K34" i="15" s="1"/>
  <c r="L34" i="15" s="1"/>
  <c r="I33" i="15"/>
  <c r="J33" i="15" s="1"/>
  <c r="K33" i="15" s="1"/>
  <c r="L33" i="15" s="1"/>
  <c r="I32" i="15"/>
  <c r="J32" i="15" s="1"/>
  <c r="K32" i="15" s="1"/>
  <c r="L32" i="15" s="1"/>
  <c r="I31" i="15"/>
  <c r="J31" i="15" s="1"/>
  <c r="K31" i="15" s="1"/>
  <c r="L31" i="15" s="1"/>
  <c r="I30" i="15"/>
  <c r="J30" i="15" s="1"/>
  <c r="K30" i="15" s="1"/>
  <c r="L30" i="15" s="1"/>
  <c r="I29" i="15"/>
  <c r="J29" i="15" s="1"/>
  <c r="K29" i="15" s="1"/>
  <c r="L29" i="15" s="1"/>
  <c r="I28" i="15"/>
  <c r="J28" i="15" s="1"/>
  <c r="K28" i="15" s="1"/>
  <c r="L28" i="15" s="1"/>
  <c r="I27" i="15"/>
  <c r="J27" i="15" s="1"/>
  <c r="K27" i="15" s="1"/>
  <c r="L27" i="15" s="1"/>
  <c r="I26" i="15"/>
  <c r="J26" i="15" s="1"/>
  <c r="K26" i="15" s="1"/>
  <c r="L26" i="15" s="1"/>
  <c r="I25" i="15"/>
  <c r="J25" i="15" s="1"/>
  <c r="K25" i="15" s="1"/>
  <c r="L25" i="15" s="1"/>
  <c r="I24" i="15"/>
  <c r="J24" i="15" s="1"/>
  <c r="K24" i="15" s="1"/>
  <c r="L24" i="15" s="1"/>
  <c r="I23" i="15"/>
  <c r="J23" i="15" s="1"/>
  <c r="K23" i="15" s="1"/>
  <c r="L23" i="15" s="1"/>
  <c r="I22" i="15"/>
  <c r="J22" i="15" s="1"/>
  <c r="K22" i="15" s="1"/>
  <c r="L22" i="15" s="1"/>
  <c r="I21" i="15"/>
  <c r="J21" i="15" s="1"/>
  <c r="K21" i="15" s="1"/>
  <c r="L21" i="15" s="1"/>
  <c r="I20" i="15"/>
  <c r="J20" i="15" s="1"/>
  <c r="K20" i="15" s="1"/>
  <c r="L20" i="15" s="1"/>
  <c r="I19" i="15"/>
  <c r="J19" i="15" s="1"/>
  <c r="K19" i="15" s="1"/>
  <c r="L19" i="15" s="1"/>
  <c r="I18" i="15"/>
  <c r="J18" i="15" s="1"/>
  <c r="K18" i="15" s="1"/>
  <c r="L18" i="15" s="1"/>
  <c r="I17" i="15"/>
  <c r="J17" i="15" s="1"/>
  <c r="K17" i="15" s="1"/>
  <c r="L17" i="15" s="1"/>
  <c r="I16" i="15"/>
  <c r="J16" i="15" s="1"/>
  <c r="K16" i="15" s="1"/>
  <c r="L16" i="15" s="1"/>
  <c r="I15" i="15"/>
  <c r="J15" i="15" s="1"/>
  <c r="K15" i="15" s="1"/>
  <c r="L15" i="15" s="1"/>
  <c r="I14" i="15"/>
  <c r="J14" i="15" s="1"/>
  <c r="K14" i="15" s="1"/>
  <c r="L14" i="15" s="1"/>
  <c r="I13" i="15"/>
  <c r="J13" i="15" s="1"/>
  <c r="K13" i="15" s="1"/>
  <c r="L13" i="15" s="1"/>
  <c r="I12" i="15"/>
  <c r="J12" i="15" s="1"/>
  <c r="K12" i="15" s="1"/>
  <c r="L12" i="15" s="1"/>
  <c r="I11" i="15"/>
  <c r="J11" i="15" s="1"/>
  <c r="K11" i="15" s="1"/>
  <c r="L11" i="15" s="1"/>
  <c r="I10" i="15"/>
  <c r="J10" i="15" s="1"/>
  <c r="K10" i="15" s="1"/>
  <c r="L10" i="15" s="1"/>
  <c r="I9" i="15"/>
  <c r="J9" i="15" s="1"/>
  <c r="K9" i="15" s="1"/>
  <c r="L9" i="15" s="1"/>
  <c r="I8" i="15"/>
  <c r="J8" i="15" s="1"/>
  <c r="K8" i="15" s="1"/>
  <c r="L8" i="15" s="1"/>
  <c r="I7" i="15"/>
  <c r="J7" i="15" s="1"/>
  <c r="K7" i="15" s="1"/>
  <c r="L7" i="15" s="1"/>
  <c r="I6" i="15"/>
  <c r="J6" i="15" s="1"/>
  <c r="K6" i="15" s="1"/>
  <c r="L6" i="15" s="1"/>
  <c r="I5" i="15"/>
  <c r="J5" i="15" s="1"/>
  <c r="K5" i="15" s="1"/>
  <c r="L5" i="15" s="1"/>
  <c r="I4" i="15"/>
  <c r="J4" i="15" s="1"/>
  <c r="K4" i="15" s="1"/>
  <c r="L4" i="15" s="1"/>
  <c r="O3" i="15"/>
  <c r="J3" i="15"/>
  <c r="K3" i="15" s="1"/>
  <c r="L3" i="15" s="1"/>
  <c r="I3" i="15"/>
  <c r="J37" i="14"/>
  <c r="K37" i="14" s="1"/>
  <c r="L37" i="14" s="1"/>
  <c r="I37" i="14"/>
  <c r="J36" i="14"/>
  <c r="K36" i="14" s="1"/>
  <c r="L36" i="14" s="1"/>
  <c r="I36" i="14"/>
  <c r="J35" i="14"/>
  <c r="K35" i="14" s="1"/>
  <c r="L35" i="14" s="1"/>
  <c r="I35" i="14"/>
  <c r="J34" i="14"/>
  <c r="K34" i="14" s="1"/>
  <c r="L34" i="14" s="1"/>
  <c r="I34" i="14"/>
  <c r="J33" i="14"/>
  <c r="K33" i="14" s="1"/>
  <c r="L33" i="14" s="1"/>
  <c r="I33" i="14"/>
  <c r="J32" i="14"/>
  <c r="K32" i="14" s="1"/>
  <c r="L32" i="14" s="1"/>
  <c r="I32" i="14"/>
  <c r="J31" i="14"/>
  <c r="K31" i="14" s="1"/>
  <c r="L31" i="14" s="1"/>
  <c r="I31" i="14"/>
  <c r="J30" i="14"/>
  <c r="K30" i="14" s="1"/>
  <c r="L30" i="14" s="1"/>
  <c r="I30" i="14"/>
  <c r="J29" i="14"/>
  <c r="K29" i="14" s="1"/>
  <c r="L29" i="14" s="1"/>
  <c r="I29" i="14"/>
  <c r="J28" i="14"/>
  <c r="K28" i="14" s="1"/>
  <c r="L28" i="14" s="1"/>
  <c r="I28" i="14"/>
  <c r="J27" i="14"/>
  <c r="K27" i="14" s="1"/>
  <c r="L27" i="14" s="1"/>
  <c r="I27" i="14"/>
  <c r="J26" i="14"/>
  <c r="K26" i="14" s="1"/>
  <c r="L26" i="14" s="1"/>
  <c r="I26" i="14"/>
  <c r="J25" i="14"/>
  <c r="K25" i="14" s="1"/>
  <c r="L25" i="14" s="1"/>
  <c r="I25" i="14"/>
  <c r="J24" i="14"/>
  <c r="K24" i="14" s="1"/>
  <c r="L24" i="14" s="1"/>
  <c r="I24" i="14"/>
  <c r="J23" i="14"/>
  <c r="K23" i="14" s="1"/>
  <c r="L23" i="14" s="1"/>
  <c r="I23" i="14"/>
  <c r="J22" i="14"/>
  <c r="K22" i="14" s="1"/>
  <c r="L22" i="14" s="1"/>
  <c r="I22" i="14"/>
  <c r="J21" i="14"/>
  <c r="K21" i="14" s="1"/>
  <c r="L21" i="14" s="1"/>
  <c r="I21" i="14"/>
  <c r="J20" i="14"/>
  <c r="K20" i="14" s="1"/>
  <c r="L20" i="14" s="1"/>
  <c r="I20" i="14"/>
  <c r="J19" i="14"/>
  <c r="K19" i="14" s="1"/>
  <c r="L19" i="14" s="1"/>
  <c r="I19" i="14"/>
  <c r="J18" i="14"/>
  <c r="K18" i="14" s="1"/>
  <c r="L18" i="14" s="1"/>
  <c r="I18" i="14"/>
  <c r="J17" i="14"/>
  <c r="K17" i="14" s="1"/>
  <c r="L17" i="14" s="1"/>
  <c r="I17" i="14"/>
  <c r="J16" i="14"/>
  <c r="K16" i="14" s="1"/>
  <c r="L16" i="14" s="1"/>
  <c r="I16" i="14"/>
  <c r="J15" i="14"/>
  <c r="K15" i="14" s="1"/>
  <c r="L15" i="14" s="1"/>
  <c r="I15" i="14"/>
  <c r="J14" i="14"/>
  <c r="K14" i="14" s="1"/>
  <c r="L14" i="14" s="1"/>
  <c r="I14" i="14"/>
  <c r="J13" i="14"/>
  <c r="K13" i="14" s="1"/>
  <c r="L13" i="14" s="1"/>
  <c r="I13" i="14"/>
  <c r="J12" i="14"/>
  <c r="K12" i="14" s="1"/>
  <c r="L12" i="14" s="1"/>
  <c r="I12" i="14"/>
  <c r="I11" i="14"/>
  <c r="J11" i="14" s="1"/>
  <c r="K11" i="14" s="1"/>
  <c r="L11" i="14" s="1"/>
  <c r="I10" i="14"/>
  <c r="J10" i="14" s="1"/>
  <c r="K10" i="14" s="1"/>
  <c r="L10" i="14" s="1"/>
  <c r="I9" i="14"/>
  <c r="J9" i="14" s="1"/>
  <c r="K9" i="14" s="1"/>
  <c r="L9" i="14" s="1"/>
  <c r="I8" i="14"/>
  <c r="J8" i="14" s="1"/>
  <c r="K8" i="14" s="1"/>
  <c r="L8" i="14" s="1"/>
  <c r="I7" i="14"/>
  <c r="J7" i="14" s="1"/>
  <c r="K7" i="14" s="1"/>
  <c r="L7" i="14" s="1"/>
  <c r="I6" i="14"/>
  <c r="J6" i="14" s="1"/>
  <c r="K6" i="14" s="1"/>
  <c r="L6" i="14" s="1"/>
  <c r="I5" i="14"/>
  <c r="J5" i="14" s="1"/>
  <c r="K5" i="14" s="1"/>
  <c r="L5" i="14" s="1"/>
  <c r="I4" i="14"/>
  <c r="J4" i="14" s="1"/>
  <c r="K4" i="14" s="1"/>
  <c r="L4" i="14" s="1"/>
  <c r="O3" i="14"/>
  <c r="J3" i="14"/>
  <c r="K3" i="14" s="1"/>
  <c r="L3" i="14" s="1"/>
  <c r="I3" i="14"/>
  <c r="I5" i="2" l="1"/>
  <c r="AC3" i="2"/>
  <c r="AB7" i="2" l="1"/>
  <c r="AC7" i="2" s="1"/>
  <c r="AD7" i="2" s="1"/>
  <c r="AB8" i="2" l="1"/>
  <c r="AC8" i="2" s="1"/>
  <c r="AD8" i="2" s="1"/>
  <c r="AB12" i="2"/>
  <c r="AC12" i="2" s="1"/>
  <c r="AD12" i="2" s="1"/>
  <c r="AB16" i="2"/>
  <c r="AC16" i="2" s="1"/>
  <c r="AD16" i="2" s="1"/>
  <c r="AB20" i="2"/>
  <c r="AC20" i="2" s="1"/>
  <c r="AD20" i="2" s="1"/>
  <c r="AB24" i="2"/>
  <c r="AC24" i="2" s="1"/>
  <c r="AD24" i="2" s="1"/>
  <c r="AB28" i="2"/>
  <c r="AC28" i="2" s="1"/>
  <c r="AD28" i="2" s="1"/>
  <c r="AB32" i="2"/>
  <c r="AC32" i="2" s="1"/>
  <c r="AD32" i="2" s="1"/>
  <c r="AB36" i="2"/>
  <c r="AC36" i="2" s="1"/>
  <c r="AD36" i="2" s="1"/>
  <c r="AB40" i="2"/>
  <c r="AC40" i="2" s="1"/>
  <c r="AD40" i="2" s="1"/>
  <c r="AB44" i="2"/>
  <c r="AC44" i="2" s="1"/>
  <c r="AD44" i="2" s="1"/>
  <c r="AB48" i="2"/>
  <c r="AC48" i="2" s="1"/>
  <c r="AD48" i="2" s="1"/>
  <c r="AB52" i="2"/>
  <c r="AC52" i="2" s="1"/>
  <c r="AD52" i="2" s="1"/>
  <c r="AB56" i="2"/>
  <c r="AC56" i="2" s="1"/>
  <c r="AD56" i="2" s="1"/>
  <c r="AB60" i="2"/>
  <c r="AC60" i="2" s="1"/>
  <c r="AD60" i="2" s="1"/>
  <c r="AB9" i="2"/>
  <c r="AC9" i="2" s="1"/>
  <c r="AD9" i="2" s="1"/>
  <c r="AB13" i="2"/>
  <c r="AC13" i="2" s="1"/>
  <c r="AD13" i="2" s="1"/>
  <c r="AB17" i="2"/>
  <c r="AC17" i="2" s="1"/>
  <c r="AD17" i="2" s="1"/>
  <c r="AB21" i="2"/>
  <c r="AC21" i="2" s="1"/>
  <c r="AD21" i="2" s="1"/>
  <c r="AB25" i="2"/>
  <c r="AC25" i="2" s="1"/>
  <c r="AD25" i="2" s="1"/>
  <c r="AB29" i="2"/>
  <c r="AC29" i="2" s="1"/>
  <c r="AD29" i="2" s="1"/>
  <c r="AB33" i="2"/>
  <c r="AC33" i="2" s="1"/>
  <c r="AD33" i="2" s="1"/>
  <c r="AB37" i="2"/>
  <c r="AC37" i="2" s="1"/>
  <c r="AD37" i="2" s="1"/>
  <c r="AB41" i="2"/>
  <c r="AC41" i="2" s="1"/>
  <c r="AD41" i="2" s="1"/>
  <c r="AB45" i="2"/>
  <c r="AC45" i="2" s="1"/>
  <c r="AD45" i="2" s="1"/>
  <c r="AB49" i="2"/>
  <c r="AC49" i="2" s="1"/>
  <c r="AD49" i="2" s="1"/>
  <c r="AB53" i="2"/>
  <c r="AC53" i="2" s="1"/>
  <c r="AD53" i="2" s="1"/>
  <c r="AB57" i="2"/>
  <c r="AC57" i="2" s="1"/>
  <c r="AD57" i="2" s="1"/>
  <c r="AB61" i="2"/>
  <c r="AC61" i="2" s="1"/>
  <c r="AD61" i="2" s="1"/>
  <c r="AB10" i="2"/>
  <c r="AC10" i="2" s="1"/>
  <c r="AD10" i="2" s="1"/>
  <c r="AB14" i="2"/>
  <c r="AC14" i="2" s="1"/>
  <c r="AD14" i="2" s="1"/>
  <c r="AB18" i="2"/>
  <c r="AC18" i="2" s="1"/>
  <c r="AD18" i="2" s="1"/>
  <c r="AB22" i="2"/>
  <c r="AC22" i="2" s="1"/>
  <c r="AD22" i="2" s="1"/>
  <c r="AB26" i="2"/>
  <c r="AC26" i="2" s="1"/>
  <c r="AD26" i="2" s="1"/>
  <c r="AB30" i="2"/>
  <c r="AC30" i="2" s="1"/>
  <c r="AD30" i="2" s="1"/>
  <c r="AB34" i="2"/>
  <c r="AC34" i="2" s="1"/>
  <c r="AD34" i="2" s="1"/>
  <c r="AB38" i="2"/>
  <c r="AC38" i="2" s="1"/>
  <c r="AD38" i="2" s="1"/>
  <c r="AB42" i="2"/>
  <c r="AC42" i="2" s="1"/>
  <c r="AD42" i="2" s="1"/>
  <c r="AB46" i="2"/>
  <c r="AC46" i="2" s="1"/>
  <c r="AD46" i="2" s="1"/>
  <c r="AB50" i="2"/>
  <c r="AC50" i="2" s="1"/>
  <c r="AD50" i="2" s="1"/>
  <c r="AB54" i="2"/>
  <c r="AC54" i="2" s="1"/>
  <c r="AD54" i="2" s="1"/>
  <c r="AB58" i="2"/>
  <c r="AC58" i="2" s="1"/>
  <c r="AD58" i="2" s="1"/>
  <c r="AB6" i="2"/>
  <c r="AC6" i="2" s="1"/>
  <c r="AD6" i="2" s="1"/>
  <c r="AB11" i="2"/>
  <c r="AC11" i="2" s="1"/>
  <c r="AD11" i="2" s="1"/>
  <c r="AB15" i="2"/>
  <c r="AC15" i="2" s="1"/>
  <c r="AD15" i="2" s="1"/>
  <c r="AB19" i="2"/>
  <c r="AC19" i="2" s="1"/>
  <c r="AD19" i="2" s="1"/>
  <c r="AB23" i="2"/>
  <c r="AC23" i="2" s="1"/>
  <c r="AD23" i="2" s="1"/>
  <c r="AB27" i="2"/>
  <c r="AC27" i="2" s="1"/>
  <c r="AD27" i="2" s="1"/>
  <c r="AB31" i="2"/>
  <c r="AC31" i="2" s="1"/>
  <c r="AD31" i="2" s="1"/>
  <c r="AB35" i="2"/>
  <c r="AC35" i="2" s="1"/>
  <c r="AD35" i="2" s="1"/>
  <c r="AB39" i="2"/>
  <c r="AC39" i="2" s="1"/>
  <c r="AD39" i="2" s="1"/>
  <c r="AB43" i="2"/>
  <c r="AC43" i="2" s="1"/>
  <c r="AD43" i="2" s="1"/>
  <c r="AB47" i="2"/>
  <c r="AC47" i="2" s="1"/>
  <c r="AD47" i="2" s="1"/>
  <c r="AB51" i="2"/>
  <c r="AC51" i="2" s="1"/>
  <c r="AD51" i="2" s="1"/>
  <c r="AB55" i="2"/>
  <c r="AC55" i="2" s="1"/>
  <c r="AD55" i="2" s="1"/>
  <c r="AB59" i="2"/>
  <c r="AC59" i="2" s="1"/>
  <c r="AD59" i="2" s="1"/>
  <c r="AB5" i="2"/>
  <c r="AC5" i="2" s="1"/>
  <c r="AD5" i="2" s="1"/>
  <c r="C33" i="2" l="1"/>
  <c r="C32" i="2"/>
  <c r="F6" i="2"/>
  <c r="F7" i="2" s="1"/>
  <c r="F8" i="2" s="1"/>
  <c r="F9" i="2" s="1"/>
  <c r="F10" i="2" s="1"/>
  <c r="F11" i="2" s="1"/>
  <c r="F12" i="2" s="1"/>
  <c r="F13" i="2" s="1"/>
  <c r="F14" i="2" s="1"/>
  <c r="F15" i="2" s="1"/>
  <c r="F16" i="2" s="1"/>
  <c r="F17" i="2" s="1"/>
  <c r="F18" i="2" s="1"/>
  <c r="F19" i="2" s="1"/>
  <c r="F20" i="2" s="1"/>
  <c r="F21" i="2" s="1"/>
  <c r="F22" i="2" s="1"/>
  <c r="F23" i="2" s="1"/>
  <c r="F24" i="2" s="1"/>
  <c r="F25" i="2" s="1"/>
  <c r="F26" i="2" s="1"/>
  <c r="F27" i="2" s="1"/>
  <c r="F28" i="2" s="1"/>
  <c r="F29" i="2" s="1"/>
  <c r="F30" i="2" s="1"/>
  <c r="F31" i="2" s="1"/>
  <c r="F32" i="2" s="1"/>
  <c r="F33" i="2" s="1"/>
  <c r="F34" i="2" s="1"/>
  <c r="F35" i="2" s="1"/>
  <c r="F36" i="2" s="1"/>
  <c r="F37" i="2" s="1"/>
  <c r="F38" i="2" s="1"/>
  <c r="F39" i="2" s="1"/>
  <c r="F40" i="2" s="1"/>
  <c r="F41" i="2" s="1"/>
  <c r="F42" i="2" s="1"/>
  <c r="F43" i="2" s="1"/>
  <c r="F44" i="2" s="1"/>
  <c r="F45" i="2" s="1"/>
  <c r="F46" i="2" s="1"/>
  <c r="F47" i="2" s="1"/>
  <c r="F48" i="2" s="1"/>
  <c r="F49" i="2" s="1"/>
  <c r="F50" i="2" s="1"/>
  <c r="F51" i="2" s="1"/>
  <c r="F52" i="2" s="1"/>
  <c r="F53" i="2" s="1"/>
  <c r="F54" i="2" s="1"/>
  <c r="F55" i="2" s="1"/>
  <c r="F56" i="2" s="1"/>
  <c r="F57" i="2" s="1"/>
  <c r="F58" i="2" s="1"/>
  <c r="F59" i="2" s="1"/>
  <c r="F60" i="2" s="1"/>
  <c r="F61" i="2" s="1"/>
  <c r="F62" i="2" s="1"/>
  <c r="F63" i="2" s="1"/>
  <c r="F64" i="2" s="1"/>
  <c r="F65" i="2" s="1"/>
  <c r="F66" i="2" s="1"/>
  <c r="F67" i="2" s="1"/>
  <c r="F68" i="2" s="1"/>
  <c r="F69" i="2" s="1"/>
  <c r="F70" i="2" s="1"/>
  <c r="F71" i="2" s="1"/>
  <c r="F72" i="2" s="1"/>
  <c r="F73" i="2" s="1"/>
  <c r="F74" i="2" s="1"/>
  <c r="F75" i="2" s="1"/>
  <c r="F76" i="2" s="1"/>
  <c r="F77" i="2" s="1"/>
  <c r="F78" i="2" s="1"/>
  <c r="F79" i="2" s="1"/>
  <c r="F80" i="2" s="1"/>
  <c r="F81" i="2" s="1"/>
  <c r="F82" i="2" s="1"/>
  <c r="F83" i="2" s="1"/>
  <c r="F84" i="2" s="1"/>
  <c r="F85" i="2" s="1"/>
  <c r="F86" i="2" s="1"/>
  <c r="F87" i="2" s="1"/>
  <c r="F88" i="2" s="1"/>
  <c r="F89" i="2" s="1"/>
  <c r="F90" i="2" s="1"/>
  <c r="F91" i="2" s="1"/>
  <c r="F92" i="2" s="1"/>
  <c r="F93" i="2" s="1"/>
  <c r="F94" i="2" s="1"/>
  <c r="F95" i="2" s="1"/>
  <c r="F96" i="2" s="1"/>
  <c r="F97" i="2" s="1"/>
  <c r="F98" i="2" s="1"/>
  <c r="F99" i="2" s="1"/>
  <c r="F100" i="2" s="1"/>
  <c r="F101" i="2" s="1"/>
  <c r="F102" i="2" s="1"/>
  <c r="F103" i="2" s="1"/>
  <c r="F104" i="2" s="1"/>
  <c r="F105" i="2" s="1"/>
  <c r="F106" i="2" s="1"/>
  <c r="F107" i="2" s="1"/>
  <c r="F108" i="2" s="1"/>
  <c r="F109" i="2" s="1"/>
  <c r="F110" i="2" s="1"/>
  <c r="F111" i="2" s="1"/>
  <c r="F112" i="2" s="1"/>
  <c r="F113" i="2" s="1"/>
  <c r="F114" i="2" s="1"/>
  <c r="F115" i="2" s="1"/>
  <c r="F116" i="2" s="1"/>
  <c r="F117" i="2" s="1"/>
  <c r="F118" i="2" s="1"/>
  <c r="F119" i="2" s="1"/>
  <c r="F120" i="2" s="1"/>
  <c r="F121" i="2" s="1"/>
  <c r="F122" i="2" s="1"/>
  <c r="F123" i="2" s="1"/>
  <c r="F124" i="2" s="1"/>
  <c r="F125" i="2" s="1"/>
  <c r="F126" i="2" s="1"/>
  <c r="F127" i="2" s="1"/>
  <c r="F128" i="2" s="1"/>
  <c r="F129" i="2" s="1"/>
  <c r="F130" i="2" s="1"/>
  <c r="F131" i="2" s="1"/>
  <c r="F132" i="2" s="1"/>
  <c r="F133" i="2" s="1"/>
  <c r="F134" i="2" s="1"/>
  <c r="F135" i="2" s="1"/>
  <c r="F136" i="2" s="1"/>
  <c r="F137" i="2" s="1"/>
  <c r="F138" i="2" s="1"/>
  <c r="F139" i="2" s="1"/>
  <c r="F140" i="2" s="1"/>
  <c r="F141" i="2" s="1"/>
  <c r="F142" i="2" s="1"/>
  <c r="F143" i="2" s="1"/>
  <c r="F144" i="2" s="1"/>
  <c r="F145" i="2" s="1"/>
  <c r="F146" i="2" s="1"/>
  <c r="F147" i="2" s="1"/>
  <c r="F148" i="2" s="1"/>
  <c r="F149" i="2" s="1"/>
  <c r="F150" i="2" s="1"/>
  <c r="F151" i="2" s="1"/>
  <c r="F152" i="2" s="1"/>
  <c r="F153" i="2" s="1"/>
  <c r="F154" i="2" s="1"/>
  <c r="C25" i="2"/>
  <c r="V88" i="2"/>
  <c r="V86" i="2"/>
  <c r="V79" i="2"/>
  <c r="V85" i="2"/>
  <c r="V77" i="2"/>
  <c r="V78" i="2"/>
  <c r="V81" i="2"/>
  <c r="V76" i="2"/>
  <c r="V84" i="2"/>
  <c r="V87" i="2"/>
  <c r="V80" i="2"/>
  <c r="V82" i="2"/>
  <c r="V83" i="2"/>
  <c r="V5" i="2"/>
  <c r="V26" i="2"/>
  <c r="V33" i="2"/>
  <c r="V14" i="2"/>
  <c r="V9" i="2"/>
  <c r="V16" i="2"/>
  <c r="V28" i="2"/>
  <c r="V15" i="2"/>
  <c r="V38" i="2"/>
  <c r="V36" i="2"/>
  <c r="V18" i="2"/>
  <c r="V34" i="2"/>
  <c r="V35" i="2"/>
  <c r="V13" i="2"/>
  <c r="V10" i="2"/>
  <c r="V24" i="2"/>
  <c r="V21" i="2"/>
  <c r="V6" i="2"/>
  <c r="V32" i="2"/>
  <c r="V19" i="2"/>
  <c r="V20" i="2"/>
  <c r="V25" i="2"/>
  <c r="V39" i="2"/>
  <c r="V17" i="2"/>
  <c r="V27" i="2"/>
  <c r="V11" i="2"/>
  <c r="V29" i="2"/>
  <c r="V30" i="2"/>
  <c r="V23" i="2"/>
  <c r="V22" i="2"/>
  <c r="V8" i="2"/>
  <c r="V37" i="2"/>
  <c r="V7" i="2"/>
  <c r="V12" i="2"/>
  <c r="V31" i="2"/>
  <c r="V56" i="2"/>
  <c r="V67" i="2"/>
  <c r="V40" i="2"/>
  <c r="V48" i="2"/>
  <c r="V75" i="2"/>
  <c r="V60" i="2"/>
  <c r="V44" i="2"/>
  <c r="V69" i="2"/>
  <c r="V73" i="2"/>
  <c r="V41" i="2"/>
  <c r="V51" i="2"/>
  <c r="V50" i="2"/>
  <c r="V42" i="2"/>
  <c r="V62" i="2"/>
  <c r="V47" i="2"/>
  <c r="V45" i="2"/>
  <c r="V63" i="2"/>
  <c r="V72" i="2"/>
  <c r="V66" i="2"/>
  <c r="V46" i="2"/>
  <c r="V71" i="2"/>
  <c r="V58" i="2"/>
  <c r="V59" i="2"/>
  <c r="V74" i="2"/>
  <c r="V68" i="2"/>
  <c r="V49" i="2"/>
  <c r="V52" i="2"/>
  <c r="V53" i="2"/>
  <c r="V57" i="2"/>
  <c r="V61" i="2"/>
  <c r="V55" i="2"/>
  <c r="V54" i="2"/>
  <c r="V65" i="2"/>
  <c r="V70" i="2"/>
  <c r="V64" i="2"/>
  <c r="V43" i="2"/>
  <c r="C34" i="2" l="1"/>
  <c r="C5" i="2"/>
  <c r="V2" i="2"/>
  <c r="N39" i="2" l="1"/>
  <c r="N37" i="2"/>
  <c r="N35" i="2"/>
  <c r="N33" i="2"/>
  <c r="N31" i="2"/>
  <c r="N29" i="2"/>
  <c r="N27" i="2"/>
  <c r="N25" i="2"/>
  <c r="N23" i="2"/>
  <c r="N21" i="2"/>
  <c r="N19" i="2"/>
  <c r="N17" i="2"/>
  <c r="N15" i="2"/>
  <c r="N13" i="2"/>
  <c r="N11" i="2"/>
  <c r="N9" i="2"/>
  <c r="N7" i="2"/>
  <c r="N38" i="2"/>
  <c r="N36" i="2"/>
  <c r="N34" i="2"/>
  <c r="N32" i="2"/>
  <c r="N30" i="2"/>
  <c r="N28" i="2"/>
  <c r="N26" i="2"/>
  <c r="N24" i="2"/>
  <c r="N22" i="2"/>
  <c r="N20" i="2"/>
  <c r="N18" i="2"/>
  <c r="N16" i="2"/>
  <c r="N14" i="2"/>
  <c r="N12" i="2"/>
  <c r="N10" i="2"/>
  <c r="N8" i="2"/>
  <c r="N6" i="2"/>
  <c r="N5" i="2"/>
  <c r="W87" i="2"/>
  <c r="W85" i="2"/>
  <c r="W83" i="2"/>
  <c r="W84" i="2"/>
  <c r="W88" i="2"/>
  <c r="W86" i="2"/>
  <c r="W7" i="2"/>
  <c r="W81" i="2"/>
  <c r="W79" i="2"/>
  <c r="W77" i="2"/>
  <c r="W75" i="2"/>
  <c r="W73" i="2"/>
  <c r="W71" i="2"/>
  <c r="W69" i="2"/>
  <c r="W67" i="2"/>
  <c r="W65" i="2"/>
  <c r="W82" i="2"/>
  <c r="W80" i="2"/>
  <c r="W78" i="2"/>
  <c r="W76" i="2"/>
  <c r="W74" i="2"/>
  <c r="W72" i="2"/>
  <c r="W70" i="2"/>
  <c r="W68" i="2"/>
  <c r="W66" i="2"/>
  <c r="W60" i="2"/>
  <c r="W64" i="2"/>
  <c r="W56" i="2"/>
  <c r="W48" i="2"/>
  <c r="W41" i="2"/>
  <c r="W33" i="2"/>
  <c r="W25" i="2"/>
  <c r="W61" i="2"/>
  <c r="W53" i="2"/>
  <c r="W44" i="2"/>
  <c r="W36" i="2"/>
  <c r="W28" i="2"/>
  <c r="W20" i="2"/>
  <c r="W12" i="2"/>
  <c r="W19" i="2"/>
  <c r="W11" i="2"/>
  <c r="W52" i="2"/>
  <c r="W45" i="2"/>
  <c r="W37" i="2"/>
  <c r="W29" i="2"/>
  <c r="W21" i="2"/>
  <c r="W57" i="2"/>
  <c r="W49" i="2"/>
  <c r="W40" i="2"/>
  <c r="W32" i="2"/>
  <c r="W24" i="2"/>
  <c r="W16" i="2"/>
  <c r="W8" i="2"/>
  <c r="W15" i="2"/>
  <c r="W62" i="2"/>
  <c r="W58" i="2"/>
  <c r="W54" i="2"/>
  <c r="W50" i="2"/>
  <c r="W46" i="2"/>
  <c r="W43" i="2"/>
  <c r="W39" i="2"/>
  <c r="W35" i="2"/>
  <c r="W31" i="2"/>
  <c r="W27" i="2"/>
  <c r="W23" i="2"/>
  <c r="W63" i="2"/>
  <c r="W59" i="2"/>
  <c r="W55" i="2"/>
  <c r="W51" i="2"/>
  <c r="W47" i="2"/>
  <c r="W42" i="2"/>
  <c r="W38" i="2"/>
  <c r="W34" i="2"/>
  <c r="W30" i="2"/>
  <c r="W26" i="2"/>
  <c r="W22" i="2"/>
  <c r="W18" i="2"/>
  <c r="W14" i="2"/>
  <c r="W10" i="2"/>
  <c r="W6" i="2"/>
  <c r="W17" i="2"/>
  <c r="W13" i="2"/>
  <c r="W9" i="2"/>
  <c r="W5" i="2"/>
</calcChain>
</file>

<file path=xl/sharedStrings.xml><?xml version="1.0" encoding="utf-8"?>
<sst xmlns="http://schemas.openxmlformats.org/spreadsheetml/2006/main" count="172" uniqueCount="147">
  <si>
    <t>Calibration Date</t>
    <phoneticPr fontId="2" type="noConversion"/>
  </si>
  <si>
    <t>Market parameters</t>
    <phoneticPr fontId="2" type="noConversion"/>
  </si>
  <si>
    <t>Current Spot</t>
    <phoneticPr fontId="2" type="noConversion"/>
  </si>
  <si>
    <t>Parameter Bounds</t>
    <phoneticPr fontId="2" type="noConversion"/>
  </si>
  <si>
    <t>Lower</t>
    <phoneticPr fontId="2" type="noConversion"/>
  </si>
  <si>
    <t>κ</t>
    <phoneticPr fontId="2" type="noConversion"/>
  </si>
  <si>
    <t>θ</t>
    <phoneticPr fontId="2" type="noConversion"/>
  </si>
  <si>
    <t>ε</t>
    <phoneticPr fontId="2" type="noConversion"/>
  </si>
  <si>
    <t>ρ</t>
    <phoneticPr fontId="2" type="noConversion"/>
  </si>
  <si>
    <t>Upper</t>
    <phoneticPr fontId="2" type="noConversion"/>
  </si>
  <si>
    <t>DE settings</t>
    <phoneticPr fontId="2" type="noConversion"/>
  </si>
  <si>
    <t>No. of Population</t>
    <phoneticPr fontId="2" type="noConversion"/>
  </si>
  <si>
    <t>No. of Generation</t>
    <phoneticPr fontId="2" type="noConversion"/>
  </si>
  <si>
    <t>Crossover Rate</t>
    <phoneticPr fontId="2" type="noConversion"/>
  </si>
  <si>
    <t>Mutation Scale (F)</t>
    <phoneticPr fontId="2" type="noConversion"/>
  </si>
  <si>
    <t>Stopping Precision</t>
    <phoneticPr fontId="2" type="noConversion"/>
  </si>
  <si>
    <t>Observation Table</t>
    <phoneticPr fontId="2" type="noConversion"/>
  </si>
  <si>
    <t>No.</t>
    <phoneticPr fontId="2" type="noConversion"/>
  </si>
  <si>
    <t>Strike</t>
    <phoneticPr fontId="2" type="noConversion"/>
  </si>
  <si>
    <t>Type</t>
    <phoneticPr fontId="2" type="noConversion"/>
  </si>
  <si>
    <t>Time to Maturity</t>
    <phoneticPr fontId="2" type="noConversion"/>
  </si>
  <si>
    <t>Weight</t>
    <phoneticPr fontId="2" type="noConversion"/>
  </si>
  <si>
    <t>Weighting Scheme</t>
    <phoneticPr fontId="2" type="noConversion"/>
  </si>
  <si>
    <t>Volatility</t>
  </si>
  <si>
    <t>USDHKD</t>
  </si>
  <si>
    <t>EURUSD</t>
  </si>
  <si>
    <t>USDCNY</t>
  </si>
  <si>
    <t>AUDUSD</t>
  </si>
  <si>
    <t>GBPUSD</t>
  </si>
  <si>
    <t>NZDUSD</t>
  </si>
  <si>
    <t>USDCHF</t>
  </si>
  <si>
    <t>USDJPY</t>
  </si>
  <si>
    <t>CHFHKD</t>
  </si>
  <si>
    <t>Vega</t>
    <phoneticPr fontId="2" type="noConversion"/>
  </si>
  <si>
    <t>Output</t>
    <phoneticPr fontId="2" type="noConversion"/>
  </si>
  <si>
    <t>Equal</t>
    <phoneticPr fontId="2" type="noConversion"/>
  </si>
  <si>
    <t>Vega</t>
    <phoneticPr fontId="2" type="noConversion"/>
  </si>
  <si>
    <t>E. Weight</t>
  </si>
  <si>
    <t>V. Weight</t>
  </si>
  <si>
    <t>Vega</t>
  </si>
  <si>
    <t>Model Price</t>
    <phoneticPr fontId="2" type="noConversion"/>
  </si>
  <si>
    <t>Market Price</t>
    <phoneticPr fontId="2" type="noConversion"/>
  </si>
  <si>
    <t>Difference</t>
    <phoneticPr fontId="2" type="noConversion"/>
  </si>
  <si>
    <t>% Error</t>
    <phoneticPr fontId="2" type="noConversion"/>
  </si>
  <si>
    <t>Market Option Price</t>
    <phoneticPr fontId="2" type="noConversion"/>
  </si>
  <si>
    <r>
      <t>V</t>
    </r>
    <r>
      <rPr>
        <b/>
        <vertAlign val="subscript"/>
        <sz val="12"/>
        <color theme="1"/>
        <rFont val="Arial"/>
        <family val="2"/>
      </rPr>
      <t>0</t>
    </r>
  </si>
  <si>
    <t>Index Name</t>
  </si>
  <si>
    <t>Observed data</t>
  </si>
  <si>
    <t>2κθ</t>
  </si>
  <si>
    <t>ε^2</t>
  </si>
  <si>
    <t>Feller condition</t>
  </si>
  <si>
    <t>d2</t>
  </si>
  <si>
    <t>d1</t>
  </si>
  <si>
    <t>price</t>
  </si>
  <si>
    <t>imp vol</t>
  </si>
  <si>
    <t>var</t>
  </si>
  <si>
    <t>SX5E</t>
  </si>
  <si>
    <t>r</t>
  </si>
  <si>
    <t>T</t>
  </si>
  <si>
    <t>EURO interest rate</t>
  </si>
  <si>
    <t>q</t>
  </si>
  <si>
    <t>Strike</t>
  </si>
  <si>
    <t>Ticker</t>
  </si>
  <si>
    <t>Mid</t>
  </si>
  <si>
    <t>Last</t>
  </si>
  <si>
    <t>IVM</t>
  </si>
  <si>
    <t>Volm</t>
  </si>
  <si>
    <t>sDM</t>
  </si>
  <si>
    <t>VL</t>
  </si>
  <si>
    <t>BS call price</t>
  </si>
  <si>
    <t>S_0</t>
  </si>
  <si>
    <t>From Bloomberg</t>
  </si>
  <si>
    <t>18-Dec-20 (760d); CSize 10</t>
  </si>
  <si>
    <t>From https://www.ecb.europa.eu/stats/financial_markets_and_interest_rates/euro_area_yield_curves/html/index.en.html</t>
  </si>
  <si>
    <t>SX5E 12/18/20 C2450</t>
  </si>
  <si>
    <t>SX5E 12/18/20 C2500</t>
  </si>
  <si>
    <t>SX5E 12/18/20 C2550</t>
  </si>
  <si>
    <t>SX5E 12/18/20 C2600</t>
  </si>
  <si>
    <t>SX5E 12/18/20 C2650</t>
  </si>
  <si>
    <t>SX5E 12/18/20 C2700</t>
  </si>
  <si>
    <t>SX5E 12/18/20 C2750</t>
  </si>
  <si>
    <t>SX5E 12/18/20 C2800</t>
  </si>
  <si>
    <t>SX5E 12/18/20 C2850</t>
  </si>
  <si>
    <t>SX5E 12/18/20 C2900</t>
  </si>
  <si>
    <t>SX5E 12/18/20 C2950</t>
  </si>
  <si>
    <t>SX5E 12/18/20 C3000</t>
  </si>
  <si>
    <t>SX5E 12/18/20 C3050</t>
  </si>
  <si>
    <t>SX5E 12/18/20 C3100</t>
  </si>
  <si>
    <t>SX5E 12/18/20 C3150</t>
  </si>
  <si>
    <t>SX5E 12/18/20 C3200</t>
  </si>
  <si>
    <t>SX5E 12/18/20 C3250</t>
  </si>
  <si>
    <t>SX5E 12/18/20 C3300</t>
  </si>
  <si>
    <t>SX5E 12/18/20 C3350</t>
  </si>
  <si>
    <t>SX5E 12/18/20 C3400</t>
  </si>
  <si>
    <t>SX5E 12/18/20 C3450</t>
  </si>
  <si>
    <t>SX5E 12/18/20 C3500</t>
  </si>
  <si>
    <t>SX5E 12/18/20 C3550</t>
  </si>
  <si>
    <t>SX5E 12/18/20 C3600</t>
  </si>
  <si>
    <t>SX5E 12/18/20 C3650</t>
  </si>
  <si>
    <t>SX5E 12/18/20 C3700</t>
  </si>
  <si>
    <t>SX5E 12/18/20 C3750</t>
  </si>
  <si>
    <t>SX5E 12/18/20 C3800</t>
  </si>
  <si>
    <t>SX5E 12/18/20 C3850</t>
  </si>
  <si>
    <t>SX5E 12/18/20 C3900</t>
  </si>
  <si>
    <t>SX5E 12/18/20 C3950</t>
  </si>
  <si>
    <t>SX5E 12/18/20 C4000</t>
  </si>
  <si>
    <t>SX5E 12/18/20 C4050</t>
  </si>
  <si>
    <t>SX5E 12/18/20 C4100</t>
  </si>
  <si>
    <t>SX5E 12/18/20 C4150</t>
  </si>
  <si>
    <t>20-Dec-19 (396d); CSize 10</t>
  </si>
  <si>
    <t>SX5E 12/20/19 C2400</t>
  </si>
  <si>
    <t>SX5E 12/20/19 C2450</t>
  </si>
  <si>
    <t>SX5E 12/20/19 C2500</t>
  </si>
  <si>
    <t>SX5E 12/20/19 C2550</t>
  </si>
  <si>
    <t>SX5E 12/20/19 C2600</t>
  </si>
  <si>
    <t>SX5E 12/20/19 C2650</t>
  </si>
  <si>
    <t>SX5E 12/20/19 C2700</t>
  </si>
  <si>
    <t>SX5E 12/20/19 C2750</t>
  </si>
  <si>
    <t>SX5E 12/20/19 C2800</t>
  </si>
  <si>
    <t>SX5E 12/20/19 C2850</t>
  </si>
  <si>
    <t>SX5E 12/20/19 C2900</t>
  </si>
  <si>
    <t>SX5E 12/20/19 C2950</t>
  </si>
  <si>
    <t>SX5E 12/20/19 C3000</t>
  </si>
  <si>
    <t>SX5E 12/20/19 C3050</t>
  </si>
  <si>
    <t>SX5E 12/20/19 C3100</t>
  </si>
  <si>
    <t>SX5E 12/20/19 C3150</t>
  </si>
  <si>
    <t>SX5E 12/20/19 C3200</t>
  </si>
  <si>
    <t>SX5E 12/20/19 C3250</t>
  </si>
  <si>
    <t>SX5E 12/20/19 C3300</t>
  </si>
  <si>
    <t>SX5E 12/20/19 C3350</t>
  </si>
  <si>
    <t>SX5E 12/20/19 C3400</t>
  </si>
  <si>
    <t>SX5E 12/20/19 C3450</t>
  </si>
  <si>
    <t>SX5E 12/20/19 C3500</t>
  </si>
  <si>
    <t>SX5E 12/20/19 C3550</t>
  </si>
  <si>
    <t>SX5E 12/20/19 C3600</t>
  </si>
  <si>
    <t>SX5E 12/20/19 C3650</t>
  </si>
  <si>
    <t>SX5E 12/20/19 C3700</t>
  </si>
  <si>
    <t>SX5E 12/20/19 C3750</t>
  </si>
  <si>
    <t>SX5E 12/20/19 C3800</t>
  </si>
  <si>
    <t>SX5E 12/20/19 C3850</t>
  </si>
  <si>
    <t>SX5E 12/20/19 C3900</t>
  </si>
  <si>
    <t>SX5E 12/20/19 C3950</t>
  </si>
  <si>
    <t>SX5E 12/20/19 C4000</t>
  </si>
  <si>
    <t>SX5E 12/20/19 C4050</t>
  </si>
  <si>
    <t>SX5E 12/20/19 C4100</t>
  </si>
  <si>
    <t>SX5E 12/20/19 C4150</t>
  </si>
  <si>
    <t>Stock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</si>
</sst>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"/>
    <numFmt numFmtId="165" formatCode="0.0000%"/>
    <numFmt numFmtId="166" formatCode="_(&quot;$&quot;* #,##0.00_);_(&quot;$&quot;* \(#,##0.00\);_(&quot;$&quot;* &quot;-&quot;??_);_(@_)"/>
  </numFmts>
  <fonts count="14"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scheme val="minor"/>
    </font>
    <font>
      <sz val="9"/>
      <name val="Calibri"/>
      <family val="2"/>
      <charset val="136"/>
      <scheme val="minor"/>
    </font>
    <font>
      <sz val="11"/>
      <color rgb="FF000000"/>
      <name val="Trebuchet MS"/>
      <family val="2"/>
    </font>
    <font>
      <sz val="10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b/>
      <sz val="12"/>
      <color theme="1"/>
      <name val="Arial"/>
      <family val="2"/>
    </font>
    <font>
      <b/>
      <vertAlign val="subscript"/>
      <sz val="12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6"/>
      <scheme val="minor"/>
    </font>
    <font>
      <sz val="11"/>
      <color rgb="FF000000"/>
      <name val="Calibri"/>
      <family val="2"/>
    </font>
    <font>
      <b/>
      <sz val="11"/>
      <color indexed="9"/>
      <name val="Calibri"/>
      <family val="2"/>
    </font>
    <font>
      <sz val="1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4F81BD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/>
      <diagonal/>
    </border>
    <border>
      <left style="medium">
        <color auto="1"/>
      </left>
      <right style="thick">
        <color auto="1"/>
      </right>
      <top style="medium">
        <color auto="1"/>
      </top>
      <bottom/>
      <diagonal/>
    </border>
    <border>
      <left style="medium">
        <color auto="1"/>
      </left>
      <right style="thick">
        <color auto="1"/>
      </right>
      <top/>
      <bottom/>
      <diagonal/>
    </border>
    <border>
      <left style="medium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medium">
        <color indexed="64"/>
      </bottom>
      <diagonal/>
    </border>
    <border>
      <left style="medium">
        <color auto="1"/>
      </left>
      <right style="thick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8">
    <xf numFmtId="0" fontId="0" fillId="0" borderId="0">
      <alignment vertical="center"/>
    </xf>
    <xf numFmtId="0" fontId="4" fillId="0" borderId="0">
      <alignment horizontal="left" wrapText="1"/>
    </xf>
    <xf numFmtId="0" fontId="9" fillId="0" borderId="0"/>
    <xf numFmtId="9" fontId="10" fillId="0" borderId="0" applyFont="0" applyFill="0" applyBorder="0" applyAlignment="0" applyProtection="0"/>
    <xf numFmtId="0" fontId="1" fillId="0" borderId="0"/>
    <xf numFmtId="0" fontId="1" fillId="0" borderId="0"/>
    <xf numFmtId="166" fontId="1" fillId="0" borderId="0" applyFont="0" applyFill="0" applyBorder="0" applyAlignment="0" applyProtection="0"/>
    <xf numFmtId="0" fontId="12" fillId="4" borderId="0"/>
  </cellStyleXfs>
  <cellXfs count="38">
    <xf numFmtId="0" fontId="0" fillId="0" borderId="0" xfId="0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10" fontId="5" fillId="3" borderId="3" xfId="0" applyNumberFormat="1" applyFont="1" applyFill="1" applyBorder="1" applyAlignment="1">
      <alignment horizontal="center" vertical="center"/>
    </xf>
    <xf numFmtId="164" fontId="5" fillId="3" borderId="3" xfId="0" applyNumberFormat="1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10" fontId="5" fillId="3" borderId="4" xfId="0" applyNumberFormat="1" applyFont="1" applyFill="1" applyBorder="1" applyAlignment="1">
      <alignment horizontal="center" vertical="center"/>
    </xf>
    <xf numFmtId="164" fontId="5" fillId="3" borderId="4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165" fontId="5" fillId="0" borderId="0" xfId="3" applyNumberFormat="1" applyFont="1" applyAlignment="1">
      <alignment horizontal="center" vertical="center"/>
    </xf>
    <xf numFmtId="0" fontId="1" fillId="0" borderId="0" xfId="5"/>
    <xf numFmtId="10" fontId="5" fillId="3" borderId="2" xfId="0" applyNumberFormat="1" applyFont="1" applyFill="1" applyBorder="1" applyAlignment="1">
      <alignment horizontal="center" vertical="center"/>
    </xf>
    <xf numFmtId="0" fontId="12" fillId="4" borderId="0" xfId="7" applyNumberFormat="1" applyFont="1" applyFill="1" applyBorder="1" applyAlignment="1" applyProtection="1"/>
    <xf numFmtId="0" fontId="12" fillId="4" borderId="13" xfId="7" applyNumberFormat="1" applyFont="1" applyFill="1" applyBorder="1" applyAlignment="1" applyProtection="1"/>
    <xf numFmtId="0" fontId="1" fillId="0" borderId="14" xfId="5" applyBorder="1"/>
    <xf numFmtId="0" fontId="13" fillId="0" borderId="0" xfId="7" applyNumberFormat="1" applyFont="1" applyFill="1" applyBorder="1" applyAlignment="1" applyProtection="1"/>
    <xf numFmtId="0" fontId="12" fillId="4" borderId="15" xfId="7" applyNumberFormat="1" applyFont="1" applyFill="1" applyBorder="1" applyAlignment="1" applyProtection="1"/>
    <xf numFmtId="10" fontId="1" fillId="0" borderId="16" xfId="5" applyNumberFormat="1" applyBorder="1"/>
    <xf numFmtId="0" fontId="12" fillId="4" borderId="17" xfId="7" applyNumberFormat="1" applyFont="1" applyFill="1" applyBorder="1" applyAlignment="1" applyProtection="1"/>
    <xf numFmtId="0" fontId="1" fillId="0" borderId="18" xfId="5" applyNumberFormat="1" applyBorder="1"/>
    <xf numFmtId="14" fontId="1" fillId="0" borderId="0" xfId="5" applyNumberFormat="1"/>
    <xf numFmtId="0" fontId="1" fillId="0" borderId="0" xfId="5" applyFill="1" applyBorder="1"/>
    <xf numFmtId="0" fontId="7" fillId="0" borderId="0" xfId="0" applyFont="1" applyAlignment="1">
      <alignment horizontal="center" vertical="center"/>
    </xf>
    <xf numFmtId="0" fontId="1" fillId="0" borderId="0" xfId="5"/>
  </cellXfs>
  <cellStyles count="8">
    <cellStyle name="blp_column_header" xfId="7" xr:uid="{E748246B-CA9B-45AE-8955-647A106E4864}"/>
    <cellStyle name="Currency 2" xfId="6" xr:uid="{EB974D70-D661-4128-8B2F-3CA410D3B087}"/>
    <cellStyle name="Normal" xfId="0" builtinId="0"/>
    <cellStyle name="Normal 2" xfId="1" xr:uid="{00000000-0005-0000-0000-000001000000}"/>
    <cellStyle name="Normal 3" xfId="2" xr:uid="{00000000-0005-0000-0000-000002000000}"/>
    <cellStyle name="Normal 3 2" xfId="5" xr:uid="{93A15228-1AA7-4A22-89DF-27036AB36A54}"/>
    <cellStyle name="Normal 4" xfId="4" xr:uid="{00000000-0005-0000-0000-000003000000}"/>
    <cellStyle name="Percent" xfId="3" builtinId="5"/>
  </cellStyles>
  <dxfs count="0"/>
  <tableStyles count="0" defaultTableStyle="TableStyleMedium9" defaultPivotStyle="PivotStyleLight16"/>
  <colors>
    <mruColors>
      <color rgb="FFCCFFCC"/>
      <color rgb="FFCCFF33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SX5E BS call price (2 year)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 call price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'12_18_20 (2year) call'!$I$3:$I$37</c:f>
              <c:numCache>
                <c:formatCode>General</c:formatCode>
                <c:ptCount val="35"/>
                <c:pt idx="0">
                  <c:v>2450</c:v>
                </c:pt>
                <c:pt idx="1">
                  <c:v>2500</c:v>
                </c:pt>
                <c:pt idx="2">
                  <c:v>2550</c:v>
                </c:pt>
                <c:pt idx="3">
                  <c:v>2600</c:v>
                </c:pt>
                <c:pt idx="4">
                  <c:v>2650</c:v>
                </c:pt>
                <c:pt idx="5">
                  <c:v>2700</c:v>
                </c:pt>
                <c:pt idx="6">
                  <c:v>2750</c:v>
                </c:pt>
                <c:pt idx="7">
                  <c:v>2800</c:v>
                </c:pt>
                <c:pt idx="8">
                  <c:v>2850</c:v>
                </c:pt>
                <c:pt idx="9">
                  <c:v>2900</c:v>
                </c:pt>
                <c:pt idx="10">
                  <c:v>2950</c:v>
                </c:pt>
                <c:pt idx="11">
                  <c:v>3000</c:v>
                </c:pt>
                <c:pt idx="12">
                  <c:v>3050</c:v>
                </c:pt>
                <c:pt idx="13">
                  <c:v>3100</c:v>
                </c:pt>
                <c:pt idx="14">
                  <c:v>3150</c:v>
                </c:pt>
                <c:pt idx="15">
                  <c:v>3200</c:v>
                </c:pt>
                <c:pt idx="16">
                  <c:v>3250</c:v>
                </c:pt>
                <c:pt idx="17">
                  <c:v>3300</c:v>
                </c:pt>
                <c:pt idx="18">
                  <c:v>3350</c:v>
                </c:pt>
                <c:pt idx="19">
                  <c:v>3400</c:v>
                </c:pt>
                <c:pt idx="20">
                  <c:v>3450</c:v>
                </c:pt>
                <c:pt idx="21">
                  <c:v>3500</c:v>
                </c:pt>
                <c:pt idx="22">
                  <c:v>3550</c:v>
                </c:pt>
                <c:pt idx="23">
                  <c:v>3600</c:v>
                </c:pt>
                <c:pt idx="24">
                  <c:v>3650</c:v>
                </c:pt>
                <c:pt idx="25">
                  <c:v>3700</c:v>
                </c:pt>
                <c:pt idx="26">
                  <c:v>3750</c:v>
                </c:pt>
                <c:pt idx="27">
                  <c:v>3800</c:v>
                </c:pt>
                <c:pt idx="28">
                  <c:v>3850</c:v>
                </c:pt>
                <c:pt idx="29">
                  <c:v>3900</c:v>
                </c:pt>
                <c:pt idx="30">
                  <c:v>3950</c:v>
                </c:pt>
                <c:pt idx="31">
                  <c:v>4000</c:v>
                </c:pt>
                <c:pt idx="32">
                  <c:v>4050</c:v>
                </c:pt>
                <c:pt idx="33">
                  <c:v>4100</c:v>
                </c:pt>
                <c:pt idx="34">
                  <c:v>4150</c:v>
                </c:pt>
              </c:numCache>
            </c:numRef>
          </c:cat>
          <c:val>
            <c:numRef>
              <c:f>'12_18_20 (2year) call'!$L$3:$L$37</c:f>
              <c:numCache>
                <c:formatCode>General</c:formatCode>
                <c:ptCount val="35"/>
                <c:pt idx="0">
                  <c:v>759.53589635167714</c:v>
                </c:pt>
                <c:pt idx="1">
                  <c:v>717.55380650367056</c:v>
                </c:pt>
                <c:pt idx="2">
                  <c:v>675.61109881364791</c:v>
                </c:pt>
                <c:pt idx="3">
                  <c:v>633.87173540235312</c:v>
                </c:pt>
                <c:pt idx="4">
                  <c:v>593.81473869861907</c:v>
                </c:pt>
                <c:pt idx="5">
                  <c:v>555.5996579229602</c:v>
                </c:pt>
                <c:pt idx="6">
                  <c:v>517.78632992265307</c:v>
                </c:pt>
                <c:pt idx="7">
                  <c:v>481.19998882793448</c:v>
                </c:pt>
                <c:pt idx="8">
                  <c:v>445.89796209812175</c:v>
                </c:pt>
                <c:pt idx="9">
                  <c:v>411.08397046273558</c:v>
                </c:pt>
                <c:pt idx="10">
                  <c:v>378.58627527898534</c:v>
                </c:pt>
                <c:pt idx="11">
                  <c:v>347.64094533550656</c:v>
                </c:pt>
                <c:pt idx="12">
                  <c:v>318.33951632772005</c:v>
                </c:pt>
                <c:pt idx="13">
                  <c:v>290.45239998072907</c:v>
                </c:pt>
                <c:pt idx="14">
                  <c:v>264.17818385116766</c:v>
                </c:pt>
                <c:pt idx="15">
                  <c:v>239.56244007135751</c:v>
                </c:pt>
                <c:pt idx="16">
                  <c:v>216.59757554746125</c:v>
                </c:pt>
                <c:pt idx="17">
                  <c:v>195.21648059165591</c:v>
                </c:pt>
                <c:pt idx="18">
                  <c:v>175.22380840487995</c:v>
                </c:pt>
                <c:pt idx="19">
                  <c:v>156.97490685440675</c:v>
                </c:pt>
                <c:pt idx="20">
                  <c:v>140.19458433405543</c:v>
                </c:pt>
                <c:pt idx="21">
                  <c:v>124.72063692444817</c:v>
                </c:pt>
                <c:pt idx="22">
                  <c:v>110.6380875115052</c:v>
                </c:pt>
                <c:pt idx="23">
                  <c:v>97.933260241757921</c:v>
                </c:pt>
                <c:pt idx="24">
                  <c:v>86.449053293556062</c:v>
                </c:pt>
                <c:pt idx="25">
                  <c:v>76.2363771440248</c:v>
                </c:pt>
                <c:pt idx="26">
                  <c:v>67.039405444158092</c:v>
                </c:pt>
                <c:pt idx="27">
                  <c:v>58.834296305323846</c:v>
                </c:pt>
                <c:pt idx="28">
                  <c:v>51.659699565637879</c:v>
                </c:pt>
                <c:pt idx="29">
                  <c:v>45.233720724823797</c:v>
                </c:pt>
                <c:pt idx="30">
                  <c:v>39.669108313315235</c:v>
                </c:pt>
                <c:pt idx="31">
                  <c:v>34.839969166028141</c:v>
                </c:pt>
                <c:pt idx="32">
                  <c:v>30.374762166460016</c:v>
                </c:pt>
                <c:pt idx="33">
                  <c:v>26.635054654477585</c:v>
                </c:pt>
                <c:pt idx="34">
                  <c:v>23.420401375225737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23-4674-BB09-FD6B48625E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6522768"/>
        <c:axId val="676516944"/>
      </c:lineChart>
      <c:catAx>
        <c:axId val="6765227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516944"/>
        <c:crosses val="autoZero"/>
        <c:auto val="1"/>
        <c:lblAlgn val="ctr"/>
        <c:lblOffset val="100"/>
        <c:noMultiLvlLbl val="0"/>
      </c:catAx>
      <c:valAx>
        <c:axId val="676516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BS</a:t>
                </a:r>
                <a:r>
                  <a:rPr lang="en-US" baseline="0"/>
                  <a:t> call price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522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SX5E Implied volatility (2 year)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Implied volatility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'12_18_20 (2year) call'!$I$3:$I$37</c:f>
              <c:numCache>
                <c:formatCode>General</c:formatCode>
                <c:ptCount val="35"/>
                <c:pt idx="0">
                  <c:v>2450</c:v>
                </c:pt>
                <c:pt idx="1">
                  <c:v>2500</c:v>
                </c:pt>
                <c:pt idx="2">
                  <c:v>2550</c:v>
                </c:pt>
                <c:pt idx="3">
                  <c:v>2600</c:v>
                </c:pt>
                <c:pt idx="4">
                  <c:v>2650</c:v>
                </c:pt>
                <c:pt idx="5">
                  <c:v>2700</c:v>
                </c:pt>
                <c:pt idx="6">
                  <c:v>2750</c:v>
                </c:pt>
                <c:pt idx="7">
                  <c:v>2800</c:v>
                </c:pt>
                <c:pt idx="8">
                  <c:v>2850</c:v>
                </c:pt>
                <c:pt idx="9">
                  <c:v>2900</c:v>
                </c:pt>
                <c:pt idx="10">
                  <c:v>2950</c:v>
                </c:pt>
                <c:pt idx="11">
                  <c:v>3000</c:v>
                </c:pt>
                <c:pt idx="12">
                  <c:v>3050</c:v>
                </c:pt>
                <c:pt idx="13">
                  <c:v>3100</c:v>
                </c:pt>
                <c:pt idx="14">
                  <c:v>3150</c:v>
                </c:pt>
                <c:pt idx="15">
                  <c:v>3200</c:v>
                </c:pt>
                <c:pt idx="16">
                  <c:v>3250</c:v>
                </c:pt>
                <c:pt idx="17">
                  <c:v>3300</c:v>
                </c:pt>
                <c:pt idx="18">
                  <c:v>3350</c:v>
                </c:pt>
                <c:pt idx="19">
                  <c:v>3400</c:v>
                </c:pt>
                <c:pt idx="20">
                  <c:v>3450</c:v>
                </c:pt>
                <c:pt idx="21">
                  <c:v>3500</c:v>
                </c:pt>
                <c:pt idx="22">
                  <c:v>3550</c:v>
                </c:pt>
                <c:pt idx="23">
                  <c:v>3600</c:v>
                </c:pt>
                <c:pt idx="24">
                  <c:v>3650</c:v>
                </c:pt>
                <c:pt idx="25">
                  <c:v>3700</c:v>
                </c:pt>
                <c:pt idx="26">
                  <c:v>3750</c:v>
                </c:pt>
                <c:pt idx="27">
                  <c:v>3800</c:v>
                </c:pt>
                <c:pt idx="28">
                  <c:v>3850</c:v>
                </c:pt>
                <c:pt idx="29">
                  <c:v>3900</c:v>
                </c:pt>
                <c:pt idx="30">
                  <c:v>3950</c:v>
                </c:pt>
                <c:pt idx="31">
                  <c:v>4000</c:v>
                </c:pt>
                <c:pt idx="32">
                  <c:v>4050</c:v>
                </c:pt>
                <c:pt idx="33">
                  <c:v>4100</c:v>
                </c:pt>
                <c:pt idx="34">
                  <c:v>4150</c:v>
                </c:pt>
              </c:numCache>
            </c:numRef>
          </c:cat>
          <c:val>
            <c:numRef>
              <c:f>'12_18_20 (2year) call'!$E$3:$E$37</c:f>
              <c:numCache>
                <c:formatCode>General</c:formatCode>
                <c:ptCount val="35"/>
                <c:pt idx="0">
                  <c:v>18.909511566162099</c:v>
                </c:pt>
                <c:pt idx="1">
                  <c:v>18.600872039794901</c:v>
                </c:pt>
                <c:pt idx="2">
                  <c:v>18.2383632659912</c:v>
                </c:pt>
                <c:pt idx="3">
                  <c:v>17.8392848968506</c:v>
                </c:pt>
                <c:pt idx="4">
                  <c:v>17.5123195648193</c:v>
                </c:pt>
                <c:pt idx="5">
                  <c:v>17.2548522949219</c:v>
                </c:pt>
                <c:pt idx="6">
                  <c:v>16.959486007690401</c:v>
                </c:pt>
                <c:pt idx="7">
                  <c:v>16.679763793945298</c:v>
                </c:pt>
                <c:pt idx="8">
                  <c:v>16.414182662963899</c:v>
                </c:pt>
                <c:pt idx="9">
                  <c:v>16.1111354827881</c:v>
                </c:pt>
                <c:pt idx="10">
                  <c:v>15.875913619995099</c:v>
                </c:pt>
                <c:pt idx="11">
                  <c:v>15.657645225524901</c:v>
                </c:pt>
                <c:pt idx="12">
                  <c:v>15.458104133606</c:v>
                </c:pt>
                <c:pt idx="13">
                  <c:v>15.262087821960399</c:v>
                </c:pt>
                <c:pt idx="14">
                  <c:v>15.0788125991821</c:v>
                </c:pt>
                <c:pt idx="15">
                  <c:v>14.909518241882299</c:v>
                </c:pt>
                <c:pt idx="16">
                  <c:v>14.7532873153687</c:v>
                </c:pt>
                <c:pt idx="17">
                  <c:v>14.606701850891101</c:v>
                </c:pt>
                <c:pt idx="18">
                  <c:v>14.459805488586399</c:v>
                </c:pt>
                <c:pt idx="19">
                  <c:v>14.3336896896362</c:v>
                </c:pt>
                <c:pt idx="20">
                  <c:v>14.215349197387701</c:v>
                </c:pt>
                <c:pt idx="21">
                  <c:v>14.097882270813001</c:v>
                </c:pt>
                <c:pt idx="22">
                  <c:v>13.9892587661743</c:v>
                </c:pt>
                <c:pt idx="23">
                  <c:v>13.8927326202393</c:v>
                </c:pt>
                <c:pt idx="24">
                  <c:v>13.802905082702599</c:v>
                </c:pt>
                <c:pt idx="25">
                  <c:v>13.7285318374634</c:v>
                </c:pt>
                <c:pt idx="26">
                  <c:v>13.6574459075928</c:v>
                </c:pt>
                <c:pt idx="27">
                  <c:v>13.5932874679565</c:v>
                </c:pt>
                <c:pt idx="28">
                  <c:v>13.5460529327393</c:v>
                </c:pt>
                <c:pt idx="29">
                  <c:v>13.4990797042847</c:v>
                </c:pt>
                <c:pt idx="30">
                  <c:v>13.469398498535201</c:v>
                </c:pt>
                <c:pt idx="31">
                  <c:v>13.45374584198</c:v>
                </c:pt>
                <c:pt idx="32">
                  <c:v>13.419013977050801</c:v>
                </c:pt>
                <c:pt idx="33">
                  <c:v>13.4115495681763</c:v>
                </c:pt>
                <c:pt idx="34">
                  <c:v>13.4177961349487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36-4868-8610-A7C3A21F55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6522768"/>
        <c:axId val="676516944"/>
      </c:lineChart>
      <c:catAx>
        <c:axId val="6765227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516944"/>
        <c:crosses val="autoZero"/>
        <c:auto val="1"/>
        <c:lblAlgn val="ctr"/>
        <c:lblOffset val="100"/>
        <c:noMultiLvlLbl val="0"/>
      </c:catAx>
      <c:valAx>
        <c:axId val="676516944"/>
        <c:scaling>
          <c:orientation val="minMax"/>
          <c:max val="19.5"/>
          <c:min val="1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Imp</a:t>
                </a:r>
                <a:r>
                  <a:rPr lang="en-US" baseline="0"/>
                  <a:t> vol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522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SX5E</a:t>
            </a:r>
            <a:r>
              <a:rPr lang="en-US" baseline="0"/>
              <a:t> </a:t>
            </a:r>
            <a:r>
              <a:rPr lang="en-US"/>
              <a:t>BS call price (1 year)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 call price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'12_20_19 (1year) call'!$I$3:$I$38</c:f>
              <c:numCache>
                <c:formatCode>General</c:formatCode>
                <c:ptCount val="36"/>
                <c:pt idx="0">
                  <c:v>2400</c:v>
                </c:pt>
                <c:pt idx="1">
                  <c:v>2450</c:v>
                </c:pt>
                <c:pt idx="2">
                  <c:v>2500</c:v>
                </c:pt>
                <c:pt idx="3">
                  <c:v>2550</c:v>
                </c:pt>
                <c:pt idx="4">
                  <c:v>2600</c:v>
                </c:pt>
                <c:pt idx="5">
                  <c:v>2650</c:v>
                </c:pt>
                <c:pt idx="6">
                  <c:v>2700</c:v>
                </c:pt>
                <c:pt idx="7">
                  <c:v>2750</c:v>
                </c:pt>
                <c:pt idx="8">
                  <c:v>2800</c:v>
                </c:pt>
                <c:pt idx="9">
                  <c:v>2850</c:v>
                </c:pt>
                <c:pt idx="10">
                  <c:v>2900</c:v>
                </c:pt>
                <c:pt idx="11">
                  <c:v>2950</c:v>
                </c:pt>
                <c:pt idx="12">
                  <c:v>3000</c:v>
                </c:pt>
                <c:pt idx="13">
                  <c:v>3050</c:v>
                </c:pt>
                <c:pt idx="14">
                  <c:v>3100</c:v>
                </c:pt>
                <c:pt idx="15">
                  <c:v>3150</c:v>
                </c:pt>
                <c:pt idx="16">
                  <c:v>3200</c:v>
                </c:pt>
                <c:pt idx="17">
                  <c:v>3250</c:v>
                </c:pt>
                <c:pt idx="18">
                  <c:v>3300</c:v>
                </c:pt>
                <c:pt idx="19">
                  <c:v>3350</c:v>
                </c:pt>
                <c:pt idx="20">
                  <c:v>3400</c:v>
                </c:pt>
                <c:pt idx="21">
                  <c:v>3450</c:v>
                </c:pt>
                <c:pt idx="22">
                  <c:v>3500</c:v>
                </c:pt>
                <c:pt idx="23">
                  <c:v>3550</c:v>
                </c:pt>
                <c:pt idx="24">
                  <c:v>3600</c:v>
                </c:pt>
                <c:pt idx="25">
                  <c:v>3650</c:v>
                </c:pt>
                <c:pt idx="26">
                  <c:v>3700</c:v>
                </c:pt>
                <c:pt idx="27">
                  <c:v>3750</c:v>
                </c:pt>
                <c:pt idx="28">
                  <c:v>3800</c:v>
                </c:pt>
                <c:pt idx="29">
                  <c:v>3850</c:v>
                </c:pt>
                <c:pt idx="30">
                  <c:v>3900</c:v>
                </c:pt>
                <c:pt idx="31">
                  <c:v>3950</c:v>
                </c:pt>
                <c:pt idx="32">
                  <c:v>4000</c:v>
                </c:pt>
                <c:pt idx="33">
                  <c:v>4050</c:v>
                </c:pt>
                <c:pt idx="34">
                  <c:v>4100</c:v>
                </c:pt>
                <c:pt idx="35">
                  <c:v>4150</c:v>
                </c:pt>
              </c:numCache>
            </c:numRef>
          </c:cat>
          <c:val>
            <c:numRef>
              <c:f>'12_20_19 (1year) call'!$L$3:$L$38</c:f>
              <c:numCache>
                <c:formatCode>General</c:formatCode>
                <c:ptCount val="36"/>
                <c:pt idx="0">
                  <c:v>780.18807494675048</c:v>
                </c:pt>
                <c:pt idx="1">
                  <c:v>734.23265006519978</c:v>
                </c:pt>
                <c:pt idx="2">
                  <c:v>688.82742482599588</c:v>
                </c:pt>
                <c:pt idx="3">
                  <c:v>643.96543577219245</c:v>
                </c:pt>
                <c:pt idx="4">
                  <c:v>599.24641879184719</c:v>
                </c:pt>
                <c:pt idx="5">
                  <c:v>556.00002252526701</c:v>
                </c:pt>
                <c:pt idx="6">
                  <c:v>513.86931005259726</c:v>
                </c:pt>
                <c:pt idx="7">
                  <c:v>472.52419453640528</c:v>
                </c:pt>
                <c:pt idx="8">
                  <c:v>432.24068119844856</c:v>
                </c:pt>
                <c:pt idx="9">
                  <c:v>393.3231356626352</c:v>
                </c:pt>
                <c:pt idx="10">
                  <c:v>355.37446484487373</c:v>
                </c:pt>
                <c:pt idx="11">
                  <c:v>319.91791217238983</c:v>
                </c:pt>
                <c:pt idx="12">
                  <c:v>285.53504906627541</c:v>
                </c:pt>
                <c:pt idx="13">
                  <c:v>252.92645775679671</c:v>
                </c:pt>
                <c:pt idx="14">
                  <c:v>222.42652074266357</c:v>
                </c:pt>
                <c:pt idx="15">
                  <c:v>193.9718149907485</c:v>
                </c:pt>
                <c:pt idx="16">
                  <c:v>167.76946396538847</c:v>
                </c:pt>
                <c:pt idx="17">
                  <c:v>143.76903308172791</c:v>
                </c:pt>
                <c:pt idx="18">
                  <c:v>122.03494662629464</c:v>
                </c:pt>
                <c:pt idx="19">
                  <c:v>102.76466665635871</c:v>
                </c:pt>
                <c:pt idx="20">
                  <c:v>85.636444817622987</c:v>
                </c:pt>
                <c:pt idx="21">
                  <c:v>70.740443927611068</c:v>
                </c:pt>
                <c:pt idx="22">
                  <c:v>57.795829075968868</c:v>
                </c:pt>
                <c:pt idx="23">
                  <c:v>46.89947168212268</c:v>
                </c:pt>
                <c:pt idx="24">
                  <c:v>37.81936099488496</c:v>
                </c:pt>
                <c:pt idx="25">
                  <c:v>30.388459379229687</c:v>
                </c:pt>
                <c:pt idx="26">
                  <c:v>24.21702673724559</c:v>
                </c:pt>
                <c:pt idx="27">
                  <c:v>19.196008745117467</c:v>
                </c:pt>
                <c:pt idx="28">
                  <c:v>15.287383082608784</c:v>
                </c:pt>
                <c:pt idx="29">
                  <c:v>12.063286872449908</c:v>
                </c:pt>
                <c:pt idx="30">
                  <c:v>9.5446886895955458</c:v>
                </c:pt>
                <c:pt idx="31">
                  <c:v>7.620208703296214</c:v>
                </c:pt>
                <c:pt idx="32">
                  <c:v>6.1361719061617492</c:v>
                </c:pt>
                <c:pt idx="33">
                  <c:v>4.7239826489116439</c:v>
                </c:pt>
                <c:pt idx="34">
                  <c:v>3.9694519667198307</c:v>
                </c:pt>
                <c:pt idx="35">
                  <c:v>3.2126005440043031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96-464F-896F-D9079D6E6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6522768"/>
        <c:axId val="676516944"/>
      </c:lineChart>
      <c:catAx>
        <c:axId val="6765227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516944"/>
        <c:crosses val="autoZero"/>
        <c:auto val="1"/>
        <c:lblAlgn val="ctr"/>
        <c:lblOffset val="100"/>
        <c:noMultiLvlLbl val="0"/>
      </c:catAx>
      <c:valAx>
        <c:axId val="676516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BS</a:t>
                </a:r>
                <a:r>
                  <a:rPr lang="en-US" baseline="0"/>
                  <a:t> call price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522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SX5E Implied Volatility (1 year)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Implied Volatility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'12_20_19 (1year) call'!$I$3:$I$38</c:f>
              <c:numCache>
                <c:formatCode>General</c:formatCode>
                <c:ptCount val="36"/>
                <c:pt idx="0">
                  <c:v>2400</c:v>
                </c:pt>
                <c:pt idx="1">
                  <c:v>2450</c:v>
                </c:pt>
                <c:pt idx="2">
                  <c:v>2500</c:v>
                </c:pt>
                <c:pt idx="3">
                  <c:v>2550</c:v>
                </c:pt>
                <c:pt idx="4">
                  <c:v>2600</c:v>
                </c:pt>
                <c:pt idx="5">
                  <c:v>2650</c:v>
                </c:pt>
                <c:pt idx="6">
                  <c:v>2700</c:v>
                </c:pt>
                <c:pt idx="7">
                  <c:v>2750</c:v>
                </c:pt>
                <c:pt idx="8">
                  <c:v>2800</c:v>
                </c:pt>
                <c:pt idx="9">
                  <c:v>2850</c:v>
                </c:pt>
                <c:pt idx="10">
                  <c:v>2900</c:v>
                </c:pt>
                <c:pt idx="11">
                  <c:v>2950</c:v>
                </c:pt>
                <c:pt idx="12">
                  <c:v>3000</c:v>
                </c:pt>
                <c:pt idx="13">
                  <c:v>3050</c:v>
                </c:pt>
                <c:pt idx="14">
                  <c:v>3100</c:v>
                </c:pt>
                <c:pt idx="15">
                  <c:v>3150</c:v>
                </c:pt>
                <c:pt idx="16">
                  <c:v>3200</c:v>
                </c:pt>
                <c:pt idx="17">
                  <c:v>3250</c:v>
                </c:pt>
                <c:pt idx="18">
                  <c:v>3300</c:v>
                </c:pt>
                <c:pt idx="19">
                  <c:v>3350</c:v>
                </c:pt>
                <c:pt idx="20">
                  <c:v>3400</c:v>
                </c:pt>
                <c:pt idx="21">
                  <c:v>3450</c:v>
                </c:pt>
                <c:pt idx="22">
                  <c:v>3500</c:v>
                </c:pt>
                <c:pt idx="23">
                  <c:v>3550</c:v>
                </c:pt>
                <c:pt idx="24">
                  <c:v>3600</c:v>
                </c:pt>
                <c:pt idx="25">
                  <c:v>3650</c:v>
                </c:pt>
                <c:pt idx="26">
                  <c:v>3700</c:v>
                </c:pt>
                <c:pt idx="27">
                  <c:v>3750</c:v>
                </c:pt>
                <c:pt idx="28">
                  <c:v>3800</c:v>
                </c:pt>
                <c:pt idx="29">
                  <c:v>3850</c:v>
                </c:pt>
                <c:pt idx="30">
                  <c:v>3900</c:v>
                </c:pt>
                <c:pt idx="31">
                  <c:v>3950</c:v>
                </c:pt>
                <c:pt idx="32">
                  <c:v>4000</c:v>
                </c:pt>
                <c:pt idx="33">
                  <c:v>4050</c:v>
                </c:pt>
                <c:pt idx="34">
                  <c:v>4100</c:v>
                </c:pt>
                <c:pt idx="35">
                  <c:v>4150</c:v>
                </c:pt>
              </c:numCache>
            </c:numRef>
          </c:cat>
          <c:val>
            <c:numRef>
              <c:f>'12_20_19 (1year) call'!$E$3:$E$38</c:f>
              <c:numCache>
                <c:formatCode>General</c:formatCode>
                <c:ptCount val="36"/>
                <c:pt idx="0">
                  <c:v>21.774021148681602</c:v>
                </c:pt>
                <c:pt idx="1">
                  <c:v>21.224042892456101</c:v>
                </c:pt>
                <c:pt idx="2">
                  <c:v>20.687385559081999</c:v>
                </c:pt>
                <c:pt idx="3">
                  <c:v>20.1535530090332</c:v>
                </c:pt>
                <c:pt idx="4">
                  <c:v>19.5652961730957</c:v>
                </c:pt>
                <c:pt idx="5">
                  <c:v>19.079555511474599</c:v>
                </c:pt>
                <c:pt idx="6">
                  <c:v>18.630163192748999</c:v>
                </c:pt>
                <c:pt idx="7">
                  <c:v>18.168571472168001</c:v>
                </c:pt>
                <c:pt idx="8">
                  <c:v>17.7144451141357</c:v>
                </c:pt>
                <c:pt idx="9">
                  <c:v>17.284988403320298</c:v>
                </c:pt>
                <c:pt idx="10">
                  <c:v>16.833286285400401</c:v>
                </c:pt>
                <c:pt idx="11">
                  <c:v>16.4780368804932</c:v>
                </c:pt>
                <c:pt idx="12">
                  <c:v>16.086711883544901</c:v>
                </c:pt>
                <c:pt idx="13">
                  <c:v>15.708092689514199</c:v>
                </c:pt>
                <c:pt idx="14">
                  <c:v>15.357928276061999</c:v>
                </c:pt>
                <c:pt idx="15">
                  <c:v>15.0223636627197</c:v>
                </c:pt>
                <c:pt idx="16">
                  <c:v>14.709929466247599</c:v>
                </c:pt>
                <c:pt idx="17">
                  <c:v>14.411826133728001</c:v>
                </c:pt>
                <c:pt idx="18">
                  <c:v>14.1301259994507</c:v>
                </c:pt>
                <c:pt idx="19">
                  <c:v>13.8804388046265</c:v>
                </c:pt>
                <c:pt idx="20">
                  <c:v>13.6407976150513</c:v>
                </c:pt>
                <c:pt idx="21">
                  <c:v>13.424811363220201</c:v>
                </c:pt>
                <c:pt idx="22">
                  <c:v>13.2173767089844</c:v>
                </c:pt>
                <c:pt idx="23">
                  <c:v>13.0410270690918</c:v>
                </c:pt>
                <c:pt idx="24">
                  <c:v>12.8919973373413</c:v>
                </c:pt>
                <c:pt idx="25">
                  <c:v>12.7754096984863</c:v>
                </c:pt>
                <c:pt idx="26">
                  <c:v>12.6671237945557</c:v>
                </c:pt>
                <c:pt idx="27">
                  <c:v>12.5755319595337</c:v>
                </c:pt>
                <c:pt idx="28">
                  <c:v>12.526813507080099</c:v>
                </c:pt>
                <c:pt idx="29">
                  <c:v>12.473371505737299</c:v>
                </c:pt>
                <c:pt idx="30">
                  <c:v>12.446177482605</c:v>
                </c:pt>
                <c:pt idx="31">
                  <c:v>12.454384803771999</c:v>
                </c:pt>
                <c:pt idx="32">
                  <c:v>12.490044593811</c:v>
                </c:pt>
                <c:pt idx="33">
                  <c:v>12.4377527236938</c:v>
                </c:pt>
                <c:pt idx="34">
                  <c:v>12.5692386627197</c:v>
                </c:pt>
                <c:pt idx="35">
                  <c:v>12.6250896453857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AF-4A83-A5F2-66A8CBC03B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6522768"/>
        <c:axId val="676516944"/>
      </c:lineChart>
      <c:catAx>
        <c:axId val="6765227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516944"/>
        <c:crosses val="autoZero"/>
        <c:auto val="1"/>
        <c:lblAlgn val="ctr"/>
        <c:lblOffset val="100"/>
        <c:noMultiLvlLbl val="0"/>
      </c:catAx>
      <c:valAx>
        <c:axId val="676516944"/>
        <c:scaling>
          <c:orientation val="minMax"/>
          <c:max val="22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Imp</a:t>
                </a:r>
                <a:r>
                  <a:rPr lang="en-US" baseline="0"/>
                  <a:t> vol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522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120650</xdr:colOff>
          <xdr:row>16</xdr:row>
          <xdr:rowOff>25400</xdr:rowOff>
        </xdr:from>
        <xdr:to>
          <xdr:col>4</xdr:col>
          <xdr:colOff>374650</xdr:colOff>
          <xdr:row>17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rebuchet MS"/>
                </a:rPr>
                <a:t>Run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24</xdr:row>
          <xdr:rowOff>69850</xdr:rowOff>
        </xdr:from>
        <xdr:to>
          <xdr:col>4</xdr:col>
          <xdr:colOff>381000</xdr:colOff>
          <xdr:row>26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rebuchet MS"/>
                </a:rPr>
                <a:t>Display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18</xdr:row>
          <xdr:rowOff>88900</xdr:rowOff>
        </xdr:from>
        <xdr:to>
          <xdr:col>4</xdr:col>
          <xdr:colOff>361950</xdr:colOff>
          <xdr:row>20</xdr:row>
          <xdr:rowOff>120650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Recalibration n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6</xdr:row>
      <xdr:rowOff>9526</xdr:rowOff>
    </xdr:from>
    <xdr:to>
      <xdr:col>15</xdr:col>
      <xdr:colOff>4943475</xdr:colOff>
      <xdr:row>19</xdr:row>
      <xdr:rowOff>9526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15</xdr:col>
      <xdr:colOff>4943475</xdr:colOff>
      <xdr:row>33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609599</xdr:colOff>
      <xdr:row>6</xdr:row>
      <xdr:rowOff>0</xdr:rowOff>
    </xdr:from>
    <xdr:to>
      <xdr:col>15</xdr:col>
      <xdr:colOff>4438650</xdr:colOff>
      <xdr:row>18</xdr:row>
      <xdr:rowOff>142876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20</xdr:row>
      <xdr:rowOff>19050</xdr:rowOff>
    </xdr:from>
    <xdr:to>
      <xdr:col>15</xdr:col>
      <xdr:colOff>4448175</xdr:colOff>
      <xdr:row>33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/Downloads/SX5E%20cleane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21820 call"/>
      <sheetName val="121820 put"/>
      <sheetName val="Summary"/>
      <sheetName val="Call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AD169"/>
  <sheetViews>
    <sheetView tabSelected="1" zoomScale="81" zoomScaleNormal="81" workbookViewId="0"/>
  </sheetViews>
  <sheetFormatPr defaultColWidth="9.08984375" defaultRowHeight="15.5"/>
  <cols>
    <col min="1" max="1" width="9.08984375" style="1" customWidth="1"/>
    <col min="2" max="2" width="20.6328125" style="1" customWidth="1"/>
    <col min="3" max="3" width="14.36328125" style="1" bestFit="1" customWidth="1"/>
    <col min="4" max="4" width="15.6328125" style="1" customWidth="1"/>
    <col min="5" max="6" width="9.08984375" style="1"/>
    <col min="7" max="7" width="24.08984375" style="1" bestFit="1" customWidth="1"/>
    <col min="8" max="8" width="21" style="1" bestFit="1" customWidth="1"/>
    <col min="9" max="9" width="17.08984375" style="1" bestFit="1" customWidth="1"/>
    <col min="10" max="10" width="10.6328125" style="1" customWidth="1"/>
    <col min="11" max="11" width="7.6328125" style="1" customWidth="1"/>
    <col min="12" max="12" width="12.6328125" style="1" customWidth="1"/>
    <col min="13" max="13" width="18.6328125" style="1" customWidth="1"/>
    <col min="14" max="14" width="9.08984375" style="1"/>
    <col min="15" max="15" width="4" style="2" customWidth="1"/>
    <col min="16" max="17" width="14.54296875" style="1" bestFit="1" customWidth="1"/>
    <col min="18" max="18" width="13.453125" style="1" bestFit="1" customWidth="1"/>
    <col min="19" max="19" width="9.453125" style="1" bestFit="1" customWidth="1"/>
    <col min="20" max="20" width="10.6328125" style="1" bestFit="1" customWidth="1"/>
    <col min="21" max="21" width="9.08984375" style="1"/>
    <col min="22" max="22" width="9.08984375" style="1" hidden="1" customWidth="1"/>
    <col min="23" max="23" width="10.54296875" style="1" hidden="1" customWidth="1"/>
    <col min="24" max="24" width="10.08984375" style="1" hidden="1" customWidth="1"/>
    <col min="25" max="25" width="9.08984375" style="3" hidden="1" customWidth="1"/>
    <col min="26" max="27" width="9.08984375" style="1" hidden="1" customWidth="1"/>
    <col min="28" max="28" width="9.08984375" style="1"/>
    <col min="29" max="29" width="14.54296875" style="1" bestFit="1" customWidth="1"/>
    <col min="30" max="16384" width="9.08984375" style="1"/>
  </cols>
  <sheetData>
    <row r="1" spans="2:30">
      <c r="N1" s="2"/>
      <c r="O1" s="1"/>
      <c r="X1" s="3"/>
      <c r="Y1" s="1"/>
    </row>
    <row r="2" spans="2:30">
      <c r="V2" s="1" t="e">
        <f>SUM(V5:V64)</f>
        <v>#VALUE!</v>
      </c>
      <c r="AB2" s="1" t="s">
        <v>55</v>
      </c>
      <c r="AC2" s="1">
        <v>9.6582999999999999E-3</v>
      </c>
    </row>
    <row r="3" spans="2:30" ht="16" thickBot="1">
      <c r="B3" s="4" t="s">
        <v>0</v>
      </c>
      <c r="C3" s="5">
        <v>43423</v>
      </c>
      <c r="F3" s="36" t="s">
        <v>16</v>
      </c>
      <c r="G3" s="36"/>
      <c r="AB3" s="1" t="s">
        <v>54</v>
      </c>
      <c r="AC3" s="23">
        <f>SQRT(AC2)</f>
        <v>9.8276650329567089E-2</v>
      </c>
    </row>
    <row r="4" spans="2:30" ht="16.5" thickTop="1" thickBot="1">
      <c r="B4" s="4" t="s">
        <v>46</v>
      </c>
      <c r="C4" s="1" t="s">
        <v>56</v>
      </c>
      <c r="F4" s="6" t="s">
        <v>17</v>
      </c>
      <c r="G4" s="7" t="s">
        <v>44</v>
      </c>
      <c r="H4" s="7" t="s">
        <v>59</v>
      </c>
      <c r="I4" s="7" t="s">
        <v>146</v>
      </c>
      <c r="J4" s="7" t="s">
        <v>18</v>
      </c>
      <c r="K4" s="7" t="s">
        <v>19</v>
      </c>
      <c r="L4" s="7" t="s">
        <v>60</v>
      </c>
      <c r="M4" s="7" t="s">
        <v>20</v>
      </c>
      <c r="N4" s="8" t="s">
        <v>21</v>
      </c>
      <c r="P4" s="9" t="s">
        <v>41</v>
      </c>
      <c r="Q4" s="9" t="s">
        <v>40</v>
      </c>
      <c r="R4" s="9" t="s">
        <v>42</v>
      </c>
      <c r="S4" s="9" t="s">
        <v>43</v>
      </c>
      <c r="T4" s="9" t="s">
        <v>23</v>
      </c>
      <c r="V4" s="1" t="s">
        <v>33</v>
      </c>
      <c r="W4" s="1" t="s">
        <v>38</v>
      </c>
      <c r="X4" s="1" t="s">
        <v>37</v>
      </c>
      <c r="AB4" s="1" t="s">
        <v>51</v>
      </c>
      <c r="AC4" s="1" t="s">
        <v>52</v>
      </c>
      <c r="AD4" s="1" t="s">
        <v>53</v>
      </c>
    </row>
    <row r="5" spans="2:30">
      <c r="B5" s="1" t="s">
        <v>47</v>
      </c>
      <c r="C5" s="1">
        <f>COUNT($G:$G)</f>
        <v>35</v>
      </c>
      <c r="F5" s="10">
        <v>1</v>
      </c>
      <c r="G5" s="11">
        <v>759.53589635167714</v>
      </c>
      <c r="H5" s="25">
        <f>'12_18_20 (2year) call'!$O$2</f>
        <v>-6.1900000000000002E-3</v>
      </c>
      <c r="I5" s="11">
        <f>$C$7</f>
        <v>3160.33</v>
      </c>
      <c r="J5" s="11">
        <v>2450</v>
      </c>
      <c r="K5" s="11">
        <v>1</v>
      </c>
      <c r="L5" s="25">
        <v>0</v>
      </c>
      <c r="M5" s="11">
        <f>'12_18_20 (2year) call'!$O$3</f>
        <v>2.1541501976284585</v>
      </c>
      <c r="N5" s="12">
        <f>1/$C$5</f>
        <v>2.8571428571428571E-2</v>
      </c>
      <c r="P5" s="13"/>
      <c r="Q5" s="13"/>
      <c r="R5" s="13"/>
      <c r="S5" s="14"/>
      <c r="T5" s="15"/>
      <c r="V5" s="1" t="e">
        <f>BSVegaF(I5,J5,M5,H5,L5)</f>
        <v>#VALUE!</v>
      </c>
      <c r="W5" s="1" t="e">
        <f>V5/$V$2</f>
        <v>#VALUE!</v>
      </c>
      <c r="X5" s="1">
        <v>1</v>
      </c>
      <c r="Y5" s="3" t="s">
        <v>24</v>
      </c>
      <c r="Z5" s="1" t="s">
        <v>35</v>
      </c>
      <c r="AB5" s="1">
        <f>((LN($C$7/$J5)+($H5-0.5*($AC$3)^2)*$M5))/($AC$3*SQRT($M5))</f>
        <v>1.6004584712459786</v>
      </c>
      <c r="AC5" s="1">
        <f>AB5+$AC$3*SQRT($M5)</f>
        <v>1.7446993422006249</v>
      </c>
      <c r="AD5" s="1">
        <f>$C$7*_xlfn.NORM.S.DIST($AC5,1)-$J5*EXP(-$H5*$M5)*_xlfn.NORM.S.DIST($AB5,1)</f>
        <v>685.32454288547297</v>
      </c>
    </row>
    <row r="6" spans="2:30">
      <c r="B6" s="4" t="s">
        <v>1</v>
      </c>
      <c r="F6" s="10">
        <f>F5+1</f>
        <v>2</v>
      </c>
      <c r="G6" s="13">
        <v>717.55380650367056</v>
      </c>
      <c r="H6" s="13">
        <f>'12_18_20 (2year) call'!$O$2</f>
        <v>-6.1900000000000002E-3</v>
      </c>
      <c r="I6" s="13">
        <f t="shared" ref="I6:I69" si="0">$C$7</f>
        <v>3160.33</v>
      </c>
      <c r="J6" s="13">
        <v>2500</v>
      </c>
      <c r="K6" s="13">
        <v>1</v>
      </c>
      <c r="L6" s="13">
        <v>0</v>
      </c>
      <c r="M6" s="13">
        <f>'12_18_20 (2year) call'!$O$3</f>
        <v>2.1541501976284585</v>
      </c>
      <c r="N6" s="16">
        <f t="shared" ref="N6:N69" si="1">1/$C$5</f>
        <v>2.8571428571428571E-2</v>
      </c>
      <c r="P6" s="13"/>
      <c r="Q6" s="13"/>
      <c r="R6" s="13"/>
      <c r="S6" s="14"/>
      <c r="T6" s="15"/>
      <c r="V6" s="1" t="e">
        <f t="shared" ref="V6:V69" si="2">BSVegaF(I6,J6,M6,H6,L6)</f>
        <v>#VALUE!</v>
      </c>
      <c r="W6" s="1" t="e">
        <f t="shared" ref="W6:W69" si="3">V6/$V$2</f>
        <v>#VALUE!</v>
      </c>
      <c r="X6" s="1">
        <v>1</v>
      </c>
      <c r="Y6" s="3" t="s">
        <v>25</v>
      </c>
      <c r="Z6" s="1" t="s">
        <v>36</v>
      </c>
      <c r="AB6" s="1">
        <f>((LN($C$7/$J6)+($H6-0.5*($AC$3)^2)*$M6))/($AC$3*SQRT($M6))</f>
        <v>1.4603961769474942</v>
      </c>
      <c r="AC6" s="1">
        <f t="shared" ref="AC6:AC61" si="4">AB6+$AC$3*SQRT($M6)</f>
        <v>1.6046370479021406</v>
      </c>
      <c r="AD6" s="1">
        <f t="shared" ref="AD6:AD61" si="5">$C$7*_xlfn.NORM.S.DIST($AC6,1)-$J6*EXP(-$H6*$M6)*_xlfn.NORM.S.DIST($AB6,1)</f>
        <v>637.85271493481514</v>
      </c>
    </row>
    <row r="7" spans="2:30">
      <c r="B7" s="1" t="s">
        <v>2</v>
      </c>
      <c r="C7" s="1">
        <f>'12_18_20 (2year) call'!$O$1</f>
        <v>3160.33</v>
      </c>
      <c r="F7" s="10">
        <f t="shared" ref="F7:F70" si="6">F6+1</f>
        <v>3</v>
      </c>
      <c r="G7" s="13">
        <v>675.61109881364791</v>
      </c>
      <c r="H7" s="13">
        <f>'12_18_20 (2year) call'!$O$2</f>
        <v>-6.1900000000000002E-3</v>
      </c>
      <c r="I7" s="13">
        <f t="shared" si="0"/>
        <v>3160.33</v>
      </c>
      <c r="J7" s="13">
        <v>2550</v>
      </c>
      <c r="K7" s="13">
        <v>1</v>
      </c>
      <c r="L7" s="13">
        <v>0</v>
      </c>
      <c r="M7" s="13">
        <f>'12_18_20 (2year) call'!$O$3</f>
        <v>2.1541501976284585</v>
      </c>
      <c r="N7" s="16">
        <f t="shared" si="1"/>
        <v>2.8571428571428571E-2</v>
      </c>
      <c r="P7" s="13"/>
      <c r="Q7" s="13"/>
      <c r="R7" s="13"/>
      <c r="S7" s="14"/>
      <c r="T7" s="15"/>
      <c r="V7" s="1" t="e">
        <f t="shared" si="2"/>
        <v>#VALUE!</v>
      </c>
      <c r="W7" s="1" t="e">
        <f t="shared" si="3"/>
        <v>#VALUE!</v>
      </c>
      <c r="X7" s="1">
        <v>1</v>
      </c>
      <c r="Y7" s="3" t="s">
        <v>26</v>
      </c>
      <c r="AB7" s="1">
        <f t="shared" ref="AB7:AB61" si="7">((LN($C$7/$J7)+($H7-0.5*($AC$3)^2)*$M7))/($AC$3*SQRT($M7))</f>
        <v>1.3231075765312752</v>
      </c>
      <c r="AC7" s="1">
        <f t="shared" si="4"/>
        <v>1.4673484474859215</v>
      </c>
      <c r="AD7" s="1">
        <f t="shared" si="5"/>
        <v>591.34664073855811</v>
      </c>
    </row>
    <row r="8" spans="2:30">
      <c r="F8" s="10">
        <f t="shared" si="6"/>
        <v>4</v>
      </c>
      <c r="G8" s="13">
        <v>633.87173540235312</v>
      </c>
      <c r="H8" s="13">
        <f>'12_18_20 (2year) call'!$O$2</f>
        <v>-6.1900000000000002E-3</v>
      </c>
      <c r="I8" s="13">
        <f t="shared" si="0"/>
        <v>3160.33</v>
      </c>
      <c r="J8" s="13">
        <v>2600</v>
      </c>
      <c r="K8" s="13">
        <v>1</v>
      </c>
      <c r="L8" s="13">
        <v>0</v>
      </c>
      <c r="M8" s="13">
        <f>'12_18_20 (2year) call'!$O$3</f>
        <v>2.1541501976284585</v>
      </c>
      <c r="N8" s="16">
        <f t="shared" si="1"/>
        <v>2.8571428571428571E-2</v>
      </c>
      <c r="P8" s="13"/>
      <c r="Q8" s="13"/>
      <c r="R8" s="13"/>
      <c r="S8" s="14"/>
      <c r="T8" s="15"/>
      <c r="V8" s="1" t="e">
        <f t="shared" si="2"/>
        <v>#VALUE!</v>
      </c>
      <c r="W8" s="1" t="e">
        <f t="shared" si="3"/>
        <v>#VALUE!</v>
      </c>
      <c r="X8" s="1">
        <v>1</v>
      </c>
      <c r="Y8" s="3" t="s">
        <v>27</v>
      </c>
      <c r="AB8" s="1">
        <f t="shared" si="7"/>
        <v>1.1884849433720017</v>
      </c>
      <c r="AC8" s="1">
        <f t="shared" si="4"/>
        <v>1.3327258143266481</v>
      </c>
      <c r="AD8" s="1">
        <f t="shared" si="5"/>
        <v>545.98612642759826</v>
      </c>
    </row>
    <row r="9" spans="2:30">
      <c r="B9" s="4" t="s">
        <v>3</v>
      </c>
      <c r="C9" s="4" t="s">
        <v>4</v>
      </c>
      <c r="D9" s="4" t="s">
        <v>9</v>
      </c>
      <c r="F9" s="10">
        <f t="shared" si="6"/>
        <v>5</v>
      </c>
      <c r="G9" s="13">
        <v>593.81473869861907</v>
      </c>
      <c r="H9" s="13">
        <f>'12_18_20 (2year) call'!$O$2</f>
        <v>-6.1900000000000002E-3</v>
      </c>
      <c r="I9" s="13">
        <f t="shared" si="0"/>
        <v>3160.33</v>
      </c>
      <c r="J9" s="13">
        <v>2650</v>
      </c>
      <c r="K9" s="13">
        <v>1</v>
      </c>
      <c r="L9" s="13">
        <v>0</v>
      </c>
      <c r="M9" s="13">
        <f>'12_18_20 (2year) call'!$O$3</f>
        <v>2.1541501976284585</v>
      </c>
      <c r="N9" s="16">
        <f t="shared" si="1"/>
        <v>2.8571428571428571E-2</v>
      </c>
      <c r="P9" s="13"/>
      <c r="Q9" s="13"/>
      <c r="R9" s="13"/>
      <c r="S9" s="14"/>
      <c r="T9" s="15"/>
      <c r="V9" s="1" t="e">
        <f t="shared" si="2"/>
        <v>#VALUE!</v>
      </c>
      <c r="W9" s="1" t="e">
        <f t="shared" si="3"/>
        <v>#VALUE!</v>
      </c>
      <c r="X9" s="1">
        <v>1</v>
      </c>
      <c r="Y9" s="3" t="s">
        <v>28</v>
      </c>
      <c r="AB9" s="1">
        <f t="shared" si="7"/>
        <v>1.0564267074183118</v>
      </c>
      <c r="AC9" s="1">
        <f t="shared" si="4"/>
        <v>1.2006675783729581</v>
      </c>
      <c r="AD9" s="1">
        <f t="shared" si="5"/>
        <v>501.95551734612627</v>
      </c>
    </row>
    <row r="10" spans="2:30">
      <c r="B10" s="4" t="s">
        <v>5</v>
      </c>
      <c r="C10" s="1">
        <v>0</v>
      </c>
      <c r="D10" s="1">
        <v>20</v>
      </c>
      <c r="F10" s="10">
        <f t="shared" si="6"/>
        <v>6</v>
      </c>
      <c r="G10" s="13">
        <v>555.5996579229602</v>
      </c>
      <c r="H10" s="13">
        <f>'12_18_20 (2year) call'!$O$2</f>
        <v>-6.1900000000000002E-3</v>
      </c>
      <c r="I10" s="13">
        <f t="shared" si="0"/>
        <v>3160.33</v>
      </c>
      <c r="J10" s="13">
        <v>2700</v>
      </c>
      <c r="K10" s="13">
        <v>1</v>
      </c>
      <c r="L10" s="13">
        <v>0</v>
      </c>
      <c r="M10" s="13">
        <f>'12_18_20 (2year) call'!$O$3</f>
        <v>2.1541501976284585</v>
      </c>
      <c r="N10" s="16">
        <f t="shared" si="1"/>
        <v>2.8571428571428571E-2</v>
      </c>
      <c r="P10" s="13"/>
      <c r="Q10" s="13"/>
      <c r="R10" s="13"/>
      <c r="S10" s="14"/>
      <c r="T10" s="15"/>
      <c r="V10" s="1" t="e">
        <f t="shared" si="2"/>
        <v>#VALUE!</v>
      </c>
      <c r="W10" s="1" t="e">
        <f t="shared" si="3"/>
        <v>#VALUE!</v>
      </c>
      <c r="X10" s="1">
        <v>1</v>
      </c>
      <c r="Y10" s="3" t="s">
        <v>29</v>
      </c>
      <c r="AB10" s="1">
        <f t="shared" si="7"/>
        <v>0.92683699481854565</v>
      </c>
      <c r="AC10" s="1">
        <f t="shared" si="4"/>
        <v>1.0710778657731921</v>
      </c>
      <c r="AD10" s="1">
        <f t="shared" si="5"/>
        <v>459.43769257666554</v>
      </c>
    </row>
    <row r="11" spans="2:30">
      <c r="B11" s="4" t="s">
        <v>6</v>
      </c>
      <c r="C11" s="1">
        <v>0</v>
      </c>
      <c r="D11" s="1">
        <v>1</v>
      </c>
      <c r="F11" s="10">
        <f t="shared" si="6"/>
        <v>7</v>
      </c>
      <c r="G11" s="13">
        <v>517.78632992265307</v>
      </c>
      <c r="H11" s="13">
        <f>'12_18_20 (2year) call'!$O$2</f>
        <v>-6.1900000000000002E-3</v>
      </c>
      <c r="I11" s="13">
        <f t="shared" si="0"/>
        <v>3160.33</v>
      </c>
      <c r="J11" s="13">
        <v>2750</v>
      </c>
      <c r="K11" s="13">
        <v>1</v>
      </c>
      <c r="L11" s="13">
        <v>0</v>
      </c>
      <c r="M11" s="13">
        <f>'12_18_20 (2year) call'!$O$3</f>
        <v>2.1541501976284585</v>
      </c>
      <c r="N11" s="16">
        <f t="shared" si="1"/>
        <v>2.8571428571428571E-2</v>
      </c>
      <c r="P11" s="13"/>
      <c r="Q11" s="13"/>
      <c r="R11" s="13"/>
      <c r="S11" s="14"/>
      <c r="T11" s="15"/>
      <c r="V11" s="1" t="e">
        <f t="shared" si="2"/>
        <v>#VALUE!</v>
      </c>
      <c r="W11" s="1" t="e">
        <f t="shared" si="3"/>
        <v>#VALUE!</v>
      </c>
      <c r="X11" s="1">
        <v>1</v>
      </c>
      <c r="Y11" s="3" t="s">
        <v>31</v>
      </c>
      <c r="AB11" s="1">
        <f t="shared" si="7"/>
        <v>0.79962520979011142</v>
      </c>
      <c r="AC11" s="1">
        <f t="shared" si="4"/>
        <v>0.94386608074475775</v>
      </c>
      <c r="AD11" s="1">
        <f t="shared" si="5"/>
        <v>418.60780160042214</v>
      </c>
    </row>
    <row r="12" spans="2:30" ht="17.5">
      <c r="B12" s="4" t="s">
        <v>45</v>
      </c>
      <c r="C12" s="1">
        <v>0</v>
      </c>
      <c r="D12" s="1">
        <v>1</v>
      </c>
      <c r="F12" s="10">
        <f t="shared" si="6"/>
        <v>8</v>
      </c>
      <c r="G12" s="13">
        <v>481.19998882793448</v>
      </c>
      <c r="H12" s="13">
        <f>'12_18_20 (2year) call'!$O$2</f>
        <v>-6.1900000000000002E-3</v>
      </c>
      <c r="I12" s="13">
        <f t="shared" si="0"/>
        <v>3160.33</v>
      </c>
      <c r="J12" s="13">
        <v>2800</v>
      </c>
      <c r="K12" s="13">
        <v>1</v>
      </c>
      <c r="L12" s="13">
        <v>0</v>
      </c>
      <c r="M12" s="13">
        <f>'12_18_20 (2year) call'!$O$3</f>
        <v>2.1541501976284585</v>
      </c>
      <c r="N12" s="16">
        <f t="shared" si="1"/>
        <v>2.8571428571428571E-2</v>
      </c>
      <c r="P12" s="13"/>
      <c r="Q12" s="13"/>
      <c r="R12" s="13"/>
      <c r="S12" s="14"/>
      <c r="T12" s="15"/>
      <c r="V12" s="1" t="e">
        <f t="shared" si="2"/>
        <v>#VALUE!</v>
      </c>
      <c r="W12" s="1" t="e">
        <f t="shared" si="3"/>
        <v>#VALUE!</v>
      </c>
      <c r="X12" s="1">
        <v>1</v>
      </c>
      <c r="Y12" s="3" t="s">
        <v>30</v>
      </c>
      <c r="AB12" s="1">
        <f t="shared" si="7"/>
        <v>0.67470565416468875</v>
      </c>
      <c r="AC12" s="1">
        <f t="shared" si="4"/>
        <v>0.81894652511933508</v>
      </c>
      <c r="AD12" s="1">
        <f t="shared" si="5"/>
        <v>379.62715356792432</v>
      </c>
    </row>
    <row r="13" spans="2:30">
      <c r="B13" s="4" t="s">
        <v>7</v>
      </c>
      <c r="C13" s="1">
        <v>0</v>
      </c>
      <c r="D13" s="1">
        <v>1</v>
      </c>
      <c r="F13" s="10">
        <f t="shared" si="6"/>
        <v>9</v>
      </c>
      <c r="G13" s="13">
        <v>445.89796209812175</v>
      </c>
      <c r="H13" s="13">
        <f>'12_18_20 (2year) call'!$O$2</f>
        <v>-6.1900000000000002E-3</v>
      </c>
      <c r="I13" s="13">
        <f t="shared" si="0"/>
        <v>3160.33</v>
      </c>
      <c r="J13" s="13">
        <v>2850</v>
      </c>
      <c r="K13" s="13">
        <v>1</v>
      </c>
      <c r="L13" s="13">
        <v>0</v>
      </c>
      <c r="M13" s="13">
        <f>'12_18_20 (2year) call'!$O$3</f>
        <v>2.1541501976284585</v>
      </c>
      <c r="N13" s="16">
        <f t="shared" si="1"/>
        <v>2.8571428571428571E-2</v>
      </c>
      <c r="P13" s="13"/>
      <c r="Q13" s="13"/>
      <c r="R13" s="13"/>
      <c r="S13" s="14"/>
      <c r="T13" s="15"/>
      <c r="V13" s="1" t="e">
        <f t="shared" si="2"/>
        <v>#VALUE!</v>
      </c>
      <c r="W13" s="1" t="e">
        <f t="shared" si="3"/>
        <v>#VALUE!</v>
      </c>
      <c r="X13" s="1">
        <v>1</v>
      </c>
      <c r="Y13" s="3" t="s">
        <v>32</v>
      </c>
      <c r="AB13" s="1">
        <f t="shared" si="7"/>
        <v>0.55199718060752256</v>
      </c>
      <c r="AC13" s="1">
        <f t="shared" si="4"/>
        <v>0.69623805156216889</v>
      </c>
      <c r="AD13" s="1">
        <f t="shared" si="5"/>
        <v>342.63764947669915</v>
      </c>
    </row>
    <row r="14" spans="2:30">
      <c r="B14" s="4" t="s">
        <v>8</v>
      </c>
      <c r="C14" s="1">
        <v>-1</v>
      </c>
      <c r="D14" s="1">
        <v>1</v>
      </c>
      <c r="F14" s="10">
        <f t="shared" si="6"/>
        <v>10</v>
      </c>
      <c r="G14" s="13">
        <v>411.08397046273558</v>
      </c>
      <c r="H14" s="13">
        <f>'12_18_20 (2year) call'!$O$2</f>
        <v>-6.1900000000000002E-3</v>
      </c>
      <c r="I14" s="13">
        <f t="shared" si="0"/>
        <v>3160.33</v>
      </c>
      <c r="J14" s="13">
        <v>2900</v>
      </c>
      <c r="K14" s="13">
        <v>1</v>
      </c>
      <c r="L14" s="13">
        <v>0</v>
      </c>
      <c r="M14" s="13">
        <f>'12_18_20 (2year) call'!$O$3</f>
        <v>2.1541501976284585</v>
      </c>
      <c r="N14" s="16">
        <f t="shared" si="1"/>
        <v>2.8571428571428571E-2</v>
      </c>
      <c r="P14" s="13"/>
      <c r="Q14" s="13"/>
      <c r="R14" s="13"/>
      <c r="S14" s="14"/>
      <c r="T14" s="15"/>
      <c r="V14" s="1" t="e">
        <f t="shared" si="2"/>
        <v>#VALUE!</v>
      </c>
      <c r="W14" s="1" t="e">
        <f t="shared" si="3"/>
        <v>#VALUE!</v>
      </c>
      <c r="X14" s="1">
        <v>1</v>
      </c>
      <c r="AB14" s="1">
        <f t="shared" si="7"/>
        <v>0.43142287599633022</v>
      </c>
      <c r="AC14" s="1">
        <f t="shared" si="4"/>
        <v>0.57566374695097655</v>
      </c>
      <c r="AD14" s="1">
        <f t="shared" si="5"/>
        <v>307.75709158780933</v>
      </c>
    </row>
    <row r="15" spans="2:30">
      <c r="F15" s="10">
        <f t="shared" si="6"/>
        <v>11</v>
      </c>
      <c r="G15" s="13">
        <v>378.58627527898534</v>
      </c>
      <c r="H15" s="13">
        <f>'12_18_20 (2year) call'!$O$2</f>
        <v>-6.1900000000000002E-3</v>
      </c>
      <c r="I15" s="13">
        <f t="shared" si="0"/>
        <v>3160.33</v>
      </c>
      <c r="J15" s="13">
        <v>2950</v>
      </c>
      <c r="K15" s="13">
        <v>1</v>
      </c>
      <c r="L15" s="13">
        <v>0</v>
      </c>
      <c r="M15" s="13">
        <f>'12_18_20 (2year) call'!$O$3</f>
        <v>2.1541501976284585</v>
      </c>
      <c r="N15" s="16">
        <f t="shared" si="1"/>
        <v>2.8571428571428571E-2</v>
      </c>
      <c r="P15" s="13"/>
      <c r="Q15" s="13"/>
      <c r="R15" s="13"/>
      <c r="S15" s="14"/>
      <c r="T15" s="15"/>
      <c r="V15" s="1" t="e">
        <f t="shared" si="2"/>
        <v>#VALUE!</v>
      </c>
      <c r="W15" s="1" t="e">
        <f t="shared" si="3"/>
        <v>#VALUE!</v>
      </c>
      <c r="X15" s="1">
        <v>1</v>
      </c>
      <c r="AB15" s="1">
        <f t="shared" si="7"/>
        <v>0.3129097718659824</v>
      </c>
      <c r="AC15" s="1">
        <f t="shared" si="4"/>
        <v>0.45715064282062878</v>
      </c>
      <c r="AD15" s="1">
        <f t="shared" si="5"/>
        <v>275.07562173743463</v>
      </c>
    </row>
    <row r="16" spans="2:30">
      <c r="B16" s="4" t="s">
        <v>10</v>
      </c>
      <c r="F16" s="10">
        <f t="shared" si="6"/>
        <v>12</v>
      </c>
      <c r="G16" s="13">
        <v>347.64094533550656</v>
      </c>
      <c r="H16" s="13">
        <f>'12_18_20 (2year) call'!$O$2</f>
        <v>-6.1900000000000002E-3</v>
      </c>
      <c r="I16" s="13">
        <f t="shared" si="0"/>
        <v>3160.33</v>
      </c>
      <c r="J16" s="13">
        <v>3000</v>
      </c>
      <c r="K16" s="13">
        <v>1</v>
      </c>
      <c r="L16" s="13">
        <v>0</v>
      </c>
      <c r="M16" s="13">
        <f>'12_18_20 (2year) call'!$O$3</f>
        <v>2.1541501976284585</v>
      </c>
      <c r="N16" s="16">
        <f t="shared" si="1"/>
        <v>2.8571428571428571E-2</v>
      </c>
      <c r="P16" s="13"/>
      <c r="Q16" s="13"/>
      <c r="R16" s="13"/>
      <c r="S16" s="14"/>
      <c r="T16" s="15"/>
      <c r="V16" s="1" t="e">
        <f t="shared" si="2"/>
        <v>#VALUE!</v>
      </c>
      <c r="W16" s="1" t="e">
        <f t="shared" si="3"/>
        <v>#VALUE!</v>
      </c>
      <c r="X16" s="1">
        <v>1</v>
      </c>
      <c r="AB16" s="1">
        <f t="shared" si="7"/>
        <v>0.19638857918914432</v>
      </c>
      <c r="AC16" s="1">
        <f t="shared" si="4"/>
        <v>0.34062945014379065</v>
      </c>
      <c r="AD16" s="1">
        <f t="shared" si="5"/>
        <v>244.65344204383678</v>
      </c>
    </row>
    <row r="17" spans="2:30">
      <c r="B17" s="1" t="s">
        <v>11</v>
      </c>
      <c r="C17" s="1">
        <v>75</v>
      </c>
      <c r="F17" s="10">
        <f t="shared" si="6"/>
        <v>13</v>
      </c>
      <c r="G17" s="13">
        <v>318.33951632772005</v>
      </c>
      <c r="H17" s="13">
        <f>'12_18_20 (2year) call'!$O$2</f>
        <v>-6.1900000000000002E-3</v>
      </c>
      <c r="I17" s="13">
        <f t="shared" si="0"/>
        <v>3160.33</v>
      </c>
      <c r="J17" s="13">
        <v>3050</v>
      </c>
      <c r="K17" s="13">
        <v>1</v>
      </c>
      <c r="L17" s="13">
        <v>0</v>
      </c>
      <c r="M17" s="13">
        <f>'12_18_20 (2year) call'!$O$3</f>
        <v>2.1541501976284585</v>
      </c>
      <c r="N17" s="16">
        <f t="shared" si="1"/>
        <v>2.8571428571428571E-2</v>
      </c>
      <c r="P17" s="13"/>
      <c r="Q17" s="13"/>
      <c r="R17" s="13"/>
      <c r="S17" s="14"/>
      <c r="T17" s="15"/>
      <c r="V17" s="1" t="e">
        <f t="shared" si="2"/>
        <v>#VALUE!</v>
      </c>
      <c r="W17" s="1" t="e">
        <f t="shared" si="3"/>
        <v>#VALUE!</v>
      </c>
      <c r="X17" s="1">
        <v>1</v>
      </c>
      <c r="AB17" s="1">
        <f t="shared" si="7"/>
        <v>8.179344507900814E-2</v>
      </c>
      <c r="AC17" s="1">
        <f t="shared" si="4"/>
        <v>0.22603431603365448</v>
      </c>
      <c r="AD17" s="1">
        <f t="shared" si="5"/>
        <v>216.51986946529269</v>
      </c>
    </row>
    <row r="18" spans="2:30">
      <c r="B18" s="1" t="s">
        <v>12</v>
      </c>
      <c r="C18" s="1">
        <v>1500</v>
      </c>
      <c r="F18" s="10">
        <f t="shared" si="6"/>
        <v>14</v>
      </c>
      <c r="G18" s="13">
        <v>290.45239998072907</v>
      </c>
      <c r="H18" s="13">
        <f>'12_18_20 (2year) call'!$O$2</f>
        <v>-6.1900000000000002E-3</v>
      </c>
      <c r="I18" s="13">
        <f t="shared" si="0"/>
        <v>3160.33</v>
      </c>
      <c r="J18" s="13">
        <v>3100</v>
      </c>
      <c r="K18" s="13">
        <v>1</v>
      </c>
      <c r="L18" s="13">
        <v>0</v>
      </c>
      <c r="M18" s="13">
        <f>'12_18_20 (2year) call'!$O$3</f>
        <v>2.1541501976284585</v>
      </c>
      <c r="N18" s="16">
        <f t="shared" si="1"/>
        <v>2.8571428571428571E-2</v>
      </c>
      <c r="P18" s="13"/>
      <c r="Q18" s="13"/>
      <c r="R18" s="13"/>
      <c r="S18" s="14"/>
      <c r="T18" s="15"/>
      <c r="V18" s="1" t="e">
        <f t="shared" si="2"/>
        <v>#VALUE!</v>
      </c>
      <c r="W18" s="1" t="e">
        <f t="shared" si="3"/>
        <v>#VALUE!</v>
      </c>
      <c r="X18" s="1">
        <v>1</v>
      </c>
      <c r="AB18" s="1">
        <f t="shared" si="7"/>
        <v>-3.0938270724989815E-2</v>
      </c>
      <c r="AC18" s="1">
        <f t="shared" si="4"/>
        <v>0.11330260022965655</v>
      </c>
      <c r="AD18" s="1">
        <f t="shared" si="5"/>
        <v>190.67368014608314</v>
      </c>
    </row>
    <row r="19" spans="2:30">
      <c r="B19" s="1" t="s">
        <v>13</v>
      </c>
      <c r="C19" s="1">
        <v>0.5</v>
      </c>
      <c r="F19" s="10">
        <f t="shared" si="6"/>
        <v>15</v>
      </c>
      <c r="G19" s="13">
        <v>264.17818385116766</v>
      </c>
      <c r="H19" s="13">
        <f>'12_18_20 (2year) call'!$O$2</f>
        <v>-6.1900000000000002E-3</v>
      </c>
      <c r="I19" s="13">
        <f t="shared" si="0"/>
        <v>3160.33</v>
      </c>
      <c r="J19" s="13">
        <v>3150</v>
      </c>
      <c r="K19" s="13">
        <v>1</v>
      </c>
      <c r="L19" s="13">
        <v>0</v>
      </c>
      <c r="M19" s="13">
        <f>'12_18_20 (2year) call'!$O$3</f>
        <v>2.1541501976284585</v>
      </c>
      <c r="N19" s="16">
        <f t="shared" si="1"/>
        <v>2.8571428571428571E-2</v>
      </c>
      <c r="P19" s="13"/>
      <c r="Q19" s="13"/>
      <c r="R19" s="13"/>
      <c r="S19" s="14"/>
      <c r="T19" s="15"/>
      <c r="V19" s="1" t="e">
        <f t="shared" si="2"/>
        <v>#VALUE!</v>
      </c>
      <c r="W19" s="1" t="e">
        <f t="shared" si="3"/>
        <v>#VALUE!</v>
      </c>
      <c r="X19" s="1">
        <v>1</v>
      </c>
      <c r="AB19" s="1">
        <f t="shared" si="7"/>
        <v>-0.1418662014879159</v>
      </c>
      <c r="AC19" s="1">
        <f t="shared" si="4"/>
        <v>2.3746694667304558E-3</v>
      </c>
      <c r="AD19" s="1">
        <f t="shared" si="5"/>
        <v>167.0846186403603</v>
      </c>
    </row>
    <row r="20" spans="2:30">
      <c r="B20" s="1" t="s">
        <v>14</v>
      </c>
      <c r="C20" s="1">
        <v>0.8</v>
      </c>
      <c r="F20" s="10">
        <f t="shared" si="6"/>
        <v>16</v>
      </c>
      <c r="G20" s="13">
        <v>239.56244007135751</v>
      </c>
      <c r="H20" s="13">
        <f>'12_18_20 (2year) call'!$O$2</f>
        <v>-6.1900000000000002E-3</v>
      </c>
      <c r="I20" s="13">
        <f t="shared" si="0"/>
        <v>3160.33</v>
      </c>
      <c r="J20" s="13">
        <v>3200</v>
      </c>
      <c r="K20" s="13">
        <v>1</v>
      </c>
      <c r="L20" s="13">
        <v>0</v>
      </c>
      <c r="M20" s="13">
        <f>'12_18_20 (2year) call'!$O$3</f>
        <v>2.1541501976284585</v>
      </c>
      <c r="N20" s="16">
        <f t="shared" si="1"/>
        <v>2.8571428571428571E-2</v>
      </c>
      <c r="P20" s="13"/>
      <c r="Q20" s="13"/>
      <c r="R20" s="13"/>
      <c r="S20" s="14"/>
      <c r="T20" s="15"/>
      <c r="V20" s="1" t="e">
        <f t="shared" si="2"/>
        <v>#VALUE!</v>
      </c>
      <c r="W20" s="1" t="e">
        <f t="shared" si="3"/>
        <v>#VALUE!</v>
      </c>
      <c r="X20" s="1">
        <v>1</v>
      </c>
      <c r="AB20" s="1">
        <f t="shared" si="7"/>
        <v>-0.25104716291660006</v>
      </c>
      <c r="AC20" s="1">
        <f t="shared" si="4"/>
        <v>-0.10680629196195371</v>
      </c>
      <c r="AD20" s="1">
        <f t="shared" si="5"/>
        <v>145.69588622378274</v>
      </c>
    </row>
    <row r="21" spans="2:30">
      <c r="B21" s="1" t="s">
        <v>15</v>
      </c>
      <c r="C21" s="1">
        <v>1.0000000000000001E-5</v>
      </c>
      <c r="F21" s="10">
        <f t="shared" si="6"/>
        <v>17</v>
      </c>
      <c r="G21" s="13">
        <v>216.59757554746125</v>
      </c>
      <c r="H21" s="13">
        <f>'12_18_20 (2year) call'!$O$2</f>
        <v>-6.1900000000000002E-3</v>
      </c>
      <c r="I21" s="13">
        <f t="shared" si="0"/>
        <v>3160.33</v>
      </c>
      <c r="J21" s="13">
        <v>3250</v>
      </c>
      <c r="K21" s="13">
        <v>1</v>
      </c>
      <c r="L21" s="13">
        <v>0</v>
      </c>
      <c r="M21" s="13">
        <f>'12_18_20 (2year) call'!$O$3</f>
        <v>2.1541501976284585</v>
      </c>
      <c r="N21" s="16">
        <f t="shared" si="1"/>
        <v>2.8571428571428571E-2</v>
      </c>
      <c r="P21" s="13"/>
      <c r="Q21" s="13"/>
      <c r="R21" s="13"/>
      <c r="S21" s="14"/>
      <c r="T21" s="15"/>
      <c r="V21" s="1" t="e">
        <f t="shared" si="2"/>
        <v>#VALUE!</v>
      </c>
      <c r="W21" s="1" t="e">
        <f t="shared" si="3"/>
        <v>#VALUE!</v>
      </c>
      <c r="X21" s="1">
        <v>1</v>
      </c>
      <c r="AB21" s="1">
        <f t="shared" si="7"/>
        <v>-0.35853532791000436</v>
      </c>
      <c r="AC21" s="1">
        <f t="shared" si="4"/>
        <v>-0.21429445695535801</v>
      </c>
      <c r="AD21" s="1">
        <f t="shared" si="5"/>
        <v>126.42738394634489</v>
      </c>
    </row>
    <row r="22" spans="2:30">
      <c r="F22" s="10">
        <f t="shared" si="6"/>
        <v>18</v>
      </c>
      <c r="G22" s="13">
        <v>195.21648059165591</v>
      </c>
      <c r="H22" s="13">
        <f>'12_18_20 (2year) call'!$O$2</f>
        <v>-6.1900000000000002E-3</v>
      </c>
      <c r="I22" s="13">
        <f t="shared" si="0"/>
        <v>3160.33</v>
      </c>
      <c r="J22" s="13">
        <v>3300</v>
      </c>
      <c r="K22" s="13">
        <v>1</v>
      </c>
      <c r="L22" s="13">
        <v>0</v>
      </c>
      <c r="M22" s="13">
        <f>'12_18_20 (2year) call'!$O$3</f>
        <v>2.1541501976284585</v>
      </c>
      <c r="N22" s="16">
        <f t="shared" si="1"/>
        <v>2.8571428571428571E-2</v>
      </c>
      <c r="P22" s="13"/>
      <c r="Q22" s="13"/>
      <c r="R22" s="13"/>
      <c r="S22" s="14"/>
      <c r="T22" s="15"/>
      <c r="V22" s="1" t="e">
        <f t="shared" si="2"/>
        <v>#VALUE!</v>
      </c>
      <c r="W22" s="1" t="e">
        <f t="shared" si="3"/>
        <v>#VALUE!</v>
      </c>
      <c r="X22" s="1">
        <v>1</v>
      </c>
      <c r="AB22" s="1">
        <f t="shared" si="7"/>
        <v>-0.46438238796823822</v>
      </c>
      <c r="AC22" s="1">
        <f t="shared" si="4"/>
        <v>-0.32014151701359184</v>
      </c>
      <c r="AD22" s="1">
        <f t="shared" si="5"/>
        <v>109.17946956403398</v>
      </c>
    </row>
    <row r="23" spans="2:30">
      <c r="B23" s="1" t="s">
        <v>22</v>
      </c>
      <c r="C23" s="1" t="s">
        <v>39</v>
      </c>
      <c r="F23" s="10">
        <f t="shared" si="6"/>
        <v>19</v>
      </c>
      <c r="G23" s="13">
        <v>175.22380840487995</v>
      </c>
      <c r="H23" s="13">
        <f>'12_18_20 (2year) call'!$O$2</f>
        <v>-6.1900000000000002E-3</v>
      </c>
      <c r="I23" s="13">
        <f t="shared" si="0"/>
        <v>3160.33</v>
      </c>
      <c r="J23" s="13">
        <v>3350</v>
      </c>
      <c r="K23" s="13">
        <v>1</v>
      </c>
      <c r="L23" s="13">
        <v>0</v>
      </c>
      <c r="M23" s="13">
        <f>'12_18_20 (2year) call'!$O$3</f>
        <v>2.1541501976284585</v>
      </c>
      <c r="N23" s="16">
        <f t="shared" si="1"/>
        <v>2.8571428571428571E-2</v>
      </c>
      <c r="P23" s="13"/>
      <c r="Q23" s="13"/>
      <c r="R23" s="13"/>
      <c r="S23" s="14"/>
      <c r="T23" s="15"/>
      <c r="V23" s="1" t="e">
        <f t="shared" si="2"/>
        <v>#VALUE!</v>
      </c>
      <c r="W23" s="1" t="e">
        <f t="shared" si="3"/>
        <v>#VALUE!</v>
      </c>
      <c r="X23" s="1">
        <v>1</v>
      </c>
      <c r="AB23" s="1">
        <f t="shared" si="7"/>
        <v>-0.56863770246414713</v>
      </c>
      <c r="AC23" s="1">
        <f t="shared" si="4"/>
        <v>-0.4243968315095008</v>
      </c>
      <c r="AD23" s="1">
        <f t="shared" si="5"/>
        <v>93.836990650820212</v>
      </c>
    </row>
    <row r="24" spans="2:30">
      <c r="F24" s="10">
        <f t="shared" si="6"/>
        <v>20</v>
      </c>
      <c r="G24" s="13">
        <v>156.97490685440675</v>
      </c>
      <c r="H24" s="13">
        <f>'12_18_20 (2year) call'!$O$2</f>
        <v>-6.1900000000000002E-3</v>
      </c>
      <c r="I24" s="13">
        <f t="shared" si="0"/>
        <v>3160.33</v>
      </c>
      <c r="J24" s="13">
        <v>3400</v>
      </c>
      <c r="K24" s="13">
        <v>1</v>
      </c>
      <c r="L24" s="13">
        <v>0</v>
      </c>
      <c r="M24" s="13">
        <f>'12_18_20 (2year) call'!$O$3</f>
        <v>2.1541501976284585</v>
      </c>
      <c r="N24" s="16">
        <f t="shared" si="1"/>
        <v>2.8571428571428571E-2</v>
      </c>
      <c r="P24" s="13"/>
      <c r="Q24" s="13"/>
      <c r="R24" s="13"/>
      <c r="S24" s="14"/>
      <c r="T24" s="15"/>
      <c r="V24" s="1" t="e">
        <f t="shared" si="2"/>
        <v>#VALUE!</v>
      </c>
      <c r="W24" s="1" t="e">
        <f t="shared" si="3"/>
        <v>#VALUE!</v>
      </c>
      <c r="X24" s="1">
        <v>1</v>
      </c>
      <c r="AB24" s="1">
        <f t="shared" si="7"/>
        <v>-0.67134843685647427</v>
      </c>
      <c r="AC24" s="1">
        <f t="shared" si="4"/>
        <v>-0.52710756590182795</v>
      </c>
      <c r="AD24" s="1">
        <f t="shared" si="5"/>
        <v>80.273375281355811</v>
      </c>
    </row>
    <row r="25" spans="2:30">
      <c r="B25" s="4" t="s">
        <v>34</v>
      </c>
      <c r="C25" s="1" t="str">
        <f>C4</f>
        <v>SX5E</v>
      </c>
      <c r="F25" s="10">
        <f t="shared" si="6"/>
        <v>21</v>
      </c>
      <c r="G25" s="13">
        <v>140.19458433405543</v>
      </c>
      <c r="H25" s="13">
        <f>'12_18_20 (2year) call'!$O$2</f>
        <v>-6.1900000000000002E-3</v>
      </c>
      <c r="I25" s="13">
        <f t="shared" si="0"/>
        <v>3160.33</v>
      </c>
      <c r="J25" s="13">
        <v>3450</v>
      </c>
      <c r="K25" s="13">
        <v>1</v>
      </c>
      <c r="L25" s="13">
        <v>0</v>
      </c>
      <c r="M25" s="13">
        <f>'12_18_20 (2year) call'!$O$3</f>
        <v>2.1541501976284585</v>
      </c>
      <c r="N25" s="16">
        <f t="shared" si="1"/>
        <v>2.8571428571428571E-2</v>
      </c>
      <c r="P25" s="13"/>
      <c r="Q25" s="13"/>
      <c r="R25" s="13"/>
      <c r="S25" s="14"/>
      <c r="T25" s="15"/>
      <c r="V25" s="1" t="e">
        <f t="shared" si="2"/>
        <v>#VALUE!</v>
      </c>
      <c r="W25" s="1" t="e">
        <f t="shared" si="3"/>
        <v>#VALUE!</v>
      </c>
      <c r="X25" s="1">
        <v>1</v>
      </c>
      <c r="AB25" s="1">
        <f t="shared" si="7"/>
        <v>-0.77255969081335718</v>
      </c>
      <c r="AC25" s="1">
        <f t="shared" si="4"/>
        <v>-0.62831881985871085</v>
      </c>
      <c r="AD25" s="1">
        <f t="shared" si="5"/>
        <v>68.354592229833997</v>
      </c>
    </row>
    <row r="26" spans="2:30">
      <c r="B26" s="4" t="s">
        <v>5</v>
      </c>
      <c r="C26" s="1">
        <v>0.55892608840000002</v>
      </c>
      <c r="F26" s="10">
        <f t="shared" si="6"/>
        <v>22</v>
      </c>
      <c r="G26" s="13">
        <v>124.72063692444817</v>
      </c>
      <c r="H26" s="13">
        <f>'12_18_20 (2year) call'!$O$2</f>
        <v>-6.1900000000000002E-3</v>
      </c>
      <c r="I26" s="13">
        <f t="shared" si="0"/>
        <v>3160.33</v>
      </c>
      <c r="J26" s="13">
        <v>3500</v>
      </c>
      <c r="K26" s="13">
        <v>1</v>
      </c>
      <c r="L26" s="13">
        <v>0</v>
      </c>
      <c r="M26" s="13">
        <f>'12_18_20 (2year) call'!$O$3</f>
        <v>2.1541501976284585</v>
      </c>
      <c r="N26" s="16">
        <f t="shared" si="1"/>
        <v>2.8571428571428571E-2</v>
      </c>
      <c r="P26" s="13"/>
      <c r="Q26" s="13"/>
      <c r="R26" s="13"/>
      <c r="S26" s="14"/>
      <c r="T26" s="15"/>
      <c r="V26" s="1" t="e">
        <f t="shared" si="2"/>
        <v>#VALUE!</v>
      </c>
      <c r="W26" s="1" t="e">
        <f t="shared" si="3"/>
        <v>#VALUE!</v>
      </c>
      <c r="X26" s="1">
        <v>1</v>
      </c>
      <c r="AB26" s="1">
        <f t="shared" si="7"/>
        <v>-0.87231461711731673</v>
      </c>
      <c r="AC26" s="1">
        <f t="shared" si="4"/>
        <v>-0.7280737461626704</v>
      </c>
      <c r="AD26" s="1">
        <f t="shared" si="5"/>
        <v>57.942830095034537</v>
      </c>
    </row>
    <row r="27" spans="2:30">
      <c r="B27" s="4" t="s">
        <v>6</v>
      </c>
      <c r="C27" s="1">
        <v>6.5427304300000003E-2</v>
      </c>
      <c r="F27" s="10">
        <f t="shared" si="6"/>
        <v>23</v>
      </c>
      <c r="G27" s="13">
        <v>110.6380875115052</v>
      </c>
      <c r="H27" s="13">
        <f>'12_18_20 (2year) call'!$O$2</f>
        <v>-6.1900000000000002E-3</v>
      </c>
      <c r="I27" s="13">
        <f t="shared" si="0"/>
        <v>3160.33</v>
      </c>
      <c r="J27" s="13">
        <v>3550</v>
      </c>
      <c r="K27" s="13">
        <v>1</v>
      </c>
      <c r="L27" s="13">
        <v>0</v>
      </c>
      <c r="M27" s="13">
        <f>'12_18_20 (2year) call'!$O$3</f>
        <v>2.1541501976284585</v>
      </c>
      <c r="N27" s="16">
        <f t="shared" si="1"/>
        <v>2.8571428571428571E-2</v>
      </c>
      <c r="P27" s="13"/>
      <c r="Q27" s="13"/>
      <c r="R27" s="13"/>
      <c r="S27" s="14"/>
      <c r="T27" s="15"/>
      <c r="V27" s="1" t="e">
        <f t="shared" si="2"/>
        <v>#VALUE!</v>
      </c>
      <c r="W27" s="1" t="e">
        <f t="shared" si="3"/>
        <v>#VALUE!</v>
      </c>
      <c r="X27" s="1">
        <v>1</v>
      </c>
      <c r="AB27" s="1">
        <f t="shared" si="7"/>
        <v>-0.97065453213638575</v>
      </c>
      <c r="AC27" s="1">
        <f t="shared" si="4"/>
        <v>-0.82641366118173942</v>
      </c>
      <c r="AD27" s="1">
        <f t="shared" si="5"/>
        <v>48.899784951606421</v>
      </c>
    </row>
    <row r="28" spans="2:30" ht="17.5">
      <c r="B28" s="4" t="s">
        <v>45</v>
      </c>
      <c r="C28" s="1">
        <v>1.1481477E-3</v>
      </c>
      <c r="F28" s="10">
        <f t="shared" si="6"/>
        <v>24</v>
      </c>
      <c r="G28" s="13">
        <v>97.933260241757921</v>
      </c>
      <c r="H28" s="13">
        <f>'12_18_20 (2year) call'!$O$2</f>
        <v>-6.1900000000000002E-3</v>
      </c>
      <c r="I28" s="13">
        <f t="shared" si="0"/>
        <v>3160.33</v>
      </c>
      <c r="J28" s="13">
        <v>3600</v>
      </c>
      <c r="K28" s="13">
        <v>1</v>
      </c>
      <c r="L28" s="13">
        <v>0</v>
      </c>
      <c r="M28" s="13">
        <f>'12_18_20 (2year) call'!$O$3</f>
        <v>2.1541501976284585</v>
      </c>
      <c r="N28" s="16">
        <f t="shared" si="1"/>
        <v>2.8571428571428571E-2</v>
      </c>
      <c r="P28" s="13"/>
      <c r="Q28" s="13"/>
      <c r="R28" s="13"/>
      <c r="S28" s="14"/>
      <c r="T28" s="15"/>
      <c r="V28" s="1" t="e">
        <f t="shared" si="2"/>
        <v>#VALUE!</v>
      </c>
      <c r="W28" s="1" t="e">
        <f t="shared" si="3"/>
        <v>#VALUE!</v>
      </c>
      <c r="X28" s="1">
        <v>1</v>
      </c>
      <c r="AB28" s="1">
        <f t="shared" si="7"/>
        <v>-1.0676190185692056</v>
      </c>
      <c r="AC28" s="1">
        <f t="shared" si="4"/>
        <v>-0.92337814761455927</v>
      </c>
      <c r="AD28" s="1">
        <f t="shared" si="5"/>
        <v>41.089485545468733</v>
      </c>
    </row>
    <row r="29" spans="2:30">
      <c r="B29" s="4" t="s">
        <v>7</v>
      </c>
      <c r="C29" s="1">
        <v>0.26796056889999997</v>
      </c>
      <c r="F29" s="10">
        <f t="shared" si="6"/>
        <v>25</v>
      </c>
      <c r="G29" s="13">
        <v>86.449053293556062</v>
      </c>
      <c r="H29" s="13">
        <f>'12_18_20 (2year) call'!$O$2</f>
        <v>-6.1900000000000002E-3</v>
      </c>
      <c r="I29" s="13">
        <f t="shared" si="0"/>
        <v>3160.33</v>
      </c>
      <c r="J29" s="13">
        <v>3650</v>
      </c>
      <c r="K29" s="13">
        <v>1</v>
      </c>
      <c r="L29" s="13">
        <v>0</v>
      </c>
      <c r="M29" s="13">
        <f>'12_18_20 (2year) call'!$O$3</f>
        <v>2.1541501976284585</v>
      </c>
      <c r="N29" s="16">
        <f t="shared" si="1"/>
        <v>2.8571428571428571E-2</v>
      </c>
      <c r="P29" s="13"/>
      <c r="Q29" s="13"/>
      <c r="R29" s="13"/>
      <c r="S29" s="14"/>
      <c r="T29" s="15"/>
      <c r="V29" s="1" t="e">
        <f t="shared" si="2"/>
        <v>#VALUE!</v>
      </c>
      <c r="W29" s="1" t="e">
        <f t="shared" si="3"/>
        <v>#VALUE!</v>
      </c>
      <c r="X29" s="1">
        <v>1</v>
      </c>
      <c r="AB29" s="1">
        <f t="shared" si="7"/>
        <v>-1.1632460211035485</v>
      </c>
      <c r="AC29" s="1">
        <f t="shared" si="4"/>
        <v>-1.0190051501489021</v>
      </c>
      <c r="AD29" s="1">
        <f t="shared" si="5"/>
        <v>34.380621048385535</v>
      </c>
    </row>
    <row r="30" spans="2:30">
      <c r="B30" s="4" t="s">
        <v>8</v>
      </c>
      <c r="C30" s="1">
        <v>-0.57148363280000003</v>
      </c>
      <c r="F30" s="10">
        <f t="shared" si="6"/>
        <v>26</v>
      </c>
      <c r="G30" s="13">
        <v>76.2363771440248</v>
      </c>
      <c r="H30" s="13">
        <f>'12_18_20 (2year) call'!$O$2</f>
        <v>-6.1900000000000002E-3</v>
      </c>
      <c r="I30" s="13">
        <f t="shared" si="0"/>
        <v>3160.33</v>
      </c>
      <c r="J30" s="13">
        <v>3700</v>
      </c>
      <c r="K30" s="13">
        <v>1</v>
      </c>
      <c r="L30" s="13">
        <v>0</v>
      </c>
      <c r="M30" s="13">
        <f>'12_18_20 (2year) call'!$O$3</f>
        <v>2.1541501976284585</v>
      </c>
      <c r="N30" s="16">
        <f t="shared" si="1"/>
        <v>2.8571428571428571E-2</v>
      </c>
      <c r="P30" s="13"/>
      <c r="Q30" s="13"/>
      <c r="R30" s="13"/>
      <c r="S30" s="14"/>
      <c r="T30" s="15"/>
      <c r="V30" s="1" t="e">
        <f t="shared" si="2"/>
        <v>#VALUE!</v>
      </c>
      <c r="W30" s="1" t="e">
        <f t="shared" si="3"/>
        <v>#VALUE!</v>
      </c>
      <c r="X30" s="1">
        <v>1</v>
      </c>
      <c r="AB30" s="1">
        <f t="shared" si="7"/>
        <v>-1.2575719355668398</v>
      </c>
      <c r="AC30" s="1">
        <f t="shared" si="4"/>
        <v>-1.1133310646121934</v>
      </c>
      <c r="AD30" s="1">
        <f t="shared" si="5"/>
        <v>28.648367197894231</v>
      </c>
    </row>
    <row r="31" spans="2:30">
      <c r="F31" s="10">
        <f t="shared" si="6"/>
        <v>27</v>
      </c>
      <c r="G31" s="13">
        <v>67.039405444158092</v>
      </c>
      <c r="H31" s="13">
        <f>'12_18_20 (2year) call'!$O$2</f>
        <v>-6.1900000000000002E-3</v>
      </c>
      <c r="I31" s="13">
        <f t="shared" si="0"/>
        <v>3160.33</v>
      </c>
      <c r="J31" s="13">
        <v>3750</v>
      </c>
      <c r="K31" s="13">
        <v>1</v>
      </c>
      <c r="L31" s="13">
        <v>0</v>
      </c>
      <c r="M31" s="13">
        <f>'12_18_20 (2year) call'!$O$3</f>
        <v>2.1541501976284585</v>
      </c>
      <c r="N31" s="16">
        <f t="shared" si="1"/>
        <v>2.8571428571428571E-2</v>
      </c>
      <c r="P31" s="13"/>
      <c r="Q31" s="13"/>
      <c r="R31" s="13"/>
      <c r="S31" s="14"/>
      <c r="T31" s="15"/>
      <c r="V31" s="1" t="e">
        <f t="shared" si="2"/>
        <v>#VALUE!</v>
      </c>
      <c r="W31" s="1" t="e">
        <f t="shared" si="3"/>
        <v>#VALUE!</v>
      </c>
      <c r="X31" s="1">
        <v>1</v>
      </c>
      <c r="AB31" s="1">
        <f t="shared" si="7"/>
        <v>-1.3506316920928612</v>
      </c>
      <c r="AC31" s="1">
        <f t="shared" si="4"/>
        <v>-1.2063908211382148</v>
      </c>
      <c r="AD31" s="1">
        <f t="shared" si="5"/>
        <v>23.775731328879203</v>
      </c>
    </row>
    <row r="32" spans="2:30">
      <c r="B32" s="22" t="s">
        <v>48</v>
      </c>
      <c r="C32" s="1">
        <f>2*$C$26*$C$27</f>
        <v>7.3138054533911007E-2</v>
      </c>
      <c r="F32" s="10">
        <f t="shared" si="6"/>
        <v>28</v>
      </c>
      <c r="G32" s="13">
        <v>58.834296305323846</v>
      </c>
      <c r="H32" s="13">
        <f>'12_18_20 (2year) call'!$O$2</f>
        <v>-6.1900000000000002E-3</v>
      </c>
      <c r="I32" s="13">
        <f t="shared" si="0"/>
        <v>3160.33</v>
      </c>
      <c r="J32" s="13">
        <v>3800</v>
      </c>
      <c r="K32" s="13">
        <v>1</v>
      </c>
      <c r="L32" s="13">
        <v>0</v>
      </c>
      <c r="M32" s="13">
        <f>'12_18_20 (2year) call'!$O$3</f>
        <v>2.1541501976284585</v>
      </c>
      <c r="N32" s="16">
        <f t="shared" si="1"/>
        <v>2.8571428571428571E-2</v>
      </c>
      <c r="P32" s="13"/>
      <c r="Q32" s="13"/>
      <c r="R32" s="13"/>
      <c r="S32" s="14"/>
      <c r="T32" s="15"/>
      <c r="V32" s="1" t="e">
        <f t="shared" si="2"/>
        <v>#VALUE!</v>
      </c>
      <c r="W32" s="1" t="e">
        <f t="shared" si="3"/>
        <v>#VALUE!</v>
      </c>
      <c r="X32" s="1">
        <v>1</v>
      </c>
      <c r="AB32" s="1">
        <f t="shared" si="7"/>
        <v>-1.4424588327802281</v>
      </c>
      <c r="AC32" s="1">
        <f t="shared" si="4"/>
        <v>-1.2982179618255818</v>
      </c>
      <c r="AD32" s="1">
        <f t="shared" si="5"/>
        <v>19.654455101704968</v>
      </c>
    </row>
    <row r="33" spans="2:30">
      <c r="B33" s="22" t="s">
        <v>49</v>
      </c>
      <c r="C33" s="1">
        <f>$C$29*$C$29</f>
        <v>7.1802866485211628E-2</v>
      </c>
      <c r="F33" s="10">
        <f t="shared" si="6"/>
        <v>29</v>
      </c>
      <c r="G33" s="13">
        <v>51.659699565637879</v>
      </c>
      <c r="H33" s="13">
        <f>'12_18_20 (2year) call'!$O$2</f>
        <v>-6.1900000000000002E-3</v>
      </c>
      <c r="I33" s="13">
        <f t="shared" si="0"/>
        <v>3160.33</v>
      </c>
      <c r="J33" s="13">
        <v>3850</v>
      </c>
      <c r="K33" s="13">
        <v>1</v>
      </c>
      <c r="L33" s="13">
        <v>0</v>
      </c>
      <c r="M33" s="13">
        <f>'12_18_20 (2year) call'!$O$3</f>
        <v>2.1541501976284585</v>
      </c>
      <c r="N33" s="16">
        <f t="shared" si="1"/>
        <v>2.8571428571428571E-2</v>
      </c>
      <c r="P33" s="13"/>
      <c r="Q33" s="13"/>
      <c r="R33" s="13"/>
      <c r="S33" s="14"/>
      <c r="T33" s="15"/>
      <c r="V33" s="1" t="e">
        <f t="shared" si="2"/>
        <v>#VALUE!</v>
      </c>
      <c r="W33" s="1" t="e">
        <f t="shared" si="3"/>
        <v>#VALUE!</v>
      </c>
      <c r="X33" s="1">
        <v>1</v>
      </c>
      <c r="AB33" s="1">
        <f t="shared" si="7"/>
        <v>-1.5330855842746987</v>
      </c>
      <c r="AC33" s="1">
        <f t="shared" si="4"/>
        <v>-1.3888447133200523</v>
      </c>
      <c r="AD33" s="1">
        <f t="shared" si="5"/>
        <v>16.185525935419548</v>
      </c>
    </row>
    <row r="34" spans="2:30">
      <c r="B34" s="22" t="s">
        <v>50</v>
      </c>
      <c r="C34" s="1" t="b">
        <f>C32&gt;C33</f>
        <v>1</v>
      </c>
      <c r="F34" s="10">
        <f t="shared" si="6"/>
        <v>30</v>
      </c>
      <c r="G34" s="13">
        <v>45.233720724823797</v>
      </c>
      <c r="H34" s="13">
        <f>'12_18_20 (2year) call'!$O$2</f>
        <v>-6.1900000000000002E-3</v>
      </c>
      <c r="I34" s="13">
        <f t="shared" si="0"/>
        <v>3160.33</v>
      </c>
      <c r="J34" s="13">
        <v>3900</v>
      </c>
      <c r="K34" s="13">
        <v>1</v>
      </c>
      <c r="L34" s="13">
        <v>0</v>
      </c>
      <c r="M34" s="13">
        <f>'12_18_20 (2year) call'!$O$3</f>
        <v>2.1541501976284585</v>
      </c>
      <c r="N34" s="16">
        <f t="shared" si="1"/>
        <v>2.8571428571428571E-2</v>
      </c>
      <c r="P34" s="13"/>
      <c r="Q34" s="13"/>
      <c r="R34" s="13"/>
      <c r="S34" s="14"/>
      <c r="T34" s="15"/>
      <c r="V34" s="1" t="e">
        <f t="shared" si="2"/>
        <v>#VALUE!</v>
      </c>
      <c r="W34" s="1" t="e">
        <f t="shared" si="3"/>
        <v>#VALUE!</v>
      </c>
      <c r="X34" s="1">
        <v>1</v>
      </c>
      <c r="AB34" s="1">
        <f t="shared" si="7"/>
        <v>-1.6225429256683537</v>
      </c>
      <c r="AC34" s="1">
        <f t="shared" si="4"/>
        <v>-1.4783020547137073</v>
      </c>
      <c r="AD34" s="1">
        <f t="shared" si="5"/>
        <v>13.279354922444895</v>
      </c>
    </row>
    <row r="35" spans="2:30">
      <c r="F35" s="10">
        <f t="shared" si="6"/>
        <v>31</v>
      </c>
      <c r="G35" s="13">
        <v>39.669108313315235</v>
      </c>
      <c r="H35" s="13">
        <f>'12_18_20 (2year) call'!$O$2</f>
        <v>-6.1900000000000002E-3</v>
      </c>
      <c r="I35" s="13">
        <f t="shared" si="0"/>
        <v>3160.33</v>
      </c>
      <c r="J35" s="13">
        <v>3950</v>
      </c>
      <c r="K35" s="13">
        <v>1</v>
      </c>
      <c r="L35" s="13">
        <v>0</v>
      </c>
      <c r="M35" s="13">
        <f>'12_18_20 (2year) call'!$O$3</f>
        <v>2.1541501976284585</v>
      </c>
      <c r="N35" s="16">
        <f t="shared" si="1"/>
        <v>2.8571428571428571E-2</v>
      </c>
      <c r="P35" s="13"/>
      <c r="Q35" s="13"/>
      <c r="R35" s="13"/>
      <c r="S35" s="14"/>
      <c r="T35" s="15"/>
      <c r="V35" s="1" t="e">
        <f t="shared" si="2"/>
        <v>#VALUE!</v>
      </c>
      <c r="W35" s="1" t="e">
        <f t="shared" si="3"/>
        <v>#VALUE!</v>
      </c>
      <c r="X35" s="1">
        <v>1</v>
      </c>
      <c r="AB35" s="1">
        <f t="shared" si="7"/>
        <v>-1.7108606520736196</v>
      </c>
      <c r="AC35" s="1">
        <f t="shared" si="4"/>
        <v>-1.5666197811189733</v>
      </c>
      <c r="AD35" s="1">
        <f t="shared" si="5"/>
        <v>10.855681213414016</v>
      </c>
    </row>
    <row r="36" spans="2:30">
      <c r="F36" s="10">
        <f t="shared" si="6"/>
        <v>32</v>
      </c>
      <c r="G36" s="13">
        <v>34.839969166028141</v>
      </c>
      <c r="H36" s="13">
        <f>'12_18_20 (2year) call'!$O$2</f>
        <v>-6.1900000000000002E-3</v>
      </c>
      <c r="I36" s="13">
        <f t="shared" si="0"/>
        <v>3160.33</v>
      </c>
      <c r="J36" s="13">
        <v>4000</v>
      </c>
      <c r="K36" s="13">
        <v>1</v>
      </c>
      <c r="L36" s="13">
        <v>0</v>
      </c>
      <c r="M36" s="13">
        <f>'12_18_20 (2year) call'!$O$3</f>
        <v>2.1541501976284585</v>
      </c>
      <c r="N36" s="16">
        <f t="shared" si="1"/>
        <v>2.8571428571428571E-2</v>
      </c>
      <c r="P36" s="13"/>
      <c r="Q36" s="13"/>
      <c r="R36" s="13"/>
      <c r="S36" s="14"/>
      <c r="T36" s="15"/>
      <c r="V36" s="1" t="e">
        <f t="shared" si="2"/>
        <v>#VALUE!</v>
      </c>
      <c r="W36" s="1" t="e">
        <f t="shared" si="3"/>
        <v>#VALUE!</v>
      </c>
      <c r="X36" s="1">
        <v>1</v>
      </c>
      <c r="AB36" s="1">
        <f t="shared" si="7"/>
        <v>-1.7980674341986056</v>
      </c>
      <c r="AC36" s="1">
        <f t="shared" si="4"/>
        <v>-1.6538265632439593</v>
      </c>
      <c r="AD36" s="1">
        <f t="shared" si="5"/>
        <v>8.8432614892873289</v>
      </c>
    </row>
    <row r="37" spans="2:30">
      <c r="F37" s="10">
        <f t="shared" si="6"/>
        <v>33</v>
      </c>
      <c r="G37" s="13">
        <v>30.374762166460016</v>
      </c>
      <c r="H37" s="13">
        <f>'12_18_20 (2year) call'!$O$2</f>
        <v>-6.1900000000000002E-3</v>
      </c>
      <c r="I37" s="13">
        <f t="shared" si="0"/>
        <v>3160.33</v>
      </c>
      <c r="J37" s="13">
        <v>4050</v>
      </c>
      <c r="K37" s="13">
        <v>1</v>
      </c>
      <c r="L37" s="13">
        <v>0</v>
      </c>
      <c r="M37" s="13">
        <f>'12_18_20 (2year) call'!$O$3</f>
        <v>2.1541501976284585</v>
      </c>
      <c r="N37" s="16">
        <f t="shared" si="1"/>
        <v>2.8571428571428571E-2</v>
      </c>
      <c r="P37" s="13"/>
      <c r="Q37" s="13"/>
      <c r="R37" s="13"/>
      <c r="S37" s="14"/>
      <c r="T37" s="15"/>
      <c r="V37" s="1" t="e">
        <f t="shared" si="2"/>
        <v>#VALUE!</v>
      </c>
      <c r="W37" s="1" t="e">
        <f t="shared" si="3"/>
        <v>#VALUE!</v>
      </c>
      <c r="X37" s="1">
        <v>1</v>
      </c>
      <c r="AB37" s="1">
        <f t="shared" si="7"/>
        <v>-1.8841908742218099</v>
      </c>
      <c r="AC37" s="1">
        <f t="shared" si="4"/>
        <v>-1.7399500032671635</v>
      </c>
      <c r="AD37" s="1">
        <f t="shared" si="5"/>
        <v>7.179399146293207</v>
      </c>
    </row>
    <row r="38" spans="2:30">
      <c r="F38" s="10">
        <f t="shared" si="6"/>
        <v>34</v>
      </c>
      <c r="G38" s="13">
        <v>26.635054654477585</v>
      </c>
      <c r="H38" s="13">
        <f>'12_18_20 (2year) call'!$O$2</f>
        <v>-6.1900000000000002E-3</v>
      </c>
      <c r="I38" s="13">
        <f t="shared" si="0"/>
        <v>3160.33</v>
      </c>
      <c r="J38" s="13">
        <v>4100</v>
      </c>
      <c r="K38" s="13">
        <v>1</v>
      </c>
      <c r="L38" s="13">
        <v>0</v>
      </c>
      <c r="M38" s="13">
        <f>'12_18_20 (2year) call'!$O$3</f>
        <v>2.1541501976284585</v>
      </c>
      <c r="N38" s="16">
        <f t="shared" si="1"/>
        <v>2.8571428571428571E-2</v>
      </c>
      <c r="P38" s="13"/>
      <c r="Q38" s="13"/>
      <c r="R38" s="13"/>
      <c r="S38" s="14"/>
      <c r="T38" s="15"/>
      <c r="V38" s="1" t="e">
        <f t="shared" si="2"/>
        <v>#VALUE!</v>
      </c>
      <c r="W38" s="1" t="e">
        <f t="shared" si="3"/>
        <v>#VALUE!</v>
      </c>
      <c r="X38" s="1">
        <v>1</v>
      </c>
      <c r="AB38" s="1">
        <f t="shared" si="7"/>
        <v>-1.9692575582386613</v>
      </c>
      <c r="AC38" s="1">
        <f t="shared" si="4"/>
        <v>-1.825016687284015</v>
      </c>
      <c r="AD38" s="1">
        <f t="shared" si="5"/>
        <v>5.8093620926002814</v>
      </c>
    </row>
    <row r="39" spans="2:30">
      <c r="F39" s="10">
        <f t="shared" si="6"/>
        <v>35</v>
      </c>
      <c r="G39" s="13">
        <v>23.420401375225737</v>
      </c>
      <c r="H39" s="13">
        <f>'12_18_20 (2year) call'!$O$2</f>
        <v>-6.1900000000000002E-3</v>
      </c>
      <c r="I39" s="13">
        <f t="shared" si="0"/>
        <v>3160.33</v>
      </c>
      <c r="J39" s="13">
        <v>4150</v>
      </c>
      <c r="K39" s="13">
        <v>1</v>
      </c>
      <c r="L39" s="13">
        <v>0</v>
      </c>
      <c r="M39" s="13">
        <f>'12_18_20 (2year) call'!$O$3</f>
        <v>2.1541501976284585</v>
      </c>
      <c r="N39" s="16">
        <f t="shared" si="1"/>
        <v>2.8571428571428571E-2</v>
      </c>
      <c r="P39" s="13"/>
      <c r="Q39" s="13"/>
      <c r="R39" s="13"/>
      <c r="S39" s="14"/>
      <c r="T39" s="15"/>
      <c r="V39" s="1" t="e">
        <f t="shared" si="2"/>
        <v>#VALUE!</v>
      </c>
      <c r="W39" s="1" t="e">
        <f t="shared" si="3"/>
        <v>#VALUE!</v>
      </c>
      <c r="X39" s="1">
        <v>1</v>
      </c>
      <c r="AB39" s="1">
        <f t="shared" si="7"/>
        <v>-2.0532931055292498</v>
      </c>
      <c r="AC39" s="1">
        <f t="shared" si="4"/>
        <v>-1.9090522345746035</v>
      </c>
      <c r="AD39" s="1">
        <f t="shared" si="5"/>
        <v>4.6857313566922159</v>
      </c>
    </row>
    <row r="40" spans="2:30">
      <c r="F40" s="10">
        <f t="shared" si="6"/>
        <v>36</v>
      </c>
      <c r="G40" s="13"/>
      <c r="H40" s="14"/>
      <c r="I40" s="13"/>
      <c r="J40" s="13"/>
      <c r="K40" s="13"/>
      <c r="L40" s="13"/>
      <c r="M40" s="13"/>
      <c r="N40" s="16"/>
      <c r="P40" s="13"/>
      <c r="Q40" s="13"/>
      <c r="R40" s="13"/>
      <c r="S40" s="14"/>
      <c r="T40" s="15"/>
      <c r="V40" s="1" t="e">
        <f t="shared" si="2"/>
        <v>#VALUE!</v>
      </c>
      <c r="W40" s="1" t="e">
        <f t="shared" si="3"/>
        <v>#VALUE!</v>
      </c>
      <c r="X40" s="1">
        <v>1</v>
      </c>
      <c r="AB40" s="1" t="e">
        <f t="shared" si="7"/>
        <v>#DIV/0!</v>
      </c>
      <c r="AC40" s="1" t="e">
        <f t="shared" si="4"/>
        <v>#DIV/0!</v>
      </c>
      <c r="AD40" s="1" t="e">
        <f t="shared" si="5"/>
        <v>#DIV/0!</v>
      </c>
    </row>
    <row r="41" spans="2:30">
      <c r="F41" s="10">
        <f t="shared" si="6"/>
        <v>37</v>
      </c>
      <c r="G41" s="13"/>
      <c r="H41" s="13"/>
      <c r="I41" s="13"/>
      <c r="J41" s="13"/>
      <c r="K41" s="13"/>
      <c r="L41" s="13"/>
      <c r="M41" s="13"/>
      <c r="N41" s="16"/>
      <c r="P41" s="13"/>
      <c r="Q41" s="13"/>
      <c r="R41" s="13"/>
      <c r="S41" s="14"/>
      <c r="T41" s="15"/>
      <c r="V41" s="1" t="e">
        <f t="shared" si="2"/>
        <v>#VALUE!</v>
      </c>
      <c r="W41" s="1" t="e">
        <f t="shared" si="3"/>
        <v>#VALUE!</v>
      </c>
      <c r="X41" s="1">
        <v>1</v>
      </c>
      <c r="AB41" s="1" t="e">
        <f t="shared" si="7"/>
        <v>#DIV/0!</v>
      </c>
      <c r="AC41" s="1" t="e">
        <f t="shared" si="4"/>
        <v>#DIV/0!</v>
      </c>
      <c r="AD41" s="1" t="e">
        <f t="shared" si="5"/>
        <v>#DIV/0!</v>
      </c>
    </row>
    <row r="42" spans="2:30">
      <c r="F42" s="10">
        <f t="shared" si="6"/>
        <v>38</v>
      </c>
      <c r="G42" s="13"/>
      <c r="H42" s="13"/>
      <c r="I42" s="13"/>
      <c r="J42" s="13"/>
      <c r="K42" s="13"/>
      <c r="L42" s="13"/>
      <c r="M42" s="13"/>
      <c r="N42" s="16"/>
      <c r="P42" s="13"/>
      <c r="Q42" s="13"/>
      <c r="R42" s="13"/>
      <c r="S42" s="14"/>
      <c r="T42" s="15"/>
      <c r="V42" s="1" t="e">
        <f t="shared" si="2"/>
        <v>#VALUE!</v>
      </c>
      <c r="W42" s="1" t="e">
        <f t="shared" si="3"/>
        <v>#VALUE!</v>
      </c>
      <c r="X42" s="1">
        <v>1</v>
      </c>
      <c r="AB42" s="1" t="e">
        <f t="shared" si="7"/>
        <v>#DIV/0!</v>
      </c>
      <c r="AC42" s="1" t="e">
        <f t="shared" si="4"/>
        <v>#DIV/0!</v>
      </c>
      <c r="AD42" s="1" t="e">
        <f t="shared" si="5"/>
        <v>#DIV/0!</v>
      </c>
    </row>
    <row r="43" spans="2:30">
      <c r="F43" s="10">
        <f t="shared" si="6"/>
        <v>39</v>
      </c>
      <c r="G43" s="13"/>
      <c r="H43" s="13"/>
      <c r="I43" s="13"/>
      <c r="J43" s="13"/>
      <c r="K43" s="13"/>
      <c r="L43" s="13"/>
      <c r="M43" s="13"/>
      <c r="N43" s="16"/>
      <c r="P43" s="13"/>
      <c r="Q43" s="13"/>
      <c r="R43" s="13"/>
      <c r="S43" s="14"/>
      <c r="T43" s="15"/>
      <c r="V43" s="1" t="e">
        <f t="shared" si="2"/>
        <v>#VALUE!</v>
      </c>
      <c r="W43" s="1" t="e">
        <f t="shared" si="3"/>
        <v>#VALUE!</v>
      </c>
      <c r="X43" s="1">
        <v>1</v>
      </c>
      <c r="AB43" s="1" t="e">
        <f t="shared" si="7"/>
        <v>#DIV/0!</v>
      </c>
      <c r="AC43" s="1" t="e">
        <f t="shared" si="4"/>
        <v>#DIV/0!</v>
      </c>
      <c r="AD43" s="1" t="e">
        <f t="shared" si="5"/>
        <v>#DIV/0!</v>
      </c>
    </row>
    <row r="44" spans="2:30">
      <c r="F44" s="10">
        <f t="shared" si="6"/>
        <v>40</v>
      </c>
      <c r="G44" s="13"/>
      <c r="H44" s="13"/>
      <c r="I44" s="13"/>
      <c r="J44" s="13"/>
      <c r="K44" s="13"/>
      <c r="L44" s="13"/>
      <c r="M44" s="13"/>
      <c r="N44" s="16"/>
      <c r="P44" s="13"/>
      <c r="Q44" s="13"/>
      <c r="R44" s="13"/>
      <c r="S44" s="14"/>
      <c r="T44" s="15"/>
      <c r="V44" s="1" t="e">
        <f t="shared" si="2"/>
        <v>#VALUE!</v>
      </c>
      <c r="W44" s="1" t="e">
        <f t="shared" si="3"/>
        <v>#VALUE!</v>
      </c>
      <c r="X44" s="1">
        <v>1</v>
      </c>
      <c r="AB44" s="1" t="e">
        <f t="shared" si="7"/>
        <v>#DIV/0!</v>
      </c>
      <c r="AC44" s="1" t="e">
        <f t="shared" si="4"/>
        <v>#DIV/0!</v>
      </c>
      <c r="AD44" s="1" t="e">
        <f t="shared" si="5"/>
        <v>#DIV/0!</v>
      </c>
    </row>
    <row r="45" spans="2:30">
      <c r="F45" s="10">
        <f t="shared" si="6"/>
        <v>41</v>
      </c>
      <c r="G45" s="13"/>
      <c r="H45" s="13"/>
      <c r="I45" s="13"/>
      <c r="J45" s="13"/>
      <c r="K45" s="13"/>
      <c r="L45" s="13"/>
      <c r="M45" s="13"/>
      <c r="N45" s="16"/>
      <c r="P45" s="13"/>
      <c r="Q45" s="13"/>
      <c r="R45" s="13"/>
      <c r="S45" s="14"/>
      <c r="T45" s="15"/>
      <c r="V45" s="1" t="e">
        <f t="shared" si="2"/>
        <v>#VALUE!</v>
      </c>
      <c r="W45" s="1" t="e">
        <f t="shared" si="3"/>
        <v>#VALUE!</v>
      </c>
      <c r="X45" s="1">
        <v>1</v>
      </c>
      <c r="AB45" s="1" t="e">
        <f t="shared" si="7"/>
        <v>#DIV/0!</v>
      </c>
      <c r="AC45" s="1" t="e">
        <f t="shared" si="4"/>
        <v>#DIV/0!</v>
      </c>
      <c r="AD45" s="1" t="e">
        <f t="shared" si="5"/>
        <v>#DIV/0!</v>
      </c>
    </row>
    <row r="46" spans="2:30">
      <c r="F46" s="10">
        <f t="shared" si="6"/>
        <v>42</v>
      </c>
      <c r="G46" s="13"/>
      <c r="H46" s="13"/>
      <c r="I46" s="13"/>
      <c r="J46" s="13"/>
      <c r="K46" s="13"/>
      <c r="L46" s="13"/>
      <c r="M46" s="13"/>
      <c r="N46" s="16"/>
      <c r="P46" s="13"/>
      <c r="Q46" s="13"/>
      <c r="R46" s="13"/>
      <c r="S46" s="14"/>
      <c r="T46" s="15"/>
      <c r="V46" s="1" t="e">
        <f t="shared" si="2"/>
        <v>#VALUE!</v>
      </c>
      <c r="W46" s="1" t="e">
        <f t="shared" si="3"/>
        <v>#VALUE!</v>
      </c>
      <c r="X46" s="1">
        <v>1</v>
      </c>
      <c r="AB46" s="1" t="e">
        <f t="shared" si="7"/>
        <v>#DIV/0!</v>
      </c>
      <c r="AC46" s="1" t="e">
        <f t="shared" si="4"/>
        <v>#DIV/0!</v>
      </c>
      <c r="AD46" s="1" t="e">
        <f t="shared" si="5"/>
        <v>#DIV/0!</v>
      </c>
    </row>
    <row r="47" spans="2:30">
      <c r="F47" s="10">
        <f t="shared" si="6"/>
        <v>43</v>
      </c>
      <c r="G47" s="13"/>
      <c r="H47" s="13"/>
      <c r="I47" s="13"/>
      <c r="J47" s="13"/>
      <c r="K47" s="13"/>
      <c r="L47" s="13"/>
      <c r="M47" s="13"/>
      <c r="N47" s="16"/>
      <c r="P47" s="13"/>
      <c r="Q47" s="13"/>
      <c r="R47" s="13"/>
      <c r="S47" s="14"/>
      <c r="T47" s="15"/>
      <c r="V47" s="1" t="e">
        <f t="shared" si="2"/>
        <v>#VALUE!</v>
      </c>
      <c r="W47" s="1" t="e">
        <f t="shared" si="3"/>
        <v>#VALUE!</v>
      </c>
      <c r="X47" s="1">
        <v>1</v>
      </c>
      <c r="AB47" s="1" t="e">
        <f t="shared" si="7"/>
        <v>#DIV/0!</v>
      </c>
      <c r="AC47" s="1" t="e">
        <f t="shared" si="4"/>
        <v>#DIV/0!</v>
      </c>
      <c r="AD47" s="1" t="e">
        <f t="shared" si="5"/>
        <v>#DIV/0!</v>
      </c>
    </row>
    <row r="48" spans="2:30">
      <c r="F48" s="10">
        <f t="shared" si="6"/>
        <v>44</v>
      </c>
      <c r="G48" s="13"/>
      <c r="H48" s="13"/>
      <c r="I48" s="13"/>
      <c r="J48" s="13"/>
      <c r="K48" s="13"/>
      <c r="L48" s="13"/>
      <c r="M48" s="13"/>
      <c r="N48" s="16"/>
      <c r="P48" s="13"/>
      <c r="Q48" s="13"/>
      <c r="R48" s="13"/>
      <c r="S48" s="14"/>
      <c r="T48" s="15"/>
      <c r="V48" s="1" t="e">
        <f t="shared" si="2"/>
        <v>#VALUE!</v>
      </c>
      <c r="W48" s="1" t="e">
        <f t="shared" si="3"/>
        <v>#VALUE!</v>
      </c>
      <c r="X48" s="1">
        <v>1</v>
      </c>
      <c r="AB48" s="1" t="e">
        <f t="shared" si="7"/>
        <v>#DIV/0!</v>
      </c>
      <c r="AC48" s="1" t="e">
        <f t="shared" si="4"/>
        <v>#DIV/0!</v>
      </c>
      <c r="AD48" s="1" t="e">
        <f t="shared" si="5"/>
        <v>#DIV/0!</v>
      </c>
    </row>
    <row r="49" spans="6:30">
      <c r="F49" s="10">
        <f t="shared" si="6"/>
        <v>45</v>
      </c>
      <c r="G49" s="13"/>
      <c r="H49" s="13"/>
      <c r="I49" s="13"/>
      <c r="J49" s="13"/>
      <c r="K49" s="13"/>
      <c r="L49" s="13"/>
      <c r="M49" s="13"/>
      <c r="N49" s="16"/>
      <c r="P49" s="13"/>
      <c r="Q49" s="13"/>
      <c r="R49" s="13"/>
      <c r="S49" s="14"/>
      <c r="T49" s="15"/>
      <c r="V49" s="1" t="e">
        <f t="shared" si="2"/>
        <v>#VALUE!</v>
      </c>
      <c r="W49" s="1" t="e">
        <f t="shared" si="3"/>
        <v>#VALUE!</v>
      </c>
      <c r="X49" s="1">
        <v>1</v>
      </c>
      <c r="AB49" s="1" t="e">
        <f t="shared" si="7"/>
        <v>#DIV/0!</v>
      </c>
      <c r="AC49" s="1" t="e">
        <f t="shared" si="4"/>
        <v>#DIV/0!</v>
      </c>
      <c r="AD49" s="1" t="e">
        <f t="shared" si="5"/>
        <v>#DIV/0!</v>
      </c>
    </row>
    <row r="50" spans="6:30">
      <c r="F50" s="10">
        <f t="shared" si="6"/>
        <v>46</v>
      </c>
      <c r="G50" s="13"/>
      <c r="H50" s="13"/>
      <c r="I50" s="13"/>
      <c r="J50" s="13"/>
      <c r="K50" s="13"/>
      <c r="L50" s="13"/>
      <c r="M50" s="13"/>
      <c r="N50" s="16"/>
      <c r="P50" s="13"/>
      <c r="Q50" s="13"/>
      <c r="R50" s="13"/>
      <c r="S50" s="14"/>
      <c r="T50" s="15"/>
      <c r="V50" s="1" t="e">
        <f t="shared" si="2"/>
        <v>#VALUE!</v>
      </c>
      <c r="W50" s="1" t="e">
        <f t="shared" si="3"/>
        <v>#VALUE!</v>
      </c>
      <c r="X50" s="1">
        <v>1</v>
      </c>
      <c r="AB50" s="1" t="e">
        <f t="shared" si="7"/>
        <v>#DIV/0!</v>
      </c>
      <c r="AC50" s="1" t="e">
        <f t="shared" si="4"/>
        <v>#DIV/0!</v>
      </c>
      <c r="AD50" s="1" t="e">
        <f t="shared" si="5"/>
        <v>#DIV/0!</v>
      </c>
    </row>
    <row r="51" spans="6:30">
      <c r="F51" s="10">
        <f t="shared" si="6"/>
        <v>47</v>
      </c>
      <c r="G51" s="13"/>
      <c r="H51" s="13"/>
      <c r="I51" s="13"/>
      <c r="J51" s="13"/>
      <c r="K51" s="13"/>
      <c r="L51" s="13"/>
      <c r="M51" s="13"/>
      <c r="N51" s="16"/>
      <c r="P51" s="13"/>
      <c r="Q51" s="13"/>
      <c r="R51" s="13"/>
      <c r="S51" s="14"/>
      <c r="T51" s="15"/>
      <c r="V51" s="1" t="e">
        <f t="shared" si="2"/>
        <v>#VALUE!</v>
      </c>
      <c r="W51" s="1" t="e">
        <f t="shared" si="3"/>
        <v>#VALUE!</v>
      </c>
      <c r="X51" s="1">
        <v>1</v>
      </c>
      <c r="AB51" s="1" t="e">
        <f t="shared" si="7"/>
        <v>#DIV/0!</v>
      </c>
      <c r="AC51" s="1" t="e">
        <f t="shared" si="4"/>
        <v>#DIV/0!</v>
      </c>
      <c r="AD51" s="1" t="e">
        <f t="shared" si="5"/>
        <v>#DIV/0!</v>
      </c>
    </row>
    <row r="52" spans="6:30">
      <c r="F52" s="10">
        <f t="shared" si="6"/>
        <v>48</v>
      </c>
      <c r="G52" s="13"/>
      <c r="H52" s="13"/>
      <c r="I52" s="13"/>
      <c r="J52" s="13"/>
      <c r="K52" s="13"/>
      <c r="L52" s="13"/>
      <c r="M52" s="13"/>
      <c r="N52" s="16"/>
      <c r="P52" s="13"/>
      <c r="Q52" s="13"/>
      <c r="R52" s="13"/>
      <c r="S52" s="14"/>
      <c r="T52" s="15"/>
      <c r="V52" s="1" t="e">
        <f t="shared" si="2"/>
        <v>#VALUE!</v>
      </c>
      <c r="W52" s="1" t="e">
        <f t="shared" si="3"/>
        <v>#VALUE!</v>
      </c>
      <c r="X52" s="1">
        <v>1</v>
      </c>
      <c r="AB52" s="1" t="e">
        <f t="shared" si="7"/>
        <v>#DIV/0!</v>
      </c>
      <c r="AC52" s="1" t="e">
        <f t="shared" si="4"/>
        <v>#DIV/0!</v>
      </c>
      <c r="AD52" s="1" t="e">
        <f t="shared" si="5"/>
        <v>#DIV/0!</v>
      </c>
    </row>
    <row r="53" spans="6:30">
      <c r="F53" s="10">
        <f t="shared" si="6"/>
        <v>49</v>
      </c>
      <c r="G53" s="13"/>
      <c r="H53" s="13"/>
      <c r="I53" s="13"/>
      <c r="J53" s="13"/>
      <c r="K53" s="13"/>
      <c r="L53" s="13"/>
      <c r="M53" s="13"/>
      <c r="N53" s="16"/>
      <c r="P53" s="13"/>
      <c r="Q53" s="13"/>
      <c r="R53" s="13"/>
      <c r="S53" s="14"/>
      <c r="T53" s="15"/>
      <c r="V53" s="1" t="e">
        <f t="shared" si="2"/>
        <v>#VALUE!</v>
      </c>
      <c r="W53" s="1" t="e">
        <f t="shared" si="3"/>
        <v>#VALUE!</v>
      </c>
      <c r="X53" s="1">
        <v>1</v>
      </c>
      <c r="AB53" s="1" t="e">
        <f t="shared" si="7"/>
        <v>#DIV/0!</v>
      </c>
      <c r="AC53" s="1" t="e">
        <f t="shared" si="4"/>
        <v>#DIV/0!</v>
      </c>
      <c r="AD53" s="1" t="e">
        <f t="shared" si="5"/>
        <v>#DIV/0!</v>
      </c>
    </row>
    <row r="54" spans="6:30">
      <c r="F54" s="10">
        <f t="shared" si="6"/>
        <v>50</v>
      </c>
      <c r="G54" s="13"/>
      <c r="H54" s="13"/>
      <c r="I54" s="13"/>
      <c r="J54" s="13"/>
      <c r="K54" s="13"/>
      <c r="L54" s="13"/>
      <c r="M54" s="13"/>
      <c r="N54" s="16"/>
      <c r="P54" s="13"/>
      <c r="Q54" s="13"/>
      <c r="R54" s="13"/>
      <c r="S54" s="14"/>
      <c r="T54" s="15"/>
      <c r="V54" s="1" t="e">
        <f t="shared" si="2"/>
        <v>#VALUE!</v>
      </c>
      <c r="W54" s="1" t="e">
        <f t="shared" si="3"/>
        <v>#VALUE!</v>
      </c>
      <c r="X54" s="1">
        <v>1</v>
      </c>
      <c r="AB54" s="1" t="e">
        <f t="shared" si="7"/>
        <v>#DIV/0!</v>
      </c>
      <c r="AC54" s="1" t="e">
        <f t="shared" si="4"/>
        <v>#DIV/0!</v>
      </c>
      <c r="AD54" s="1" t="e">
        <f t="shared" si="5"/>
        <v>#DIV/0!</v>
      </c>
    </row>
    <row r="55" spans="6:30">
      <c r="F55" s="10">
        <f t="shared" si="6"/>
        <v>51</v>
      </c>
      <c r="G55" s="13"/>
      <c r="H55" s="13"/>
      <c r="I55" s="13"/>
      <c r="J55" s="13"/>
      <c r="K55" s="13"/>
      <c r="L55" s="13"/>
      <c r="M55" s="13"/>
      <c r="N55" s="16"/>
      <c r="P55" s="13"/>
      <c r="Q55" s="13"/>
      <c r="R55" s="13"/>
      <c r="S55" s="14"/>
      <c r="T55" s="15"/>
      <c r="V55" s="1" t="e">
        <f t="shared" si="2"/>
        <v>#VALUE!</v>
      </c>
      <c r="W55" s="1" t="e">
        <f t="shared" si="3"/>
        <v>#VALUE!</v>
      </c>
      <c r="X55" s="1">
        <v>1</v>
      </c>
      <c r="AB55" s="1" t="e">
        <f t="shared" si="7"/>
        <v>#DIV/0!</v>
      </c>
      <c r="AC55" s="1" t="e">
        <f t="shared" si="4"/>
        <v>#DIV/0!</v>
      </c>
      <c r="AD55" s="1" t="e">
        <f t="shared" si="5"/>
        <v>#DIV/0!</v>
      </c>
    </row>
    <row r="56" spans="6:30">
      <c r="F56" s="10">
        <f t="shared" si="6"/>
        <v>52</v>
      </c>
      <c r="G56" s="13"/>
      <c r="H56" s="13"/>
      <c r="I56" s="13"/>
      <c r="J56" s="13"/>
      <c r="K56" s="13"/>
      <c r="L56" s="13"/>
      <c r="M56" s="13"/>
      <c r="N56" s="16"/>
      <c r="P56" s="13"/>
      <c r="Q56" s="13"/>
      <c r="R56" s="13"/>
      <c r="S56" s="14"/>
      <c r="T56" s="15"/>
      <c r="V56" s="1" t="e">
        <f t="shared" si="2"/>
        <v>#VALUE!</v>
      </c>
      <c r="W56" s="1" t="e">
        <f t="shared" si="3"/>
        <v>#VALUE!</v>
      </c>
      <c r="X56" s="1">
        <v>1</v>
      </c>
      <c r="AB56" s="1" t="e">
        <f t="shared" si="7"/>
        <v>#DIV/0!</v>
      </c>
      <c r="AC56" s="1" t="e">
        <f t="shared" si="4"/>
        <v>#DIV/0!</v>
      </c>
      <c r="AD56" s="1" t="e">
        <f t="shared" si="5"/>
        <v>#DIV/0!</v>
      </c>
    </row>
    <row r="57" spans="6:30">
      <c r="F57" s="10">
        <f t="shared" si="6"/>
        <v>53</v>
      </c>
      <c r="G57" s="13"/>
      <c r="H57" s="13"/>
      <c r="I57" s="13"/>
      <c r="J57" s="13"/>
      <c r="K57" s="13"/>
      <c r="L57" s="13"/>
      <c r="M57" s="13"/>
      <c r="N57" s="16"/>
      <c r="P57" s="13"/>
      <c r="Q57" s="13"/>
      <c r="R57" s="13"/>
      <c r="S57" s="14"/>
      <c r="T57" s="15"/>
      <c r="V57" s="1" t="e">
        <f t="shared" si="2"/>
        <v>#VALUE!</v>
      </c>
      <c r="W57" s="1" t="e">
        <f t="shared" si="3"/>
        <v>#VALUE!</v>
      </c>
      <c r="X57" s="1">
        <v>1</v>
      </c>
      <c r="AB57" s="1" t="e">
        <f t="shared" si="7"/>
        <v>#DIV/0!</v>
      </c>
      <c r="AC57" s="1" t="e">
        <f t="shared" si="4"/>
        <v>#DIV/0!</v>
      </c>
      <c r="AD57" s="1" t="e">
        <f t="shared" si="5"/>
        <v>#DIV/0!</v>
      </c>
    </row>
    <row r="58" spans="6:30">
      <c r="F58" s="10">
        <f t="shared" si="6"/>
        <v>54</v>
      </c>
      <c r="G58" s="13"/>
      <c r="H58" s="13"/>
      <c r="I58" s="13"/>
      <c r="J58" s="13"/>
      <c r="K58" s="13"/>
      <c r="L58" s="13"/>
      <c r="M58" s="13"/>
      <c r="N58" s="16"/>
      <c r="P58" s="13"/>
      <c r="Q58" s="13"/>
      <c r="R58" s="13"/>
      <c r="S58" s="14"/>
      <c r="T58" s="15"/>
      <c r="V58" s="1" t="e">
        <f t="shared" si="2"/>
        <v>#VALUE!</v>
      </c>
      <c r="W58" s="1" t="e">
        <f t="shared" si="3"/>
        <v>#VALUE!</v>
      </c>
      <c r="X58" s="1">
        <v>1</v>
      </c>
      <c r="AB58" s="1" t="e">
        <f t="shared" si="7"/>
        <v>#DIV/0!</v>
      </c>
      <c r="AC58" s="1" t="e">
        <f t="shared" si="4"/>
        <v>#DIV/0!</v>
      </c>
      <c r="AD58" s="1" t="e">
        <f t="shared" si="5"/>
        <v>#DIV/0!</v>
      </c>
    </row>
    <row r="59" spans="6:30">
      <c r="F59" s="10">
        <f t="shared" si="6"/>
        <v>55</v>
      </c>
      <c r="G59" s="13"/>
      <c r="H59" s="13"/>
      <c r="I59" s="13"/>
      <c r="J59" s="13"/>
      <c r="K59" s="13"/>
      <c r="L59" s="13"/>
      <c r="M59" s="13"/>
      <c r="N59" s="16"/>
      <c r="P59" s="13"/>
      <c r="Q59" s="13"/>
      <c r="R59" s="13"/>
      <c r="S59" s="14"/>
      <c r="T59" s="15"/>
      <c r="V59" s="1" t="e">
        <f t="shared" si="2"/>
        <v>#VALUE!</v>
      </c>
      <c r="W59" s="1" t="e">
        <f t="shared" si="3"/>
        <v>#VALUE!</v>
      </c>
      <c r="X59" s="1">
        <v>1</v>
      </c>
      <c r="AB59" s="1" t="e">
        <f t="shared" si="7"/>
        <v>#DIV/0!</v>
      </c>
      <c r="AC59" s="1" t="e">
        <f t="shared" si="4"/>
        <v>#DIV/0!</v>
      </c>
      <c r="AD59" s="1" t="e">
        <f t="shared" si="5"/>
        <v>#DIV/0!</v>
      </c>
    </row>
    <row r="60" spans="6:30">
      <c r="F60" s="10">
        <f t="shared" si="6"/>
        <v>56</v>
      </c>
      <c r="G60" s="13"/>
      <c r="H60" s="13"/>
      <c r="I60" s="13"/>
      <c r="J60" s="13"/>
      <c r="K60" s="13"/>
      <c r="L60" s="13"/>
      <c r="M60" s="13"/>
      <c r="N60" s="16"/>
      <c r="P60" s="13"/>
      <c r="Q60" s="13"/>
      <c r="R60" s="13"/>
      <c r="S60" s="14"/>
      <c r="T60" s="15"/>
      <c r="V60" s="1" t="e">
        <f t="shared" si="2"/>
        <v>#VALUE!</v>
      </c>
      <c r="W60" s="1" t="e">
        <f t="shared" si="3"/>
        <v>#VALUE!</v>
      </c>
      <c r="X60" s="1">
        <v>1</v>
      </c>
      <c r="AB60" s="1" t="e">
        <f t="shared" si="7"/>
        <v>#DIV/0!</v>
      </c>
      <c r="AC60" s="1" t="e">
        <f t="shared" si="4"/>
        <v>#DIV/0!</v>
      </c>
      <c r="AD60" s="1" t="e">
        <f t="shared" si="5"/>
        <v>#DIV/0!</v>
      </c>
    </row>
    <row r="61" spans="6:30">
      <c r="F61" s="10">
        <f t="shared" si="6"/>
        <v>57</v>
      </c>
      <c r="G61" s="13"/>
      <c r="H61" s="13"/>
      <c r="I61" s="13"/>
      <c r="J61" s="13"/>
      <c r="K61" s="13"/>
      <c r="L61" s="13"/>
      <c r="M61" s="13"/>
      <c r="N61" s="16"/>
      <c r="P61" s="13"/>
      <c r="Q61" s="13"/>
      <c r="R61" s="13"/>
      <c r="S61" s="14"/>
      <c r="T61" s="15"/>
      <c r="V61" s="1" t="e">
        <f t="shared" si="2"/>
        <v>#VALUE!</v>
      </c>
      <c r="W61" s="1" t="e">
        <f t="shared" si="3"/>
        <v>#VALUE!</v>
      </c>
      <c r="X61" s="1">
        <v>1</v>
      </c>
      <c r="AB61" s="1" t="e">
        <f t="shared" si="7"/>
        <v>#DIV/0!</v>
      </c>
      <c r="AC61" s="1" t="e">
        <f t="shared" si="4"/>
        <v>#DIV/0!</v>
      </c>
      <c r="AD61" s="1" t="e">
        <f t="shared" si="5"/>
        <v>#DIV/0!</v>
      </c>
    </row>
    <row r="62" spans="6:30">
      <c r="F62" s="10">
        <f t="shared" si="6"/>
        <v>58</v>
      </c>
      <c r="G62" s="13"/>
      <c r="H62" s="13"/>
      <c r="I62" s="13"/>
      <c r="J62" s="13"/>
      <c r="K62" s="13"/>
      <c r="L62" s="13"/>
      <c r="M62" s="13"/>
      <c r="N62" s="16"/>
      <c r="P62" s="13"/>
      <c r="Q62" s="13"/>
      <c r="R62" s="13"/>
      <c r="S62" s="14"/>
      <c r="T62" s="15"/>
      <c r="V62" s="1" t="e">
        <f t="shared" si="2"/>
        <v>#VALUE!</v>
      </c>
      <c r="W62" s="1" t="e">
        <f t="shared" si="3"/>
        <v>#VALUE!</v>
      </c>
      <c r="X62" s="1">
        <v>1</v>
      </c>
    </row>
    <row r="63" spans="6:30">
      <c r="F63" s="10">
        <f t="shared" si="6"/>
        <v>59</v>
      </c>
      <c r="G63" s="13"/>
      <c r="H63" s="13"/>
      <c r="I63" s="13"/>
      <c r="J63" s="13"/>
      <c r="K63" s="13"/>
      <c r="L63" s="13"/>
      <c r="M63" s="13"/>
      <c r="N63" s="16"/>
      <c r="P63" s="13"/>
      <c r="Q63" s="13"/>
      <c r="R63" s="13"/>
      <c r="S63" s="14"/>
      <c r="T63" s="15"/>
      <c r="V63" s="1" t="e">
        <f t="shared" si="2"/>
        <v>#VALUE!</v>
      </c>
      <c r="W63" s="1" t="e">
        <f t="shared" si="3"/>
        <v>#VALUE!</v>
      </c>
      <c r="X63" s="1">
        <v>1</v>
      </c>
    </row>
    <row r="64" spans="6:30">
      <c r="F64" s="10">
        <f t="shared" si="6"/>
        <v>60</v>
      </c>
      <c r="G64" s="13"/>
      <c r="H64" s="13"/>
      <c r="I64" s="13"/>
      <c r="J64" s="13"/>
      <c r="K64" s="13"/>
      <c r="L64" s="13"/>
      <c r="M64" s="13"/>
      <c r="N64" s="16"/>
      <c r="P64" s="13"/>
      <c r="Q64" s="13"/>
      <c r="R64" s="13"/>
      <c r="S64" s="14"/>
      <c r="T64" s="15"/>
      <c r="V64" s="1" t="e">
        <f t="shared" si="2"/>
        <v>#VALUE!</v>
      </c>
      <c r="W64" s="1" t="e">
        <f t="shared" si="3"/>
        <v>#VALUE!</v>
      </c>
      <c r="X64" s="1">
        <v>1</v>
      </c>
    </row>
    <row r="65" spans="6:24">
      <c r="F65" s="10">
        <f t="shared" si="6"/>
        <v>61</v>
      </c>
      <c r="G65" s="13"/>
      <c r="H65" s="13"/>
      <c r="I65" s="13"/>
      <c r="J65" s="13"/>
      <c r="K65" s="13"/>
      <c r="L65" s="13"/>
      <c r="M65" s="13"/>
      <c r="N65" s="16"/>
      <c r="P65" s="13"/>
      <c r="Q65" s="13"/>
      <c r="R65" s="13"/>
      <c r="S65" s="14"/>
      <c r="T65" s="15"/>
      <c r="V65" s="1" t="e">
        <f t="shared" si="2"/>
        <v>#VALUE!</v>
      </c>
      <c r="W65" s="1" t="e">
        <f t="shared" si="3"/>
        <v>#VALUE!</v>
      </c>
      <c r="X65" s="1">
        <v>1</v>
      </c>
    </row>
    <row r="66" spans="6:24">
      <c r="F66" s="10">
        <f t="shared" si="6"/>
        <v>62</v>
      </c>
      <c r="G66" s="13"/>
      <c r="H66" s="13"/>
      <c r="I66" s="13"/>
      <c r="J66" s="13"/>
      <c r="K66" s="13"/>
      <c r="L66" s="13"/>
      <c r="M66" s="13"/>
      <c r="N66" s="16"/>
      <c r="P66" s="13"/>
      <c r="Q66" s="13"/>
      <c r="R66" s="13"/>
      <c r="S66" s="14"/>
      <c r="T66" s="15"/>
      <c r="V66" s="1" t="e">
        <f t="shared" si="2"/>
        <v>#VALUE!</v>
      </c>
      <c r="W66" s="1" t="e">
        <f t="shared" si="3"/>
        <v>#VALUE!</v>
      </c>
      <c r="X66" s="1">
        <v>1</v>
      </c>
    </row>
    <row r="67" spans="6:24">
      <c r="F67" s="10">
        <f t="shared" si="6"/>
        <v>63</v>
      </c>
      <c r="G67" s="13"/>
      <c r="H67" s="13"/>
      <c r="I67" s="13"/>
      <c r="J67" s="13"/>
      <c r="K67" s="13"/>
      <c r="L67" s="13"/>
      <c r="M67" s="13"/>
      <c r="N67" s="16"/>
      <c r="P67" s="13"/>
      <c r="Q67" s="13"/>
      <c r="R67" s="13"/>
      <c r="S67" s="14"/>
      <c r="T67" s="15"/>
      <c r="V67" s="1" t="e">
        <f t="shared" si="2"/>
        <v>#VALUE!</v>
      </c>
      <c r="W67" s="1" t="e">
        <f t="shared" si="3"/>
        <v>#VALUE!</v>
      </c>
      <c r="X67" s="1">
        <v>1</v>
      </c>
    </row>
    <row r="68" spans="6:24">
      <c r="F68" s="10">
        <f t="shared" si="6"/>
        <v>64</v>
      </c>
      <c r="G68" s="13"/>
      <c r="H68" s="13"/>
      <c r="I68" s="13"/>
      <c r="J68" s="13"/>
      <c r="K68" s="13"/>
      <c r="L68" s="13"/>
      <c r="M68" s="13"/>
      <c r="N68" s="16"/>
      <c r="P68" s="13"/>
      <c r="Q68" s="13"/>
      <c r="R68" s="13"/>
      <c r="S68" s="14"/>
      <c r="T68" s="15"/>
      <c r="V68" s="1" t="e">
        <f t="shared" si="2"/>
        <v>#VALUE!</v>
      </c>
      <c r="W68" s="1" t="e">
        <f t="shared" si="3"/>
        <v>#VALUE!</v>
      </c>
      <c r="X68" s="1">
        <v>1</v>
      </c>
    </row>
    <row r="69" spans="6:24">
      <c r="F69" s="10">
        <f t="shared" si="6"/>
        <v>65</v>
      </c>
      <c r="G69" s="13"/>
      <c r="H69" s="13"/>
      <c r="I69" s="13"/>
      <c r="J69" s="13"/>
      <c r="K69" s="13"/>
      <c r="L69" s="13"/>
      <c r="M69" s="13"/>
      <c r="N69" s="16"/>
      <c r="P69" s="13"/>
      <c r="Q69" s="13"/>
      <c r="R69" s="13"/>
      <c r="S69" s="14"/>
      <c r="T69" s="15"/>
      <c r="V69" s="1" t="e">
        <f t="shared" si="2"/>
        <v>#VALUE!</v>
      </c>
      <c r="W69" s="1" t="e">
        <f t="shared" si="3"/>
        <v>#VALUE!</v>
      </c>
      <c r="X69" s="1">
        <v>1</v>
      </c>
    </row>
    <row r="70" spans="6:24">
      <c r="F70" s="10">
        <f t="shared" si="6"/>
        <v>66</v>
      </c>
      <c r="G70" s="13"/>
      <c r="H70" s="13"/>
      <c r="I70" s="13"/>
      <c r="J70" s="13"/>
      <c r="K70" s="13"/>
      <c r="L70" s="13"/>
      <c r="M70" s="13"/>
      <c r="N70" s="16"/>
      <c r="P70" s="13"/>
      <c r="Q70" s="13"/>
      <c r="R70" s="13"/>
      <c r="S70" s="14"/>
      <c r="T70" s="15"/>
      <c r="V70" s="1" t="e">
        <f t="shared" ref="V70:V88" si="8">BSVegaF(I70,J70,M70,H70,L70)</f>
        <v>#VALUE!</v>
      </c>
      <c r="W70" s="1" t="e">
        <f t="shared" ref="W70:W88" si="9">V70/$V$2</f>
        <v>#VALUE!</v>
      </c>
      <c r="X70" s="1">
        <v>1</v>
      </c>
    </row>
    <row r="71" spans="6:24">
      <c r="F71" s="10">
        <f t="shared" ref="F71:F134" si="10">F70+1</f>
        <v>67</v>
      </c>
      <c r="G71" s="13"/>
      <c r="H71" s="13"/>
      <c r="I71" s="13"/>
      <c r="J71" s="13"/>
      <c r="K71" s="13"/>
      <c r="L71" s="13"/>
      <c r="M71" s="13"/>
      <c r="N71" s="16"/>
      <c r="P71" s="13"/>
      <c r="Q71" s="13"/>
      <c r="R71" s="13"/>
      <c r="S71" s="14"/>
      <c r="T71" s="15"/>
      <c r="V71" s="1" t="e">
        <f t="shared" si="8"/>
        <v>#VALUE!</v>
      </c>
      <c r="W71" s="1" t="e">
        <f t="shared" si="9"/>
        <v>#VALUE!</v>
      </c>
      <c r="X71" s="1">
        <v>1</v>
      </c>
    </row>
    <row r="72" spans="6:24">
      <c r="F72" s="10">
        <f t="shared" si="10"/>
        <v>68</v>
      </c>
      <c r="G72" s="13"/>
      <c r="H72" s="13"/>
      <c r="I72" s="13"/>
      <c r="J72" s="13"/>
      <c r="K72" s="13"/>
      <c r="L72" s="13"/>
      <c r="M72" s="13"/>
      <c r="N72" s="16"/>
      <c r="P72" s="13"/>
      <c r="Q72" s="13"/>
      <c r="R72" s="13"/>
      <c r="S72" s="14"/>
      <c r="T72" s="15"/>
      <c r="V72" s="1" t="e">
        <f t="shared" si="8"/>
        <v>#VALUE!</v>
      </c>
      <c r="W72" s="1" t="e">
        <f t="shared" si="9"/>
        <v>#VALUE!</v>
      </c>
      <c r="X72" s="1">
        <v>1</v>
      </c>
    </row>
    <row r="73" spans="6:24">
      <c r="F73" s="10">
        <f t="shared" si="10"/>
        <v>69</v>
      </c>
      <c r="G73" s="13"/>
      <c r="H73" s="13"/>
      <c r="I73" s="13"/>
      <c r="J73" s="13"/>
      <c r="K73" s="13"/>
      <c r="L73" s="13"/>
      <c r="M73" s="13"/>
      <c r="N73" s="16"/>
      <c r="P73" s="13"/>
      <c r="Q73" s="13"/>
      <c r="R73" s="13"/>
      <c r="S73" s="14"/>
      <c r="T73" s="15"/>
      <c r="V73" s="1" t="e">
        <f t="shared" si="8"/>
        <v>#VALUE!</v>
      </c>
      <c r="W73" s="1" t="e">
        <f t="shared" si="9"/>
        <v>#VALUE!</v>
      </c>
      <c r="X73" s="1">
        <v>1</v>
      </c>
    </row>
    <row r="74" spans="6:24">
      <c r="F74" s="10">
        <f t="shared" si="10"/>
        <v>70</v>
      </c>
      <c r="G74" s="13"/>
      <c r="H74" s="13"/>
      <c r="I74" s="13"/>
      <c r="J74" s="13"/>
      <c r="K74" s="13"/>
      <c r="L74" s="13"/>
      <c r="M74" s="13"/>
      <c r="N74" s="16"/>
      <c r="P74" s="13"/>
      <c r="Q74" s="13"/>
      <c r="R74" s="13"/>
      <c r="S74" s="14"/>
      <c r="T74" s="15"/>
      <c r="V74" s="1" t="e">
        <f t="shared" si="8"/>
        <v>#VALUE!</v>
      </c>
      <c r="W74" s="1" t="e">
        <f t="shared" si="9"/>
        <v>#VALUE!</v>
      </c>
      <c r="X74" s="1">
        <v>1</v>
      </c>
    </row>
    <row r="75" spans="6:24">
      <c r="F75" s="10">
        <f t="shared" si="10"/>
        <v>71</v>
      </c>
      <c r="G75" s="13"/>
      <c r="H75" s="13"/>
      <c r="I75" s="13"/>
      <c r="J75" s="13"/>
      <c r="K75" s="13"/>
      <c r="L75" s="13"/>
      <c r="M75" s="13"/>
      <c r="N75" s="16"/>
      <c r="P75" s="13"/>
      <c r="Q75" s="13"/>
      <c r="R75" s="13"/>
      <c r="S75" s="14"/>
      <c r="T75" s="15"/>
      <c r="V75" s="1" t="e">
        <f t="shared" si="8"/>
        <v>#VALUE!</v>
      </c>
      <c r="W75" s="1" t="e">
        <f t="shared" si="9"/>
        <v>#VALUE!</v>
      </c>
      <c r="X75" s="1">
        <v>1</v>
      </c>
    </row>
    <row r="76" spans="6:24">
      <c r="F76" s="10">
        <f t="shared" si="10"/>
        <v>72</v>
      </c>
      <c r="G76" s="13"/>
      <c r="H76" s="13"/>
      <c r="I76" s="13"/>
      <c r="J76" s="13"/>
      <c r="K76" s="13"/>
      <c r="L76" s="13"/>
      <c r="M76" s="13"/>
      <c r="N76" s="16"/>
      <c r="P76" s="13"/>
      <c r="Q76" s="13"/>
      <c r="R76" s="13"/>
      <c r="S76" s="14"/>
      <c r="T76" s="15"/>
      <c r="V76" s="1" t="e">
        <f t="shared" si="8"/>
        <v>#VALUE!</v>
      </c>
      <c r="W76" s="1" t="e">
        <f t="shared" si="9"/>
        <v>#VALUE!</v>
      </c>
      <c r="X76" s="1">
        <v>1</v>
      </c>
    </row>
    <row r="77" spans="6:24">
      <c r="F77" s="10">
        <f t="shared" si="10"/>
        <v>73</v>
      </c>
      <c r="G77" s="13"/>
      <c r="H77" s="13"/>
      <c r="I77" s="13"/>
      <c r="J77" s="13"/>
      <c r="K77" s="13"/>
      <c r="L77" s="13"/>
      <c r="M77" s="13"/>
      <c r="N77" s="16"/>
      <c r="P77" s="13"/>
      <c r="Q77" s="13"/>
      <c r="R77" s="13"/>
      <c r="S77" s="14"/>
      <c r="T77" s="15"/>
      <c r="V77" s="1" t="e">
        <f t="shared" si="8"/>
        <v>#VALUE!</v>
      </c>
      <c r="W77" s="1" t="e">
        <f t="shared" si="9"/>
        <v>#VALUE!</v>
      </c>
      <c r="X77" s="1">
        <v>1</v>
      </c>
    </row>
    <row r="78" spans="6:24">
      <c r="F78" s="10">
        <f t="shared" si="10"/>
        <v>74</v>
      </c>
      <c r="G78" s="13"/>
      <c r="H78" s="13"/>
      <c r="I78" s="13"/>
      <c r="J78" s="13"/>
      <c r="K78" s="13"/>
      <c r="L78" s="13"/>
      <c r="M78" s="13"/>
      <c r="N78" s="16"/>
      <c r="P78" s="13"/>
      <c r="Q78" s="13"/>
      <c r="R78" s="13"/>
      <c r="S78" s="14"/>
      <c r="T78" s="15"/>
      <c r="V78" s="1" t="e">
        <f t="shared" si="8"/>
        <v>#VALUE!</v>
      </c>
      <c r="W78" s="1" t="e">
        <f t="shared" si="9"/>
        <v>#VALUE!</v>
      </c>
      <c r="X78" s="1">
        <v>1</v>
      </c>
    </row>
    <row r="79" spans="6:24">
      <c r="F79" s="10">
        <f t="shared" si="10"/>
        <v>75</v>
      </c>
      <c r="G79" s="13"/>
      <c r="H79" s="13"/>
      <c r="I79" s="13"/>
      <c r="J79" s="13"/>
      <c r="K79" s="13"/>
      <c r="L79" s="13"/>
      <c r="M79" s="13"/>
      <c r="N79" s="16"/>
      <c r="P79" s="13"/>
      <c r="Q79" s="13"/>
      <c r="R79" s="13"/>
      <c r="S79" s="14"/>
      <c r="T79" s="15"/>
      <c r="V79" s="1" t="e">
        <f t="shared" si="8"/>
        <v>#VALUE!</v>
      </c>
      <c r="W79" s="1" t="e">
        <f t="shared" si="9"/>
        <v>#VALUE!</v>
      </c>
      <c r="X79" s="1">
        <v>1</v>
      </c>
    </row>
    <row r="80" spans="6:24">
      <c r="F80" s="10">
        <f t="shared" si="10"/>
        <v>76</v>
      </c>
      <c r="G80" s="13"/>
      <c r="H80" s="13"/>
      <c r="I80" s="13"/>
      <c r="J80" s="13"/>
      <c r="K80" s="13"/>
      <c r="L80" s="13"/>
      <c r="M80" s="13"/>
      <c r="N80" s="16"/>
      <c r="P80" s="13"/>
      <c r="Q80" s="13"/>
      <c r="R80" s="13"/>
      <c r="S80" s="14"/>
      <c r="T80" s="15"/>
      <c r="V80" s="1" t="e">
        <f t="shared" si="8"/>
        <v>#VALUE!</v>
      </c>
      <c r="W80" s="1" t="e">
        <f t="shared" si="9"/>
        <v>#VALUE!</v>
      </c>
      <c r="X80" s="1">
        <v>1</v>
      </c>
    </row>
    <row r="81" spans="6:24">
      <c r="F81" s="10">
        <f t="shared" si="10"/>
        <v>77</v>
      </c>
      <c r="G81" s="13"/>
      <c r="H81" s="13"/>
      <c r="I81" s="13"/>
      <c r="J81" s="13"/>
      <c r="K81" s="13"/>
      <c r="L81" s="13"/>
      <c r="M81" s="13"/>
      <c r="N81" s="16"/>
      <c r="P81" s="13"/>
      <c r="Q81" s="13"/>
      <c r="R81" s="13"/>
      <c r="S81" s="14"/>
      <c r="T81" s="15"/>
      <c r="V81" s="1" t="e">
        <f t="shared" si="8"/>
        <v>#VALUE!</v>
      </c>
      <c r="W81" s="1" t="e">
        <f t="shared" si="9"/>
        <v>#VALUE!</v>
      </c>
      <c r="X81" s="1">
        <v>1</v>
      </c>
    </row>
    <row r="82" spans="6:24">
      <c r="F82" s="10">
        <f t="shared" si="10"/>
        <v>78</v>
      </c>
      <c r="G82" s="13"/>
      <c r="H82" s="13"/>
      <c r="I82" s="13"/>
      <c r="J82" s="13"/>
      <c r="K82" s="13"/>
      <c r="L82" s="13"/>
      <c r="M82" s="13"/>
      <c r="N82" s="16"/>
      <c r="P82" s="13"/>
      <c r="Q82" s="13"/>
      <c r="R82" s="13"/>
      <c r="S82" s="14"/>
      <c r="T82" s="15"/>
      <c r="V82" s="1" t="e">
        <f t="shared" si="8"/>
        <v>#VALUE!</v>
      </c>
      <c r="W82" s="1" t="e">
        <f t="shared" si="9"/>
        <v>#VALUE!</v>
      </c>
      <c r="X82" s="1">
        <v>1</v>
      </c>
    </row>
    <row r="83" spans="6:24">
      <c r="F83" s="10">
        <f t="shared" si="10"/>
        <v>79</v>
      </c>
      <c r="G83" s="13"/>
      <c r="H83" s="13"/>
      <c r="I83" s="13"/>
      <c r="J83" s="13"/>
      <c r="K83" s="13"/>
      <c r="L83" s="13"/>
      <c r="M83" s="13"/>
      <c r="N83" s="16"/>
      <c r="P83" s="13"/>
      <c r="Q83" s="13"/>
      <c r="R83" s="13"/>
      <c r="S83" s="14"/>
      <c r="T83" s="15"/>
      <c r="V83" s="1" t="e">
        <f t="shared" si="8"/>
        <v>#VALUE!</v>
      </c>
      <c r="W83" s="1" t="e">
        <f t="shared" si="9"/>
        <v>#VALUE!</v>
      </c>
      <c r="X83" s="1">
        <v>1</v>
      </c>
    </row>
    <row r="84" spans="6:24">
      <c r="F84" s="10">
        <f t="shared" si="10"/>
        <v>80</v>
      </c>
      <c r="G84" s="13"/>
      <c r="H84" s="13"/>
      <c r="I84" s="13"/>
      <c r="J84" s="13"/>
      <c r="K84" s="13"/>
      <c r="L84" s="13"/>
      <c r="M84" s="13"/>
      <c r="N84" s="16"/>
      <c r="P84" s="13"/>
      <c r="Q84" s="13"/>
      <c r="R84" s="13"/>
      <c r="S84" s="14"/>
      <c r="T84" s="15"/>
      <c r="V84" s="1" t="e">
        <f t="shared" si="8"/>
        <v>#VALUE!</v>
      </c>
      <c r="W84" s="1" t="e">
        <f t="shared" si="9"/>
        <v>#VALUE!</v>
      </c>
      <c r="X84" s="1">
        <v>1</v>
      </c>
    </row>
    <row r="85" spans="6:24">
      <c r="F85" s="10">
        <f t="shared" si="10"/>
        <v>81</v>
      </c>
      <c r="G85" s="13"/>
      <c r="H85" s="13"/>
      <c r="I85" s="13"/>
      <c r="J85" s="13"/>
      <c r="K85" s="13"/>
      <c r="L85" s="13"/>
      <c r="M85" s="13"/>
      <c r="N85" s="16"/>
      <c r="P85" s="13"/>
      <c r="Q85" s="13"/>
      <c r="R85" s="13"/>
      <c r="S85" s="14"/>
      <c r="T85" s="15"/>
      <c r="V85" s="1" t="e">
        <f t="shared" si="8"/>
        <v>#VALUE!</v>
      </c>
      <c r="W85" s="1" t="e">
        <f t="shared" si="9"/>
        <v>#VALUE!</v>
      </c>
      <c r="X85" s="1">
        <v>1</v>
      </c>
    </row>
    <row r="86" spans="6:24">
      <c r="F86" s="10">
        <f t="shared" si="10"/>
        <v>82</v>
      </c>
      <c r="G86" s="13"/>
      <c r="H86" s="13"/>
      <c r="I86" s="13"/>
      <c r="J86" s="13"/>
      <c r="K86" s="13"/>
      <c r="L86" s="13"/>
      <c r="M86" s="13"/>
      <c r="N86" s="16"/>
      <c r="P86" s="13"/>
      <c r="Q86" s="13"/>
      <c r="R86" s="13"/>
      <c r="S86" s="14"/>
      <c r="T86" s="15"/>
      <c r="V86" s="1" t="e">
        <f t="shared" si="8"/>
        <v>#VALUE!</v>
      </c>
      <c r="W86" s="1" t="e">
        <f t="shared" si="9"/>
        <v>#VALUE!</v>
      </c>
      <c r="X86" s="1">
        <v>1</v>
      </c>
    </row>
    <row r="87" spans="6:24">
      <c r="F87" s="10">
        <f t="shared" si="10"/>
        <v>83</v>
      </c>
      <c r="G87" s="13"/>
      <c r="H87" s="13"/>
      <c r="I87" s="13"/>
      <c r="J87" s="13"/>
      <c r="K87" s="13"/>
      <c r="L87" s="13"/>
      <c r="M87" s="13"/>
      <c r="N87" s="16"/>
      <c r="P87" s="13"/>
      <c r="Q87" s="13"/>
      <c r="R87" s="13"/>
      <c r="S87" s="14"/>
      <c r="T87" s="15"/>
      <c r="V87" s="1" t="e">
        <f t="shared" si="8"/>
        <v>#VALUE!</v>
      </c>
      <c r="W87" s="1" t="e">
        <f t="shared" si="9"/>
        <v>#VALUE!</v>
      </c>
      <c r="X87" s="1">
        <v>1</v>
      </c>
    </row>
    <row r="88" spans="6:24" ht="16" thickBot="1">
      <c r="F88" s="10">
        <f t="shared" si="10"/>
        <v>84</v>
      </c>
      <c r="G88" s="18"/>
      <c r="H88" s="18"/>
      <c r="I88" s="18"/>
      <c r="J88" s="18"/>
      <c r="K88" s="13"/>
      <c r="L88" s="18"/>
      <c r="M88" s="18"/>
      <c r="N88" s="19"/>
      <c r="P88" s="18"/>
      <c r="Q88" s="18"/>
      <c r="R88" s="18"/>
      <c r="S88" s="20"/>
      <c r="T88" s="21"/>
      <c r="V88" s="1" t="e">
        <f t="shared" si="8"/>
        <v>#VALUE!</v>
      </c>
      <c r="W88" s="1" t="e">
        <f t="shared" si="9"/>
        <v>#VALUE!</v>
      </c>
      <c r="X88" s="1">
        <v>1</v>
      </c>
    </row>
    <row r="89" spans="6:24">
      <c r="F89" s="10">
        <f t="shared" si="10"/>
        <v>85</v>
      </c>
      <c r="K89" s="13"/>
    </row>
    <row r="90" spans="6:24">
      <c r="F90" s="10">
        <f t="shared" si="10"/>
        <v>86</v>
      </c>
      <c r="K90" s="13"/>
    </row>
    <row r="91" spans="6:24">
      <c r="F91" s="10">
        <f t="shared" si="10"/>
        <v>87</v>
      </c>
      <c r="K91" s="13"/>
    </row>
    <row r="92" spans="6:24">
      <c r="F92" s="10">
        <f t="shared" si="10"/>
        <v>88</v>
      </c>
      <c r="K92" s="13"/>
    </row>
    <row r="93" spans="6:24">
      <c r="F93" s="10">
        <f t="shared" si="10"/>
        <v>89</v>
      </c>
      <c r="K93" s="13"/>
    </row>
    <row r="94" spans="6:24">
      <c r="F94" s="10">
        <f t="shared" si="10"/>
        <v>90</v>
      </c>
      <c r="K94" s="13"/>
    </row>
    <row r="95" spans="6:24">
      <c r="F95" s="10">
        <f t="shared" si="10"/>
        <v>91</v>
      </c>
      <c r="K95" s="13"/>
    </row>
    <row r="96" spans="6:24">
      <c r="F96" s="10">
        <f t="shared" si="10"/>
        <v>92</v>
      </c>
      <c r="K96" s="13"/>
    </row>
    <row r="97" spans="6:11">
      <c r="F97" s="10">
        <f t="shared" si="10"/>
        <v>93</v>
      </c>
      <c r="K97" s="13"/>
    </row>
    <row r="98" spans="6:11">
      <c r="F98" s="10">
        <f t="shared" si="10"/>
        <v>94</v>
      </c>
      <c r="K98" s="13"/>
    </row>
    <row r="99" spans="6:11">
      <c r="F99" s="10">
        <f t="shared" si="10"/>
        <v>95</v>
      </c>
      <c r="K99" s="13"/>
    </row>
    <row r="100" spans="6:11">
      <c r="F100" s="10">
        <f t="shared" si="10"/>
        <v>96</v>
      </c>
      <c r="K100" s="13"/>
    </row>
    <row r="101" spans="6:11">
      <c r="F101" s="10">
        <f t="shared" si="10"/>
        <v>97</v>
      </c>
      <c r="K101" s="13"/>
    </row>
    <row r="102" spans="6:11">
      <c r="F102" s="10">
        <f t="shared" si="10"/>
        <v>98</v>
      </c>
      <c r="K102" s="13"/>
    </row>
    <row r="103" spans="6:11">
      <c r="F103" s="10">
        <f t="shared" si="10"/>
        <v>99</v>
      </c>
      <c r="K103" s="13"/>
    </row>
    <row r="104" spans="6:11">
      <c r="F104" s="10">
        <f t="shared" si="10"/>
        <v>100</v>
      </c>
      <c r="K104" s="13"/>
    </row>
    <row r="105" spans="6:11">
      <c r="F105" s="10">
        <f t="shared" si="10"/>
        <v>101</v>
      </c>
      <c r="K105" s="13"/>
    </row>
    <row r="106" spans="6:11">
      <c r="F106" s="10">
        <f t="shared" si="10"/>
        <v>102</v>
      </c>
      <c r="K106" s="13"/>
    </row>
    <row r="107" spans="6:11">
      <c r="F107" s="10">
        <f t="shared" si="10"/>
        <v>103</v>
      </c>
      <c r="K107" s="13"/>
    </row>
    <row r="108" spans="6:11">
      <c r="F108" s="10">
        <f t="shared" si="10"/>
        <v>104</v>
      </c>
      <c r="K108" s="13"/>
    </row>
    <row r="109" spans="6:11">
      <c r="F109" s="10">
        <f t="shared" si="10"/>
        <v>105</v>
      </c>
      <c r="K109" s="13"/>
    </row>
    <row r="110" spans="6:11">
      <c r="F110" s="10">
        <f t="shared" si="10"/>
        <v>106</v>
      </c>
      <c r="K110" s="13"/>
    </row>
    <row r="111" spans="6:11">
      <c r="F111" s="10">
        <f t="shared" si="10"/>
        <v>107</v>
      </c>
      <c r="K111" s="13"/>
    </row>
    <row r="112" spans="6:11">
      <c r="F112" s="10">
        <f t="shared" si="10"/>
        <v>108</v>
      </c>
      <c r="K112" s="13"/>
    </row>
    <row r="113" spans="6:11">
      <c r="F113" s="10">
        <f t="shared" si="10"/>
        <v>109</v>
      </c>
      <c r="K113" s="13"/>
    </row>
    <row r="114" spans="6:11">
      <c r="F114" s="10">
        <f t="shared" si="10"/>
        <v>110</v>
      </c>
      <c r="K114" s="13"/>
    </row>
    <row r="115" spans="6:11">
      <c r="F115" s="10">
        <f t="shared" si="10"/>
        <v>111</v>
      </c>
      <c r="K115" s="13"/>
    </row>
    <row r="116" spans="6:11">
      <c r="F116" s="10">
        <f t="shared" si="10"/>
        <v>112</v>
      </c>
      <c r="K116" s="13"/>
    </row>
    <row r="117" spans="6:11">
      <c r="F117" s="10">
        <f t="shared" si="10"/>
        <v>113</v>
      </c>
      <c r="K117" s="13"/>
    </row>
    <row r="118" spans="6:11">
      <c r="F118" s="10">
        <f t="shared" si="10"/>
        <v>114</v>
      </c>
      <c r="K118" s="13"/>
    </row>
    <row r="119" spans="6:11">
      <c r="F119" s="10">
        <f t="shared" si="10"/>
        <v>115</v>
      </c>
      <c r="K119" s="13"/>
    </row>
    <row r="120" spans="6:11">
      <c r="F120" s="10">
        <f t="shared" si="10"/>
        <v>116</v>
      </c>
      <c r="K120" s="13"/>
    </row>
    <row r="121" spans="6:11">
      <c r="F121" s="10">
        <f t="shared" si="10"/>
        <v>117</v>
      </c>
      <c r="K121" s="13"/>
    </row>
    <row r="122" spans="6:11">
      <c r="F122" s="10">
        <f t="shared" si="10"/>
        <v>118</v>
      </c>
      <c r="K122" s="13"/>
    </row>
    <row r="123" spans="6:11">
      <c r="F123" s="10">
        <f t="shared" si="10"/>
        <v>119</v>
      </c>
      <c r="K123" s="13"/>
    </row>
    <row r="124" spans="6:11">
      <c r="F124" s="10">
        <f t="shared" si="10"/>
        <v>120</v>
      </c>
      <c r="K124" s="13"/>
    </row>
    <row r="125" spans="6:11">
      <c r="F125" s="10">
        <f t="shared" si="10"/>
        <v>121</v>
      </c>
      <c r="K125" s="13"/>
    </row>
    <row r="126" spans="6:11">
      <c r="F126" s="10">
        <f t="shared" si="10"/>
        <v>122</v>
      </c>
      <c r="K126" s="13"/>
    </row>
    <row r="127" spans="6:11">
      <c r="F127" s="10">
        <f t="shared" si="10"/>
        <v>123</v>
      </c>
      <c r="K127" s="13"/>
    </row>
    <row r="128" spans="6:11">
      <c r="F128" s="10">
        <f t="shared" si="10"/>
        <v>124</v>
      </c>
      <c r="K128" s="13"/>
    </row>
    <row r="129" spans="6:11">
      <c r="F129" s="10">
        <f t="shared" si="10"/>
        <v>125</v>
      </c>
      <c r="K129" s="13"/>
    </row>
    <row r="130" spans="6:11">
      <c r="F130" s="10">
        <f t="shared" si="10"/>
        <v>126</v>
      </c>
      <c r="K130" s="13"/>
    </row>
    <row r="131" spans="6:11">
      <c r="F131" s="10">
        <f t="shared" si="10"/>
        <v>127</v>
      </c>
      <c r="K131" s="13"/>
    </row>
    <row r="132" spans="6:11">
      <c r="F132" s="10">
        <f t="shared" si="10"/>
        <v>128</v>
      </c>
      <c r="K132" s="13"/>
    </row>
    <row r="133" spans="6:11">
      <c r="F133" s="10">
        <f t="shared" si="10"/>
        <v>129</v>
      </c>
      <c r="K133" s="13"/>
    </row>
    <row r="134" spans="6:11">
      <c r="F134" s="10">
        <f t="shared" si="10"/>
        <v>130</v>
      </c>
      <c r="K134" s="13"/>
    </row>
    <row r="135" spans="6:11">
      <c r="F135" s="10">
        <f t="shared" ref="F135:F154" si="11">F134+1</f>
        <v>131</v>
      </c>
      <c r="K135" s="13"/>
    </row>
    <row r="136" spans="6:11">
      <c r="F136" s="10">
        <f t="shared" si="11"/>
        <v>132</v>
      </c>
      <c r="K136" s="13"/>
    </row>
    <row r="137" spans="6:11">
      <c r="F137" s="10">
        <f t="shared" si="11"/>
        <v>133</v>
      </c>
      <c r="K137" s="13"/>
    </row>
    <row r="138" spans="6:11">
      <c r="F138" s="10">
        <f t="shared" si="11"/>
        <v>134</v>
      </c>
      <c r="K138" s="13"/>
    </row>
    <row r="139" spans="6:11">
      <c r="F139" s="10">
        <f t="shared" si="11"/>
        <v>135</v>
      </c>
      <c r="K139" s="13"/>
    </row>
    <row r="140" spans="6:11">
      <c r="F140" s="10">
        <f t="shared" si="11"/>
        <v>136</v>
      </c>
      <c r="K140" s="13"/>
    </row>
    <row r="141" spans="6:11">
      <c r="F141" s="10">
        <f t="shared" si="11"/>
        <v>137</v>
      </c>
      <c r="K141" s="13"/>
    </row>
    <row r="142" spans="6:11">
      <c r="F142" s="10">
        <f t="shared" si="11"/>
        <v>138</v>
      </c>
      <c r="K142" s="13"/>
    </row>
    <row r="143" spans="6:11">
      <c r="F143" s="10">
        <f t="shared" si="11"/>
        <v>139</v>
      </c>
      <c r="K143" s="13"/>
    </row>
    <row r="144" spans="6:11">
      <c r="F144" s="10">
        <f t="shared" si="11"/>
        <v>140</v>
      </c>
      <c r="K144" s="13"/>
    </row>
    <row r="145" spans="6:11">
      <c r="F145" s="10">
        <f t="shared" si="11"/>
        <v>141</v>
      </c>
      <c r="K145" s="13"/>
    </row>
    <row r="146" spans="6:11">
      <c r="F146" s="10">
        <f t="shared" si="11"/>
        <v>142</v>
      </c>
      <c r="K146" s="13"/>
    </row>
    <row r="147" spans="6:11">
      <c r="F147" s="10">
        <f t="shared" si="11"/>
        <v>143</v>
      </c>
      <c r="K147" s="13"/>
    </row>
    <row r="148" spans="6:11">
      <c r="F148" s="10">
        <f t="shared" si="11"/>
        <v>144</v>
      </c>
      <c r="K148" s="13"/>
    </row>
    <row r="149" spans="6:11">
      <c r="F149" s="10">
        <f t="shared" si="11"/>
        <v>145</v>
      </c>
      <c r="K149" s="13"/>
    </row>
    <row r="150" spans="6:11">
      <c r="F150" s="10">
        <f t="shared" si="11"/>
        <v>146</v>
      </c>
      <c r="K150" s="13"/>
    </row>
    <row r="151" spans="6:11">
      <c r="F151" s="10">
        <f t="shared" si="11"/>
        <v>147</v>
      </c>
      <c r="K151" s="13"/>
    </row>
    <row r="152" spans="6:11">
      <c r="F152" s="10">
        <f t="shared" si="11"/>
        <v>148</v>
      </c>
      <c r="K152" s="13"/>
    </row>
    <row r="153" spans="6:11">
      <c r="F153" s="10">
        <f t="shared" si="11"/>
        <v>149</v>
      </c>
      <c r="K153" s="13"/>
    </row>
    <row r="154" spans="6:11" ht="16" thickBot="1">
      <c r="F154" s="17">
        <f t="shared" si="11"/>
        <v>150</v>
      </c>
      <c r="K154" s="13"/>
    </row>
    <row r="155" spans="6:11">
      <c r="K155" s="13"/>
    </row>
    <row r="156" spans="6:11">
      <c r="K156" s="13"/>
    </row>
    <row r="157" spans="6:11">
      <c r="K157" s="13"/>
    </row>
    <row r="158" spans="6:11">
      <c r="K158" s="13"/>
    </row>
    <row r="159" spans="6:11">
      <c r="K159" s="13"/>
    </row>
    <row r="160" spans="6:11">
      <c r="K160" s="13"/>
    </row>
    <row r="161" spans="11:11">
      <c r="K161" s="13"/>
    </row>
    <row r="162" spans="11:11">
      <c r="K162" s="13"/>
    </row>
    <row r="163" spans="11:11">
      <c r="K163" s="13"/>
    </row>
    <row r="164" spans="11:11">
      <c r="K164" s="13"/>
    </row>
    <row r="165" spans="11:11">
      <c r="K165" s="13"/>
    </row>
    <row r="166" spans="11:11">
      <c r="K166" s="13"/>
    </row>
    <row r="167" spans="11:11">
      <c r="K167" s="13"/>
    </row>
    <row r="168" spans="11:11">
      <c r="K168" s="13"/>
    </row>
    <row r="169" spans="11:11">
      <c r="K169" s="13"/>
    </row>
  </sheetData>
  <mergeCells count="1">
    <mergeCell ref="F3:G3"/>
  </mergeCells>
  <phoneticPr fontId="2" type="noConversion"/>
  <dataValidations count="1">
    <dataValidation type="list" showInputMessage="1" showErrorMessage="1" sqref="C23" xr:uid="{00000000-0002-0000-0000-000000000000}">
      <formula1>Weighting_Scheme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Run">
                <anchor moveWithCells="1" sizeWithCells="1">
                  <from>
                    <xdr:col>3</xdr:col>
                    <xdr:colOff>120650</xdr:colOff>
                    <xdr:row>16</xdr:row>
                    <xdr:rowOff>25400</xdr:rowOff>
                  </from>
                  <to>
                    <xdr:col>4</xdr:col>
                    <xdr:colOff>374650</xdr:colOff>
                    <xdr:row>17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OutputP">
                <anchor moveWithCells="1" sizeWithCells="1">
                  <from>
                    <xdr:col>3</xdr:col>
                    <xdr:colOff>114300</xdr:colOff>
                    <xdr:row>24</xdr:row>
                    <xdr:rowOff>69850</xdr:rowOff>
                  </from>
                  <to>
                    <xdr:col>4</xdr:col>
                    <xdr:colOff>381000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Run_recal">
                <anchor moveWithCells="1" sizeWithCells="1">
                  <from>
                    <xdr:col>3</xdr:col>
                    <xdr:colOff>139700</xdr:colOff>
                    <xdr:row>18</xdr:row>
                    <xdr:rowOff>88900</xdr:rowOff>
                  </from>
                  <to>
                    <xdr:col>4</xdr:col>
                    <xdr:colOff>361950</xdr:colOff>
                    <xdr:row>20</xdr:row>
                    <xdr:rowOff>120650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E34E2-8B43-4C1D-BE65-20DD1A8D0174}">
  <dimension ref="A1:P38"/>
  <sheetViews>
    <sheetView topLeftCell="A15" workbookViewId="0">
      <selection activeCell="L3" sqref="L3:L37"/>
    </sheetView>
  </sheetViews>
  <sheetFormatPr defaultRowHeight="14.5"/>
  <cols>
    <col min="1" max="1" width="6.1796875" style="24" bestFit="1" customWidth="1"/>
    <col min="2" max="2" width="19.1796875" style="24" bestFit="1" customWidth="1"/>
    <col min="3" max="3" width="4.54296875" style="24" bestFit="1" customWidth="1"/>
    <col min="4" max="5" width="12" style="24" bestFit="1" customWidth="1"/>
    <col min="6" max="6" width="5.7265625" style="24" bestFit="1" customWidth="1"/>
    <col min="7" max="8" width="12" style="24" bestFit="1" customWidth="1"/>
    <col min="9" max="9" width="6.1796875" style="24" bestFit="1" customWidth="1"/>
    <col min="10" max="12" width="12" style="24" bestFit="1" customWidth="1"/>
    <col min="13" max="13" width="8.7265625" style="24"/>
    <col min="14" max="14" width="4" style="24" bestFit="1" customWidth="1"/>
    <col min="15" max="15" width="12" style="24" bestFit="1" customWidth="1"/>
    <col min="16" max="16" width="86.54296875" style="24" bestFit="1" customWidth="1"/>
    <col min="17" max="16384" width="8.7265625" style="24"/>
  </cols>
  <sheetData>
    <row r="1" spans="1:16">
      <c r="A1" s="26" t="s">
        <v>61</v>
      </c>
      <c r="B1" s="26" t="s">
        <v>62</v>
      </c>
      <c r="C1" s="26" t="s">
        <v>63</v>
      </c>
      <c r="D1" s="26" t="s">
        <v>64</v>
      </c>
      <c r="E1" s="26" t="s">
        <v>65</v>
      </c>
      <c r="F1" s="26" t="s">
        <v>66</v>
      </c>
      <c r="G1" s="26" t="s">
        <v>67</v>
      </c>
      <c r="H1" s="26" t="s">
        <v>68</v>
      </c>
      <c r="I1" s="26" t="s">
        <v>61</v>
      </c>
      <c r="J1" s="26" t="s">
        <v>51</v>
      </c>
      <c r="K1" s="26" t="s">
        <v>52</v>
      </c>
      <c r="L1" s="26" t="s">
        <v>69</v>
      </c>
      <c r="N1" s="27" t="s">
        <v>70</v>
      </c>
      <c r="O1" s="28">
        <v>3160.33</v>
      </c>
      <c r="P1" s="29" t="s">
        <v>71</v>
      </c>
    </row>
    <row r="2" spans="1:16">
      <c r="A2" s="37" t="s">
        <v>72</v>
      </c>
      <c r="B2" s="37"/>
      <c r="C2" s="37"/>
      <c r="D2" s="37"/>
      <c r="E2" s="37"/>
      <c r="F2" s="37"/>
      <c r="G2" s="37"/>
      <c r="H2" s="37"/>
      <c r="N2" s="30" t="s">
        <v>57</v>
      </c>
      <c r="O2" s="31">
        <v>-6.1900000000000002E-3</v>
      </c>
      <c r="P2" s="24" t="s">
        <v>73</v>
      </c>
    </row>
    <row r="3" spans="1:16" ht="15" thickBot="1">
      <c r="A3" s="24">
        <v>2450</v>
      </c>
      <c r="B3" s="24" t="s">
        <v>74</v>
      </c>
      <c r="D3" s="24">
        <v>0</v>
      </c>
      <c r="E3" s="24">
        <v>18.909511566162099</v>
      </c>
      <c r="F3" s="24">
        <v>0</v>
      </c>
      <c r="G3" s="24">
        <v>0.73145377635955799</v>
      </c>
      <c r="H3" s="24">
        <v>0</v>
      </c>
      <c r="I3" s="24">
        <f>VALUE(MID($B3,FIND("C",$B3)+1,LEN($B3)-FIND("C",$B3)))</f>
        <v>2450</v>
      </c>
      <c r="J3" s="24">
        <f>(LN($O$1/$I3)+($O$2-0.5*($E3/100)^2)*$O$3)/(($E3/100)*SQRT($O$3))</f>
        <v>0.73050624646136653</v>
      </c>
      <c r="K3" s="24">
        <f>J3+($E3/100)*SQRT($O$3)</f>
        <v>1.0080415926991075</v>
      </c>
      <c r="L3" s="24">
        <f>$O$1*_xlfn.NORM.S.DIST($K3,1)-$I3*EXP(-$O$2*$O$3)*_xlfn.NORM.S.DIST($J3,1)</f>
        <v>759.53589635167714</v>
      </c>
      <c r="N3" s="32" t="s">
        <v>58</v>
      </c>
      <c r="O3" s="33">
        <f>NETWORKDAYS($O$4,$O$5)/$O$6</f>
        <v>2.1541501976284585</v>
      </c>
    </row>
    <row r="4" spans="1:16">
      <c r="A4" s="24">
        <v>2500</v>
      </c>
      <c r="B4" s="24" t="s">
        <v>75</v>
      </c>
      <c r="D4" s="24">
        <v>0</v>
      </c>
      <c r="E4" s="24">
        <v>18.600872039794901</v>
      </c>
      <c r="F4" s="24">
        <v>0</v>
      </c>
      <c r="G4" s="24">
        <v>0.71295690536499001</v>
      </c>
      <c r="H4" s="24">
        <v>0</v>
      </c>
      <c r="I4" s="24">
        <f t="shared" ref="I4:I37" si="0">VALUE(MID($B4,FIND("C",$B4)+1,LEN($B4)-FIND("C",$B4)))</f>
        <v>2500</v>
      </c>
      <c r="J4" s="24">
        <f t="shared" ref="J4:J37" si="1">(LN($O$1/$I4)+($O$2-0.5*($E4/100)^2)*$O$3)/(($E4/100)*SQRT($O$3))</f>
        <v>0.67319372451731663</v>
      </c>
      <c r="K4" s="24">
        <f t="shared" ref="K4:K37" si="2">J4+($E4/100)*SQRT($O$3)</f>
        <v>0.94619916116361913</v>
      </c>
      <c r="L4" s="24">
        <f t="shared" ref="L4:L37" si="3">$O$1*_xlfn.NORM.S.DIST($K4,1)-$I4*EXP(-$O$2*$O$3)*_xlfn.NORM.S.DIST($J4,1)</f>
        <v>717.55380650367056</v>
      </c>
      <c r="O4" s="34">
        <v>43423</v>
      </c>
    </row>
    <row r="5" spans="1:16">
      <c r="A5" s="24">
        <v>2550</v>
      </c>
      <c r="B5" s="24" t="s">
        <v>76</v>
      </c>
      <c r="D5" s="24">
        <v>0</v>
      </c>
      <c r="E5" s="24">
        <v>18.2383632659912</v>
      </c>
      <c r="F5" s="24">
        <v>0</v>
      </c>
      <c r="G5" s="24">
        <v>0.69369614124298096</v>
      </c>
      <c r="H5" s="24">
        <v>0</v>
      </c>
      <c r="I5" s="24">
        <f t="shared" si="0"/>
        <v>2550</v>
      </c>
      <c r="J5" s="24">
        <f t="shared" si="1"/>
        <v>0.61797027938958038</v>
      </c>
      <c r="K5" s="24">
        <f t="shared" si="2"/>
        <v>0.88565516623216056</v>
      </c>
      <c r="L5" s="24">
        <f t="shared" si="3"/>
        <v>675.61109881364791</v>
      </c>
      <c r="O5" s="34">
        <v>44183</v>
      </c>
    </row>
    <row r="6" spans="1:16">
      <c r="A6" s="24">
        <v>2600</v>
      </c>
      <c r="B6" s="24" t="s">
        <v>77</v>
      </c>
      <c r="D6" s="24">
        <v>0</v>
      </c>
      <c r="E6" s="24">
        <v>17.8392848968506</v>
      </c>
      <c r="F6" s="24">
        <v>0</v>
      </c>
      <c r="G6" s="24">
        <v>0.67345333099365201</v>
      </c>
      <c r="H6" s="24">
        <v>0</v>
      </c>
      <c r="I6" s="24">
        <f t="shared" si="0"/>
        <v>2600</v>
      </c>
      <c r="J6" s="24">
        <f t="shared" si="1"/>
        <v>0.56355391190664106</v>
      </c>
      <c r="K6" s="24">
        <f t="shared" si="2"/>
        <v>0.82538151613417865</v>
      </c>
      <c r="L6" s="24">
        <f t="shared" si="3"/>
        <v>633.87173540235312</v>
      </c>
      <c r="O6" s="35">
        <v>253</v>
      </c>
    </row>
    <row r="7" spans="1:16">
      <c r="A7" s="24">
        <v>2650</v>
      </c>
      <c r="B7" s="24" t="s">
        <v>78</v>
      </c>
      <c r="D7" s="24">
        <v>0</v>
      </c>
      <c r="E7" s="24">
        <v>17.5123195648193</v>
      </c>
      <c r="F7" s="24">
        <v>0</v>
      </c>
      <c r="G7" s="24">
        <v>0.65156388282775901</v>
      </c>
      <c r="H7" s="24">
        <v>0</v>
      </c>
      <c r="I7" s="24">
        <f t="shared" si="0"/>
        <v>2650</v>
      </c>
      <c r="J7" s="24">
        <f t="shared" si="1"/>
        <v>0.50481026599146339</v>
      </c>
      <c r="K7" s="24">
        <f t="shared" si="2"/>
        <v>0.76183899234658514</v>
      </c>
      <c r="L7" s="24">
        <f t="shared" si="3"/>
        <v>593.81473869861907</v>
      </c>
    </row>
    <row r="8" spans="1:16">
      <c r="A8" s="24">
        <v>2700</v>
      </c>
      <c r="B8" s="24" t="s">
        <v>79</v>
      </c>
      <c r="D8" s="24">
        <v>0</v>
      </c>
      <c r="E8" s="24">
        <v>17.2548522949219</v>
      </c>
      <c r="F8" s="24">
        <v>0</v>
      </c>
      <c r="G8" s="24">
        <v>0.62821799516677901</v>
      </c>
      <c r="H8" s="24">
        <v>0</v>
      </c>
      <c r="I8" s="24">
        <f t="shared" si="0"/>
        <v>2700</v>
      </c>
      <c r="J8" s="24">
        <f t="shared" si="1"/>
        <v>0.44234075719655636</v>
      </c>
      <c r="K8" s="24">
        <f t="shared" si="2"/>
        <v>0.69559063037263946</v>
      </c>
      <c r="L8" s="24">
        <f t="shared" si="3"/>
        <v>555.5996579229602</v>
      </c>
    </row>
    <row r="9" spans="1:16">
      <c r="A9" s="24">
        <v>2750</v>
      </c>
      <c r="B9" s="24" t="s">
        <v>80</v>
      </c>
      <c r="D9" s="24">
        <v>0</v>
      </c>
      <c r="E9" s="24">
        <v>16.959486007690401</v>
      </c>
      <c r="F9" s="24">
        <v>0</v>
      </c>
      <c r="G9" s="24">
        <v>0.60397320985794101</v>
      </c>
      <c r="H9" s="24">
        <v>0</v>
      </c>
      <c r="I9" s="24">
        <f t="shared" si="0"/>
        <v>2750</v>
      </c>
      <c r="J9" s="24">
        <f t="shared" si="1"/>
        <v>0.38070085785074975</v>
      </c>
      <c r="K9" s="24">
        <f t="shared" si="2"/>
        <v>0.62961563307853685</v>
      </c>
      <c r="L9" s="24">
        <f t="shared" si="3"/>
        <v>517.78632992265307</v>
      </c>
    </row>
    <row r="10" spans="1:16">
      <c r="A10" s="24">
        <v>2800</v>
      </c>
      <c r="B10" s="24" t="s">
        <v>81</v>
      </c>
      <c r="D10" s="24">
        <v>0</v>
      </c>
      <c r="E10" s="24">
        <v>16.679763793945298</v>
      </c>
      <c r="F10" s="24">
        <v>0</v>
      </c>
      <c r="G10" s="24">
        <v>0.57865118980407704</v>
      </c>
      <c r="H10" s="24">
        <v>0</v>
      </c>
      <c r="I10" s="24">
        <f t="shared" si="0"/>
        <v>2800</v>
      </c>
      <c r="J10" s="24">
        <f t="shared" si="1"/>
        <v>0.31762297009620327</v>
      </c>
      <c r="K10" s="24">
        <f t="shared" si="2"/>
        <v>0.56243225581039258</v>
      </c>
      <c r="L10" s="24">
        <f t="shared" si="3"/>
        <v>481.19998882793448</v>
      </c>
    </row>
    <row r="11" spans="1:16">
      <c r="A11" s="24">
        <v>2850</v>
      </c>
      <c r="B11" s="24" t="s">
        <v>82</v>
      </c>
      <c r="D11" s="24">
        <v>0</v>
      </c>
      <c r="E11" s="24">
        <v>16.414182662963899</v>
      </c>
      <c r="F11" s="24">
        <v>0</v>
      </c>
      <c r="G11" s="24">
        <v>0.55237048864364602</v>
      </c>
      <c r="H11" s="24">
        <v>0</v>
      </c>
      <c r="I11" s="24">
        <f t="shared" si="0"/>
        <v>2850</v>
      </c>
      <c r="J11" s="24">
        <f t="shared" si="1"/>
        <v>0.25322232270141615</v>
      </c>
      <c r="K11" s="24">
        <f t="shared" si="2"/>
        <v>0.49413366790650037</v>
      </c>
      <c r="L11" s="24">
        <f t="shared" si="3"/>
        <v>445.89796209812175</v>
      </c>
    </row>
    <row r="12" spans="1:16">
      <c r="A12" s="24">
        <v>2900</v>
      </c>
      <c r="B12" s="24" t="s">
        <v>83</v>
      </c>
      <c r="D12" s="24">
        <v>0</v>
      </c>
      <c r="E12" s="24">
        <v>16.1111354827881</v>
      </c>
      <c r="F12" s="24">
        <v>0</v>
      </c>
      <c r="G12" s="24">
        <v>0.525188207626343</v>
      </c>
      <c r="H12" s="24">
        <v>0</v>
      </c>
      <c r="I12" s="24">
        <f t="shared" si="0"/>
        <v>2900</v>
      </c>
      <c r="J12" s="24">
        <f t="shared" si="1"/>
        <v>0.18892567427598475</v>
      </c>
      <c r="K12" s="24">
        <f t="shared" si="2"/>
        <v>0.42538918888628163</v>
      </c>
      <c r="L12" s="24">
        <f t="shared" si="3"/>
        <v>411.08397046273558</v>
      </c>
    </row>
    <row r="13" spans="1:16">
      <c r="A13" s="24">
        <v>2950</v>
      </c>
      <c r="B13" s="24" t="s">
        <v>84</v>
      </c>
      <c r="D13" s="24">
        <v>0</v>
      </c>
      <c r="E13" s="24">
        <v>15.875913619995099</v>
      </c>
      <c r="F13" s="24">
        <v>0</v>
      </c>
      <c r="G13" s="24">
        <v>0.49735099077224698</v>
      </c>
      <c r="H13" s="24">
        <v>0</v>
      </c>
      <c r="I13" s="24">
        <f t="shared" si="0"/>
        <v>2950</v>
      </c>
      <c r="J13" s="24">
        <f t="shared" si="1"/>
        <v>0.12183962730062627</v>
      </c>
      <c r="K13" s="24">
        <f t="shared" si="2"/>
        <v>0.3548507850954376</v>
      </c>
      <c r="L13" s="24">
        <f t="shared" si="3"/>
        <v>378.58627527898534</v>
      </c>
    </row>
    <row r="14" spans="1:16">
      <c r="A14" s="24">
        <v>3000</v>
      </c>
      <c r="B14" s="24" t="s">
        <v>85</v>
      </c>
      <c r="D14" s="24">
        <v>236.69999694824199</v>
      </c>
      <c r="E14" s="24">
        <v>15.657645225524901</v>
      </c>
      <c r="F14" s="24">
        <v>220</v>
      </c>
      <c r="G14" s="24">
        <v>0.469063520431519</v>
      </c>
      <c r="H14" s="24">
        <v>16.935939788818398</v>
      </c>
      <c r="I14" s="24">
        <f t="shared" si="0"/>
        <v>3000</v>
      </c>
      <c r="J14" s="24">
        <f t="shared" si="1"/>
        <v>5.3628338881433681E-2</v>
      </c>
      <c r="K14" s="24">
        <f t="shared" si="2"/>
        <v>0.28343596631428458</v>
      </c>
      <c r="L14" s="24">
        <f t="shared" si="3"/>
        <v>347.64094533550656</v>
      </c>
    </row>
    <row r="15" spans="1:16">
      <c r="A15" s="24">
        <v>3050</v>
      </c>
      <c r="B15" s="24" t="s">
        <v>86</v>
      </c>
      <c r="D15" s="24">
        <v>0</v>
      </c>
      <c r="E15" s="24">
        <v>15.458104133606</v>
      </c>
      <c r="F15" s="24">
        <v>0</v>
      </c>
      <c r="G15" s="24">
        <v>0.440561473369598</v>
      </c>
      <c r="H15" s="24">
        <v>0</v>
      </c>
      <c r="I15" s="24">
        <f t="shared" si="0"/>
        <v>3050</v>
      </c>
      <c r="J15" s="24">
        <f t="shared" si="1"/>
        <v>-1.5586983768828878E-2</v>
      </c>
      <c r="K15" s="24">
        <f t="shared" si="2"/>
        <v>0.21129197436230038</v>
      </c>
      <c r="L15" s="24">
        <f t="shared" si="3"/>
        <v>318.33951632772005</v>
      </c>
    </row>
    <row r="16" spans="1:16">
      <c r="A16" s="24">
        <v>3100</v>
      </c>
      <c r="B16" s="24" t="s">
        <v>87</v>
      </c>
      <c r="D16" s="24">
        <v>0</v>
      </c>
      <c r="E16" s="24">
        <v>15.262087821960399</v>
      </c>
      <c r="F16" s="24">
        <v>0</v>
      </c>
      <c r="G16" s="24">
        <v>0.41195842623710599</v>
      </c>
      <c r="H16" s="24">
        <v>0</v>
      </c>
      <c r="I16" s="24">
        <f t="shared" si="0"/>
        <v>3100</v>
      </c>
      <c r="J16" s="24">
        <f t="shared" si="1"/>
        <v>-8.548271780306918E-2</v>
      </c>
      <c r="K16" s="24">
        <f t="shared" si="2"/>
        <v>0.1385193043093553</v>
      </c>
      <c r="L16" s="24">
        <f t="shared" si="3"/>
        <v>290.45239998072907</v>
      </c>
    </row>
    <row r="17" spans="1:12">
      <c r="A17" s="24">
        <v>3150</v>
      </c>
      <c r="B17" s="24" t="s">
        <v>88</v>
      </c>
      <c r="D17" s="24">
        <v>0</v>
      </c>
      <c r="E17" s="24">
        <v>15.0788125991821</v>
      </c>
      <c r="F17" s="24">
        <v>0</v>
      </c>
      <c r="G17" s="24">
        <v>0.38352248072624201</v>
      </c>
      <c r="H17" s="24">
        <v>0</v>
      </c>
      <c r="I17" s="24">
        <f t="shared" si="0"/>
        <v>3150</v>
      </c>
      <c r="J17" s="24">
        <f t="shared" si="1"/>
        <v>-0.15611307295679033</v>
      </c>
      <c r="K17" s="24">
        <f t="shared" si="2"/>
        <v>6.5199014398059779E-2</v>
      </c>
      <c r="L17" s="24">
        <f t="shared" si="3"/>
        <v>264.17818385116766</v>
      </c>
    </row>
    <row r="18" spans="1:12">
      <c r="A18" s="24">
        <v>3200</v>
      </c>
      <c r="B18" s="24" t="s">
        <v>89</v>
      </c>
      <c r="D18" s="24">
        <v>161.5</v>
      </c>
      <c r="E18" s="24">
        <v>14.909518241882299</v>
      </c>
      <c r="F18" s="24">
        <v>40</v>
      </c>
      <c r="G18" s="24">
        <v>0.35549145936965898</v>
      </c>
      <c r="H18" s="24">
        <v>16.5022163391113</v>
      </c>
      <c r="I18" s="24">
        <f t="shared" si="0"/>
        <v>3200</v>
      </c>
      <c r="J18" s="24">
        <f t="shared" si="1"/>
        <v>-0.22735390048894311</v>
      </c>
      <c r="K18" s="24">
        <f t="shared" si="2"/>
        <v>-8.5265504000398562E-3</v>
      </c>
      <c r="L18" s="24">
        <f t="shared" si="3"/>
        <v>239.56244007135751</v>
      </c>
    </row>
    <row r="19" spans="1:12">
      <c r="A19" s="24">
        <v>3250</v>
      </c>
      <c r="B19" s="24" t="s">
        <v>90</v>
      </c>
      <c r="D19" s="24">
        <v>0</v>
      </c>
      <c r="E19" s="24">
        <v>14.7532873153687</v>
      </c>
      <c r="F19" s="24">
        <v>0</v>
      </c>
      <c r="G19" s="24">
        <v>0.32807600498199502</v>
      </c>
      <c r="H19" s="24">
        <v>0</v>
      </c>
      <c r="I19" s="24">
        <f t="shared" si="0"/>
        <v>3250</v>
      </c>
      <c r="J19" s="24">
        <f t="shared" si="1"/>
        <v>-0.29905784605475422</v>
      </c>
      <c r="K19" s="24">
        <f t="shared" si="2"/>
        <v>-8.2523500950738321E-2</v>
      </c>
      <c r="L19" s="24">
        <f t="shared" si="3"/>
        <v>216.59757554746125</v>
      </c>
    </row>
    <row r="20" spans="1:12">
      <c r="A20" s="24">
        <v>3300</v>
      </c>
      <c r="B20" s="24" t="s">
        <v>91</v>
      </c>
      <c r="D20" s="24">
        <v>0</v>
      </c>
      <c r="E20" s="24">
        <v>14.606701850891101</v>
      </c>
      <c r="F20" s="24">
        <v>5500</v>
      </c>
      <c r="G20" s="24">
        <v>0.30143028497695901</v>
      </c>
      <c r="H20" s="24">
        <v>0</v>
      </c>
      <c r="I20" s="24">
        <f t="shared" si="0"/>
        <v>3300</v>
      </c>
      <c r="J20" s="24">
        <f t="shared" si="1"/>
        <v>-0.37111270773597954</v>
      </c>
      <c r="K20" s="24">
        <f t="shared" si="2"/>
        <v>-0.15672980094357034</v>
      </c>
      <c r="L20" s="24">
        <f t="shared" si="3"/>
        <v>195.21648059165591</v>
      </c>
    </row>
    <row r="21" spans="1:12">
      <c r="A21" s="24">
        <v>3350</v>
      </c>
      <c r="B21" s="24" t="s">
        <v>92</v>
      </c>
      <c r="D21" s="24">
        <v>0</v>
      </c>
      <c r="E21" s="24">
        <v>14.459805488586399</v>
      </c>
      <c r="F21" s="24">
        <v>0</v>
      </c>
      <c r="G21" s="24">
        <v>0.27556470036506597</v>
      </c>
      <c r="H21" s="24">
        <v>0</v>
      </c>
      <c r="I21" s="24">
        <f t="shared" si="0"/>
        <v>3350</v>
      </c>
      <c r="J21" s="24">
        <f t="shared" si="1"/>
        <v>-0.44357341279875895</v>
      </c>
      <c r="K21" s="24">
        <f t="shared" si="2"/>
        <v>-0.23134650737268087</v>
      </c>
      <c r="L21" s="24">
        <f t="shared" si="3"/>
        <v>175.22380840487995</v>
      </c>
    </row>
    <row r="22" spans="1:12">
      <c r="A22" s="24">
        <v>3400</v>
      </c>
      <c r="B22" s="24" t="s">
        <v>93</v>
      </c>
      <c r="D22" s="24">
        <v>0</v>
      </c>
      <c r="E22" s="24">
        <v>14.3336896896362</v>
      </c>
      <c r="F22" s="24">
        <v>0</v>
      </c>
      <c r="G22" s="24">
        <v>0.25097391009330799</v>
      </c>
      <c r="H22" s="24">
        <v>0</v>
      </c>
      <c r="I22" s="24">
        <f t="shared" si="0"/>
        <v>3400</v>
      </c>
      <c r="J22" s="24">
        <f t="shared" si="1"/>
        <v>-0.51603904345338503</v>
      </c>
      <c r="K22" s="24">
        <f t="shared" si="2"/>
        <v>-0.30566314257627303</v>
      </c>
      <c r="L22" s="24">
        <f t="shared" si="3"/>
        <v>156.97490685440675</v>
      </c>
    </row>
    <row r="23" spans="1:12">
      <c r="A23" s="24">
        <v>3450</v>
      </c>
      <c r="B23" s="24" t="s">
        <v>94</v>
      </c>
      <c r="D23" s="24">
        <v>80.5</v>
      </c>
      <c r="E23" s="24">
        <v>14.215349197387701</v>
      </c>
      <c r="F23" s="24">
        <v>1</v>
      </c>
      <c r="G23" s="24">
        <v>0.22758448123931899</v>
      </c>
      <c r="H23" s="24">
        <v>13.444928169250501</v>
      </c>
      <c r="I23" s="24">
        <f t="shared" si="0"/>
        <v>3450</v>
      </c>
      <c r="J23" s="24">
        <f t="shared" si="1"/>
        <v>-0.58856243952875098</v>
      </c>
      <c r="K23" s="24">
        <f t="shared" si="2"/>
        <v>-0.3799234248411747</v>
      </c>
      <c r="L23" s="24">
        <f t="shared" si="3"/>
        <v>140.19458433405543</v>
      </c>
    </row>
    <row r="24" spans="1:12">
      <c r="A24" s="24">
        <v>3500</v>
      </c>
      <c r="B24" s="24" t="s">
        <v>95</v>
      </c>
      <c r="D24" s="24">
        <v>0</v>
      </c>
      <c r="E24" s="24">
        <v>14.097882270813001</v>
      </c>
      <c r="F24" s="24">
        <v>0</v>
      </c>
      <c r="G24" s="24">
        <v>0.20536629855632799</v>
      </c>
      <c r="H24" s="24">
        <v>0</v>
      </c>
      <c r="I24" s="24">
        <f t="shared" si="0"/>
        <v>3500</v>
      </c>
      <c r="J24" s="24">
        <f t="shared" si="1"/>
        <v>-0.66127461563863277</v>
      </c>
      <c r="K24" s="24">
        <f t="shared" si="2"/>
        <v>-0.45435966579664089</v>
      </c>
      <c r="L24" s="24">
        <f t="shared" si="3"/>
        <v>124.72063692444817</v>
      </c>
    </row>
    <row r="25" spans="1:12">
      <c r="A25" s="24">
        <v>3550</v>
      </c>
      <c r="B25" s="24" t="s">
        <v>96</v>
      </c>
      <c r="D25" s="24">
        <v>0</v>
      </c>
      <c r="E25" s="24">
        <v>13.9892587661743</v>
      </c>
      <c r="F25" s="24">
        <v>0</v>
      </c>
      <c r="G25" s="24">
        <v>0.18454222381115001</v>
      </c>
      <c r="H25" s="24">
        <v>0</v>
      </c>
      <c r="I25" s="24">
        <f t="shared" si="0"/>
        <v>3550</v>
      </c>
      <c r="J25" s="24">
        <f t="shared" si="1"/>
        <v>-0.73389407947194552</v>
      </c>
      <c r="K25" s="24">
        <f t="shared" si="2"/>
        <v>-0.52857339936367886</v>
      </c>
      <c r="L25" s="24">
        <f t="shared" si="3"/>
        <v>110.6380875115052</v>
      </c>
    </row>
    <row r="26" spans="1:12">
      <c r="A26" s="24">
        <v>3600</v>
      </c>
      <c r="B26" s="24" t="s">
        <v>97</v>
      </c>
      <c r="D26" s="24">
        <v>0</v>
      </c>
      <c r="E26" s="24">
        <v>13.8927326202393</v>
      </c>
      <c r="F26" s="24">
        <v>0</v>
      </c>
      <c r="G26" s="24">
        <v>0.16523134708404499</v>
      </c>
      <c r="H26" s="24">
        <v>0</v>
      </c>
      <c r="I26" s="24">
        <f t="shared" si="0"/>
        <v>3600</v>
      </c>
      <c r="J26" s="24">
        <f t="shared" si="1"/>
        <v>-0.80616380842855351</v>
      </c>
      <c r="K26" s="24">
        <f t="shared" si="2"/>
        <v>-0.6022598448356411</v>
      </c>
      <c r="L26" s="24">
        <f t="shared" si="3"/>
        <v>97.933260241757921</v>
      </c>
    </row>
    <row r="27" spans="1:12">
      <c r="A27" s="24">
        <v>3650</v>
      </c>
      <c r="B27" s="24" t="s">
        <v>98</v>
      </c>
      <c r="D27" s="24">
        <v>0</v>
      </c>
      <c r="E27" s="24">
        <v>13.802905082702599</v>
      </c>
      <c r="F27" s="24">
        <v>0</v>
      </c>
      <c r="G27" s="24">
        <v>0.14735607802867901</v>
      </c>
      <c r="H27" s="24">
        <v>0</v>
      </c>
      <c r="I27" s="24">
        <f t="shared" si="0"/>
        <v>3650</v>
      </c>
      <c r="J27" s="24">
        <f t="shared" si="1"/>
        <v>-0.87817393066216953</v>
      </c>
      <c r="K27" s="24">
        <f t="shared" si="2"/>
        <v>-0.67558836795151711</v>
      </c>
      <c r="L27" s="24">
        <f t="shared" si="3"/>
        <v>86.449053293556062</v>
      </c>
    </row>
    <row r="28" spans="1:12">
      <c r="A28" s="24">
        <v>3700</v>
      </c>
      <c r="B28" s="24" t="s">
        <v>99</v>
      </c>
      <c r="D28" s="24">
        <v>0</v>
      </c>
      <c r="E28" s="24">
        <v>13.7285318374634</v>
      </c>
      <c r="F28" s="24">
        <v>0</v>
      </c>
      <c r="G28" s="24">
        <v>0.13108772039413399</v>
      </c>
      <c r="H28" s="24">
        <v>0</v>
      </c>
      <c r="I28" s="24">
        <f t="shared" si="0"/>
        <v>3700</v>
      </c>
      <c r="J28" s="24">
        <f t="shared" si="1"/>
        <v>-0.94936069661119815</v>
      </c>
      <c r="K28" s="24">
        <f t="shared" si="2"/>
        <v>-0.74786671177108266</v>
      </c>
      <c r="L28" s="24">
        <f t="shared" si="3"/>
        <v>76.2363771440248</v>
      </c>
    </row>
    <row r="29" spans="1:12">
      <c r="A29" s="24">
        <v>3750</v>
      </c>
      <c r="B29" s="24" t="s">
        <v>100</v>
      </c>
      <c r="D29" s="24">
        <v>0</v>
      </c>
      <c r="E29" s="24">
        <v>13.6574459075928</v>
      </c>
      <c r="F29" s="24">
        <v>0</v>
      </c>
      <c r="G29" s="24">
        <v>0.116166912019253</v>
      </c>
      <c r="H29" s="24">
        <v>0</v>
      </c>
      <c r="I29" s="24">
        <f t="shared" si="0"/>
        <v>3750</v>
      </c>
      <c r="J29" s="24">
        <f t="shared" si="1"/>
        <v>-1.0202202120283936</v>
      </c>
      <c r="K29" s="24">
        <f t="shared" si="2"/>
        <v>-0.81976955705379262</v>
      </c>
      <c r="L29" s="24">
        <f t="shared" si="3"/>
        <v>67.039405444158092</v>
      </c>
    </row>
    <row r="30" spans="1:12">
      <c r="A30" s="24">
        <v>3800</v>
      </c>
      <c r="B30" s="24" t="s">
        <v>101</v>
      </c>
      <c r="D30" s="24">
        <v>0</v>
      </c>
      <c r="E30" s="24">
        <v>13.5932874679565</v>
      </c>
      <c r="F30" s="24">
        <v>0</v>
      </c>
      <c r="G30" s="24">
        <v>0.102625049650669</v>
      </c>
      <c r="H30" s="24">
        <v>0</v>
      </c>
      <c r="I30" s="24">
        <f t="shared" si="0"/>
        <v>3800</v>
      </c>
      <c r="J30" s="24">
        <f t="shared" si="1"/>
        <v>-1.0904807523913027</v>
      </c>
      <c r="K30" s="24">
        <f t="shared" si="2"/>
        <v>-0.89097175234502879</v>
      </c>
      <c r="L30" s="24">
        <f t="shared" si="3"/>
        <v>58.834296305323846</v>
      </c>
    </row>
    <row r="31" spans="1:12">
      <c r="A31" s="24">
        <v>3850</v>
      </c>
      <c r="B31" s="24" t="s">
        <v>102</v>
      </c>
      <c r="D31" s="24">
        <v>0</v>
      </c>
      <c r="E31" s="24">
        <v>13.5460529327393</v>
      </c>
      <c r="F31" s="24">
        <v>0</v>
      </c>
      <c r="G31" s="24">
        <v>9.0583153069019304E-2</v>
      </c>
      <c r="H31" s="24">
        <v>0</v>
      </c>
      <c r="I31" s="24">
        <f t="shared" si="0"/>
        <v>3850</v>
      </c>
      <c r="J31" s="24">
        <f t="shared" si="1"/>
        <v>-1.159338475812363</v>
      </c>
      <c r="K31" s="24">
        <f t="shared" si="2"/>
        <v>-0.96052273815100142</v>
      </c>
      <c r="L31" s="24">
        <f t="shared" si="3"/>
        <v>51.659699565637879</v>
      </c>
    </row>
    <row r="32" spans="1:12">
      <c r="A32" s="24">
        <v>3900</v>
      </c>
      <c r="B32" s="24" t="s">
        <v>103</v>
      </c>
      <c r="D32" s="24">
        <v>22.8999938964844</v>
      </c>
      <c r="E32" s="24">
        <v>13.4990797042847</v>
      </c>
      <c r="F32" s="24">
        <v>1</v>
      </c>
      <c r="G32" s="24">
        <v>7.9669252038002E-2</v>
      </c>
      <c r="H32" s="24">
        <v>7.1138586997985804</v>
      </c>
      <c r="I32" s="24">
        <f t="shared" si="0"/>
        <v>3900</v>
      </c>
      <c r="J32" s="24">
        <f t="shared" si="1"/>
        <v>-1.2278092051160445</v>
      </c>
      <c r="K32" s="24">
        <f t="shared" si="2"/>
        <v>-1.0296828946340915</v>
      </c>
      <c r="L32" s="24">
        <f t="shared" si="3"/>
        <v>45.233720724823797</v>
      </c>
    </row>
    <row r="33" spans="1:12">
      <c r="A33" s="24">
        <v>3950</v>
      </c>
      <c r="B33" s="24" t="s">
        <v>104</v>
      </c>
      <c r="D33" s="24">
        <v>0</v>
      </c>
      <c r="E33" s="24">
        <v>13.469398498535201</v>
      </c>
      <c r="F33" s="24">
        <v>0</v>
      </c>
      <c r="G33" s="24">
        <v>7.0093810558319106E-2</v>
      </c>
      <c r="H33" s="24">
        <v>0</v>
      </c>
      <c r="I33" s="24">
        <f t="shared" si="0"/>
        <v>3950</v>
      </c>
      <c r="J33" s="24">
        <f t="shared" si="1"/>
        <v>-1.2945178800855495</v>
      </c>
      <c r="K33" s="24">
        <f t="shared" si="2"/>
        <v>-1.0968272013588438</v>
      </c>
      <c r="L33" s="24">
        <f t="shared" si="3"/>
        <v>39.669108313315235</v>
      </c>
    </row>
    <row r="34" spans="1:12">
      <c r="A34" s="24">
        <v>4000</v>
      </c>
      <c r="B34" s="24" t="s">
        <v>105</v>
      </c>
      <c r="D34" s="24">
        <v>0</v>
      </c>
      <c r="E34" s="24">
        <v>13.45374584198</v>
      </c>
      <c r="F34" s="24">
        <v>0</v>
      </c>
      <c r="G34" s="24">
        <v>6.1696138232946403E-2</v>
      </c>
      <c r="H34" s="24">
        <v>0</v>
      </c>
      <c r="I34" s="24">
        <f t="shared" si="0"/>
        <v>4000</v>
      </c>
      <c r="J34" s="24">
        <f t="shared" si="1"/>
        <v>-1.3594967425566062</v>
      </c>
      <c r="K34" s="24">
        <f t="shared" si="2"/>
        <v>-1.1620357982385017</v>
      </c>
      <c r="L34" s="24">
        <f t="shared" si="3"/>
        <v>34.839969166028141</v>
      </c>
    </row>
    <row r="35" spans="1:12">
      <c r="A35" s="24">
        <v>4050</v>
      </c>
      <c r="B35" s="24" t="s">
        <v>106</v>
      </c>
      <c r="D35" s="24">
        <v>13.800000190734901</v>
      </c>
      <c r="E35" s="24">
        <v>13.419013977050801</v>
      </c>
      <c r="F35" s="24">
        <v>18</v>
      </c>
      <c r="G35" s="24">
        <v>5.3899023681879002E-2</v>
      </c>
      <c r="H35" s="24">
        <v>5.0549154281616202</v>
      </c>
      <c r="I35" s="24">
        <f t="shared" si="0"/>
        <v>4050</v>
      </c>
      <c r="J35" s="24">
        <f t="shared" si="1"/>
        <v>-1.42557915698754</v>
      </c>
      <c r="K35" s="24">
        <f t="shared" si="2"/>
        <v>-1.2286279730683163</v>
      </c>
      <c r="L35" s="24">
        <f t="shared" si="3"/>
        <v>30.374762166460016</v>
      </c>
    </row>
    <row r="36" spans="1:12">
      <c r="A36" s="24">
        <v>4100</v>
      </c>
      <c r="B36" s="24" t="s">
        <v>107</v>
      </c>
      <c r="D36" s="24">
        <v>12</v>
      </c>
      <c r="E36" s="24">
        <v>13.4115495681763</v>
      </c>
      <c r="F36" s="24">
        <v>1</v>
      </c>
      <c r="G36" s="24">
        <v>4.7301609069108998E-2</v>
      </c>
      <c r="H36" s="24">
        <v>4.6595768928527797</v>
      </c>
      <c r="I36" s="24">
        <f t="shared" si="0"/>
        <v>4100</v>
      </c>
      <c r="J36" s="24">
        <f t="shared" si="1"/>
        <v>-1.4885978456270614</v>
      </c>
      <c r="K36" s="24">
        <f t="shared" si="2"/>
        <v>-1.2917562170125423</v>
      </c>
      <c r="L36" s="24">
        <f t="shared" si="3"/>
        <v>26.635054654477585</v>
      </c>
    </row>
    <row r="37" spans="1:12">
      <c r="A37" s="24">
        <v>4150</v>
      </c>
      <c r="B37" s="24" t="s">
        <v>108</v>
      </c>
      <c r="D37" s="24">
        <v>10.199999809265099</v>
      </c>
      <c r="E37" s="24">
        <v>13.4177961349487</v>
      </c>
      <c r="F37" s="24">
        <v>1</v>
      </c>
      <c r="G37" s="24">
        <v>4.1594211012125001E-2</v>
      </c>
      <c r="H37" s="24">
        <v>4.1755266189575204</v>
      </c>
      <c r="I37" s="24">
        <f t="shared" si="0"/>
        <v>4150</v>
      </c>
      <c r="J37" s="24">
        <f t="shared" si="1"/>
        <v>-1.5495470839587975</v>
      </c>
      <c r="K37" s="24">
        <f t="shared" si="2"/>
        <v>-1.3526137743367648</v>
      </c>
      <c r="L37" s="24">
        <f t="shared" si="3"/>
        <v>23.420401375225737</v>
      </c>
    </row>
    <row r="38" spans="1:12">
      <c r="A38" s="37"/>
      <c r="B38" s="37"/>
      <c r="C38" s="37"/>
      <c r="D38" s="37"/>
      <c r="E38" s="37"/>
      <c r="F38" s="37"/>
      <c r="G38" s="37"/>
      <c r="H38" s="37"/>
    </row>
  </sheetData>
  <mergeCells count="2">
    <mergeCell ref="A2:H2"/>
    <mergeCell ref="A38:H38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34395-CD77-4BDD-8DE6-F500A6B3FAC0}">
  <dimension ref="A1:P38"/>
  <sheetViews>
    <sheetView workbookViewId="0">
      <selection activeCell="I3" sqref="I3:I38"/>
    </sheetView>
  </sheetViews>
  <sheetFormatPr defaultColWidth="9.1796875" defaultRowHeight="14.5"/>
  <cols>
    <col min="1" max="1" width="6.1796875" style="24" bestFit="1" customWidth="1"/>
    <col min="2" max="2" width="19.1796875" style="24" bestFit="1" customWidth="1"/>
    <col min="3" max="3" width="4.54296875" style="24" bestFit="1" customWidth="1"/>
    <col min="4" max="5" width="12" style="24" bestFit="1" customWidth="1"/>
    <col min="6" max="6" width="5.7265625" style="24" bestFit="1" customWidth="1"/>
    <col min="7" max="8" width="12" style="24" bestFit="1" customWidth="1"/>
    <col min="9" max="9" width="6.1796875" style="24" bestFit="1" customWidth="1"/>
    <col min="10" max="12" width="12" style="24" bestFit="1" customWidth="1"/>
    <col min="13" max="13" width="9.1796875" style="24"/>
    <col min="14" max="14" width="4" style="24" bestFit="1" customWidth="1"/>
    <col min="15" max="15" width="12" style="24" bestFit="1" customWidth="1"/>
    <col min="16" max="16" width="72" style="24" bestFit="1" customWidth="1"/>
    <col min="17" max="16384" width="9.1796875" style="24"/>
  </cols>
  <sheetData>
    <row r="1" spans="1:16">
      <c r="A1" s="26" t="s">
        <v>61</v>
      </c>
      <c r="B1" s="26" t="s">
        <v>62</v>
      </c>
      <c r="C1" s="26" t="s">
        <v>63</v>
      </c>
      <c r="D1" s="26" t="s">
        <v>64</v>
      </c>
      <c r="E1" s="26" t="s">
        <v>65</v>
      </c>
      <c r="F1" s="26" t="s">
        <v>66</v>
      </c>
      <c r="G1" s="26" t="s">
        <v>67</v>
      </c>
      <c r="H1" s="26" t="s">
        <v>68</v>
      </c>
      <c r="I1" s="26" t="s">
        <v>61</v>
      </c>
      <c r="J1" s="26" t="s">
        <v>51</v>
      </c>
      <c r="K1" s="26" t="s">
        <v>52</v>
      </c>
      <c r="L1" s="26" t="s">
        <v>69</v>
      </c>
      <c r="N1" s="27" t="s">
        <v>70</v>
      </c>
      <c r="O1" s="28">
        <v>3160.33</v>
      </c>
      <c r="P1" s="29" t="s">
        <v>71</v>
      </c>
    </row>
    <row r="2" spans="1:16">
      <c r="A2" s="37" t="s">
        <v>109</v>
      </c>
      <c r="B2" s="37"/>
      <c r="C2" s="37"/>
      <c r="D2" s="37"/>
      <c r="E2" s="37"/>
      <c r="F2" s="37"/>
      <c r="G2" s="37"/>
      <c r="H2" s="37"/>
      <c r="N2" s="30" t="s">
        <v>57</v>
      </c>
      <c r="O2" s="31">
        <v>-7.0499999999999998E-3</v>
      </c>
      <c r="P2" s="24" t="s">
        <v>73</v>
      </c>
    </row>
    <row r="3" spans="1:16" ht="15" thickBot="1">
      <c r="A3" s="24">
        <v>2400</v>
      </c>
      <c r="B3" s="24" t="s">
        <v>110</v>
      </c>
      <c r="D3" s="24">
        <v>0</v>
      </c>
      <c r="E3" s="24">
        <v>21.774021148681602</v>
      </c>
      <c r="F3" s="24">
        <v>0</v>
      </c>
      <c r="G3" s="24">
        <v>0.84201294183731101</v>
      </c>
      <c r="H3" s="24">
        <v>0</v>
      </c>
      <c r="I3" s="24">
        <f t="shared" ref="I3:I38" si="0">VALUE(MID($B3,FIND("C",$B3)+1,LEN($B3)-FIND("C",$B3)))</f>
        <v>2400</v>
      </c>
      <c r="J3" s="24">
        <f t="shared" ref="J3:J38" si="1">(LN($O$1/$I3)+($O$2-0.5*($E3/100)^2)*$O$3)/(($E3/100)*SQRT($O$3))</f>
        <v>1.0409425595087509</v>
      </c>
      <c r="K3" s="24">
        <f t="shared" ref="K3:K38" si="2">J3+($E3/100)*SQRT($O$3)</f>
        <v>1.2720430194500236</v>
      </c>
      <c r="L3" s="24">
        <f t="shared" ref="L3:L38" si="3">$O$1*_xlfn.NORM.S.DIST($K3,1)-$I3*EXP(-$O$2*$O$3)*_xlfn.NORM.S.DIST($J3,1)</f>
        <v>780.18807494675048</v>
      </c>
      <c r="N3" s="32" t="s">
        <v>58</v>
      </c>
      <c r="O3" s="33">
        <f>NETWORKDAYS($O$4,$O$5)/$O$6</f>
        <v>1.1264822134387351</v>
      </c>
    </row>
    <row r="4" spans="1:16">
      <c r="A4" s="24">
        <v>2450</v>
      </c>
      <c r="B4" s="24" t="s">
        <v>111</v>
      </c>
      <c r="D4" s="24">
        <v>0</v>
      </c>
      <c r="E4" s="24">
        <v>21.224042892456101</v>
      </c>
      <c r="F4" s="24">
        <v>0</v>
      </c>
      <c r="G4" s="24">
        <v>0.82767999172210704</v>
      </c>
      <c r="H4" s="24">
        <v>0</v>
      </c>
      <c r="I4" s="24">
        <f t="shared" si="0"/>
        <v>2450</v>
      </c>
      <c r="J4" s="24">
        <f t="shared" si="1"/>
        <v>0.98229516364822667</v>
      </c>
      <c r="K4" s="24">
        <f t="shared" si="2"/>
        <v>1.2075583817174758</v>
      </c>
      <c r="L4" s="24">
        <f t="shared" si="3"/>
        <v>734.23265006519978</v>
      </c>
      <c r="O4" s="34">
        <v>43423</v>
      </c>
    </row>
    <row r="5" spans="1:16">
      <c r="A5" s="24">
        <v>2500</v>
      </c>
      <c r="B5" s="24" t="s">
        <v>112</v>
      </c>
      <c r="D5" s="24">
        <v>0</v>
      </c>
      <c r="E5" s="24">
        <v>20.687385559081999</v>
      </c>
      <c r="F5" s="24">
        <v>0</v>
      </c>
      <c r="G5" s="24">
        <v>0.81174677610397294</v>
      </c>
      <c r="H5" s="24">
        <v>0</v>
      </c>
      <c r="I5" s="24">
        <f t="shared" si="0"/>
        <v>2500</v>
      </c>
      <c r="J5" s="24">
        <f t="shared" si="1"/>
        <v>0.92153546610201575</v>
      </c>
      <c r="K5" s="24">
        <f t="shared" si="2"/>
        <v>1.1411028250680362</v>
      </c>
      <c r="L5" s="24">
        <f t="shared" si="3"/>
        <v>688.82742482599588</v>
      </c>
      <c r="O5" s="34">
        <v>43819</v>
      </c>
    </row>
    <row r="6" spans="1:16">
      <c r="A6" s="24">
        <v>2550</v>
      </c>
      <c r="B6" s="24" t="s">
        <v>113</v>
      </c>
      <c r="D6" s="24">
        <v>0</v>
      </c>
      <c r="E6" s="24">
        <v>20.1535530090332</v>
      </c>
      <c r="F6" s="24">
        <v>0</v>
      </c>
      <c r="G6" s="24">
        <v>0.79416602849960305</v>
      </c>
      <c r="H6" s="24">
        <v>0</v>
      </c>
      <c r="I6" s="24">
        <f t="shared" si="0"/>
        <v>2550</v>
      </c>
      <c r="J6" s="24">
        <f t="shared" si="1"/>
        <v>0.85910799291127382</v>
      </c>
      <c r="K6" s="24">
        <f t="shared" si="2"/>
        <v>1.0730094738566252</v>
      </c>
      <c r="L6" s="24">
        <f t="shared" si="3"/>
        <v>643.96543577219245</v>
      </c>
      <c r="O6" s="35">
        <v>253</v>
      </c>
    </row>
    <row r="7" spans="1:16">
      <c r="A7" s="24">
        <v>2600</v>
      </c>
      <c r="B7" s="24" t="s">
        <v>114</v>
      </c>
      <c r="D7" s="24">
        <v>0</v>
      </c>
      <c r="E7" s="24">
        <v>19.5652961730957</v>
      </c>
      <c r="F7" s="24">
        <v>0</v>
      </c>
      <c r="G7" s="24">
        <v>0.77530479431152299</v>
      </c>
      <c r="H7" s="24">
        <v>0</v>
      </c>
      <c r="I7" s="24">
        <f t="shared" si="0"/>
        <v>2600</v>
      </c>
      <c r="J7" s="24">
        <f t="shared" si="1"/>
        <v>0.79776565094966667</v>
      </c>
      <c r="K7" s="24">
        <f t="shared" si="2"/>
        <v>1.0054236170008026</v>
      </c>
      <c r="L7" s="24">
        <f t="shared" si="3"/>
        <v>599.24641879184719</v>
      </c>
    </row>
    <row r="8" spans="1:16">
      <c r="A8" s="24">
        <v>2650</v>
      </c>
      <c r="B8" s="24" t="s">
        <v>115</v>
      </c>
      <c r="D8" s="24">
        <v>0</v>
      </c>
      <c r="E8" s="24">
        <v>19.079555511474599</v>
      </c>
      <c r="F8" s="24">
        <v>0</v>
      </c>
      <c r="G8" s="24">
        <v>0.75362074375152599</v>
      </c>
      <c r="H8" s="24">
        <v>0</v>
      </c>
      <c r="I8" s="24">
        <f t="shared" si="0"/>
        <v>2650</v>
      </c>
      <c r="J8" s="24">
        <f t="shared" si="1"/>
        <v>0.72923281080576241</v>
      </c>
      <c r="K8" s="24">
        <f t="shared" si="2"/>
        <v>0.93173532626069044</v>
      </c>
      <c r="L8" s="24">
        <f t="shared" si="3"/>
        <v>556.00002252526701</v>
      </c>
    </row>
    <row r="9" spans="1:16">
      <c r="A9" s="24">
        <v>2700</v>
      </c>
      <c r="B9" s="24" t="s">
        <v>116</v>
      </c>
      <c r="D9" s="24">
        <v>0</v>
      </c>
      <c r="E9" s="24">
        <v>18.630163192748999</v>
      </c>
      <c r="F9" s="24">
        <v>0</v>
      </c>
      <c r="G9" s="24">
        <v>0.72960972785949696</v>
      </c>
      <c r="H9" s="24">
        <v>0</v>
      </c>
      <c r="I9" s="24">
        <f t="shared" si="0"/>
        <v>2700</v>
      </c>
      <c r="J9" s="24">
        <f t="shared" si="1"/>
        <v>0.65711812148315119</v>
      </c>
      <c r="K9" s="24">
        <f t="shared" si="2"/>
        <v>0.85485097262837728</v>
      </c>
      <c r="L9" s="24">
        <f t="shared" si="3"/>
        <v>513.86931005259726</v>
      </c>
    </row>
    <row r="10" spans="1:16">
      <c r="A10" s="24">
        <v>2750</v>
      </c>
      <c r="B10" s="24" t="s">
        <v>117</v>
      </c>
      <c r="D10" s="24">
        <v>0</v>
      </c>
      <c r="E10" s="24">
        <v>18.168571472168001</v>
      </c>
      <c r="F10" s="24">
        <v>0</v>
      </c>
      <c r="G10" s="24">
        <v>0.70359069108963002</v>
      </c>
      <c r="H10" s="24">
        <v>0</v>
      </c>
      <c r="I10" s="24">
        <f t="shared" si="0"/>
        <v>2750</v>
      </c>
      <c r="J10" s="24">
        <f t="shared" si="1"/>
        <v>0.58361903312710395</v>
      </c>
      <c r="K10" s="24">
        <f t="shared" si="2"/>
        <v>0.77645274055409175</v>
      </c>
      <c r="L10" s="24">
        <f t="shared" si="3"/>
        <v>472.52419453640528</v>
      </c>
    </row>
    <row r="11" spans="1:16">
      <c r="A11" s="24">
        <v>2800</v>
      </c>
      <c r="B11" s="24" t="s">
        <v>118</v>
      </c>
      <c r="D11" s="24">
        <v>0</v>
      </c>
      <c r="E11" s="24">
        <v>17.7144451141357</v>
      </c>
      <c r="F11" s="24">
        <v>0</v>
      </c>
      <c r="G11" s="24">
        <v>0.67532050609588601</v>
      </c>
      <c r="H11" s="24">
        <v>0</v>
      </c>
      <c r="I11" s="24">
        <f t="shared" si="0"/>
        <v>2800</v>
      </c>
      <c r="J11" s="24">
        <f t="shared" si="1"/>
        <v>0.50762626280360568</v>
      </c>
      <c r="K11" s="24">
        <f t="shared" si="2"/>
        <v>0.69564006078455742</v>
      </c>
      <c r="L11" s="24">
        <f t="shared" si="3"/>
        <v>432.24068119844856</v>
      </c>
    </row>
    <row r="12" spans="1:16">
      <c r="A12" s="24">
        <v>2850</v>
      </c>
      <c r="B12" s="24" t="s">
        <v>119</v>
      </c>
      <c r="D12" s="24">
        <v>0</v>
      </c>
      <c r="E12" s="24">
        <v>17.284988403320298</v>
      </c>
      <c r="F12" s="24">
        <v>0</v>
      </c>
      <c r="G12" s="24">
        <v>0.64466929435730003</v>
      </c>
      <c r="H12" s="24">
        <v>0</v>
      </c>
      <c r="I12" s="24">
        <f t="shared" si="0"/>
        <v>2850</v>
      </c>
      <c r="J12" s="24">
        <f t="shared" si="1"/>
        <v>0.42837452456259634</v>
      </c>
      <c r="K12" s="24">
        <f t="shared" si="2"/>
        <v>0.61183024653560247</v>
      </c>
      <c r="L12" s="24">
        <f t="shared" si="3"/>
        <v>393.3231356626352</v>
      </c>
    </row>
    <row r="13" spans="1:16">
      <c r="A13" s="24">
        <v>2900</v>
      </c>
      <c r="B13" s="24" t="s">
        <v>120</v>
      </c>
      <c r="D13" s="24">
        <v>0</v>
      </c>
      <c r="E13" s="24">
        <v>16.833286285400401</v>
      </c>
      <c r="F13" s="24">
        <v>0</v>
      </c>
      <c r="G13" s="24">
        <v>0.61189258098602295</v>
      </c>
      <c r="H13" s="24">
        <v>0</v>
      </c>
      <c r="I13" s="24">
        <f t="shared" si="0"/>
        <v>2900</v>
      </c>
      <c r="J13" s="24">
        <f t="shared" si="1"/>
        <v>0.34738333568526236</v>
      </c>
      <c r="K13" s="24">
        <f t="shared" si="2"/>
        <v>0.52604487809469913</v>
      </c>
      <c r="L13" s="24">
        <f t="shared" si="3"/>
        <v>355.37446484487373</v>
      </c>
    </row>
    <row r="14" spans="1:16">
      <c r="A14" s="24">
        <v>2950</v>
      </c>
      <c r="B14" s="24" t="s">
        <v>121</v>
      </c>
      <c r="D14" s="24">
        <v>0</v>
      </c>
      <c r="E14" s="24">
        <v>16.4780368804932</v>
      </c>
      <c r="F14" s="24">
        <v>0</v>
      </c>
      <c r="G14" s="24">
        <v>0.57668399810791005</v>
      </c>
      <c r="H14" s="24">
        <v>0</v>
      </c>
      <c r="I14" s="24">
        <f t="shared" si="0"/>
        <v>2950</v>
      </c>
      <c r="J14" s="24">
        <f t="shared" si="1"/>
        <v>0.26094035838256474</v>
      </c>
      <c r="K14" s="24">
        <f t="shared" si="2"/>
        <v>0.43583143045456052</v>
      </c>
      <c r="L14" s="24">
        <f t="shared" si="3"/>
        <v>319.91791217238983</v>
      </c>
    </row>
    <row r="15" spans="1:16">
      <c r="A15" s="24">
        <v>3000</v>
      </c>
      <c r="B15" s="24" t="s">
        <v>122</v>
      </c>
      <c r="D15" s="24">
        <v>0</v>
      </c>
      <c r="E15" s="24">
        <v>16.086711883544901</v>
      </c>
      <c r="F15" s="24">
        <v>0</v>
      </c>
      <c r="G15" s="24">
        <v>0.53968358039856001</v>
      </c>
      <c r="H15" s="24">
        <v>0</v>
      </c>
      <c r="I15" s="24">
        <f t="shared" si="0"/>
        <v>3000</v>
      </c>
      <c r="J15" s="24">
        <f t="shared" si="1"/>
        <v>0.1730536349448358</v>
      </c>
      <c r="K15" s="24">
        <f t="shared" si="2"/>
        <v>0.3437913452577086</v>
      </c>
      <c r="L15" s="24">
        <f t="shared" si="3"/>
        <v>285.53504906627541</v>
      </c>
    </row>
    <row r="16" spans="1:16">
      <c r="A16" s="24">
        <v>3050</v>
      </c>
      <c r="B16" s="24" t="s">
        <v>123</v>
      </c>
      <c r="D16" s="24">
        <v>194.69999694824199</v>
      </c>
      <c r="E16" s="24">
        <v>15.708092689514199</v>
      </c>
      <c r="F16" s="24">
        <v>109</v>
      </c>
      <c r="G16" s="24">
        <v>0.50097048282623302</v>
      </c>
      <c r="H16" s="24">
        <v>12.6438140869141</v>
      </c>
      <c r="I16" s="24">
        <f t="shared" si="0"/>
        <v>3050</v>
      </c>
      <c r="J16" s="24">
        <f t="shared" si="1"/>
        <v>8.214720204575679E-2</v>
      </c>
      <c r="K16" s="24">
        <f t="shared" si="2"/>
        <v>0.24886640473959079</v>
      </c>
      <c r="L16" s="24">
        <f t="shared" si="3"/>
        <v>252.92645775679671</v>
      </c>
    </row>
    <row r="17" spans="1:12">
      <c r="A17" s="24">
        <v>3100</v>
      </c>
      <c r="B17" s="24" t="s">
        <v>124</v>
      </c>
      <c r="D17" s="24">
        <v>167.60000610351599</v>
      </c>
      <c r="E17" s="24">
        <v>15.357928276061999</v>
      </c>
      <c r="F17" s="24">
        <v>12</v>
      </c>
      <c r="G17" s="24">
        <v>0.46097183227539101</v>
      </c>
      <c r="H17" s="24">
        <v>12.6567993164063</v>
      </c>
      <c r="I17" s="24">
        <f t="shared" si="0"/>
        <v>3100</v>
      </c>
      <c r="J17" s="24">
        <f t="shared" si="1"/>
        <v>-1.1977096262034553E-2</v>
      </c>
      <c r="K17" s="24">
        <f t="shared" si="2"/>
        <v>0.15102560609172472</v>
      </c>
      <c r="L17" s="24">
        <f t="shared" si="3"/>
        <v>222.42652074266357</v>
      </c>
    </row>
    <row r="18" spans="1:12">
      <c r="A18" s="24">
        <v>3150</v>
      </c>
      <c r="B18" s="24" t="s">
        <v>125</v>
      </c>
      <c r="D18" s="24">
        <v>0</v>
      </c>
      <c r="E18" s="24">
        <v>15.0223636627197</v>
      </c>
      <c r="F18" s="24">
        <v>1030</v>
      </c>
      <c r="G18" s="24">
        <v>0.42013099789619501</v>
      </c>
      <c r="H18" s="24">
        <v>0</v>
      </c>
      <c r="I18" s="24">
        <f t="shared" si="0"/>
        <v>3150</v>
      </c>
      <c r="J18" s="24">
        <f t="shared" si="1"/>
        <v>-0.10899595549442687</v>
      </c>
      <c r="K18" s="24">
        <f t="shared" si="2"/>
        <v>5.0445202762636421E-2</v>
      </c>
      <c r="L18" s="24">
        <f t="shared" si="3"/>
        <v>193.9718149907485</v>
      </c>
    </row>
    <row r="19" spans="1:12">
      <c r="A19" s="24">
        <v>3200</v>
      </c>
      <c r="B19" s="24" t="s">
        <v>126</v>
      </c>
      <c r="D19" s="24">
        <v>120.900009155273</v>
      </c>
      <c r="E19" s="24">
        <v>14.709929466247599</v>
      </c>
      <c r="F19" s="24">
        <v>3013</v>
      </c>
      <c r="G19" s="24">
        <v>0.37905916571617099</v>
      </c>
      <c r="H19" s="24">
        <v>12.2404336929321</v>
      </c>
      <c r="I19" s="24">
        <f t="shared" si="0"/>
        <v>3200</v>
      </c>
      <c r="J19" s="24">
        <f t="shared" si="1"/>
        <v>-0.20882984054334255</v>
      </c>
      <c r="K19" s="24">
        <f t="shared" si="2"/>
        <v>-5.2704729699526887E-2</v>
      </c>
      <c r="L19" s="24">
        <f t="shared" si="3"/>
        <v>167.76946396538847</v>
      </c>
    </row>
    <row r="20" spans="1:12">
      <c r="A20" s="24">
        <v>3250</v>
      </c>
      <c r="B20" s="24" t="s">
        <v>127</v>
      </c>
      <c r="D20" s="24">
        <v>0</v>
      </c>
      <c r="E20" s="24">
        <v>14.411826133728001</v>
      </c>
      <c r="F20" s="24">
        <v>0</v>
      </c>
      <c r="G20" s="24">
        <v>0.33827975392341603</v>
      </c>
      <c r="H20" s="24">
        <v>0</v>
      </c>
      <c r="I20" s="24">
        <f t="shared" si="0"/>
        <v>3250</v>
      </c>
      <c r="J20" s="24">
        <f t="shared" si="1"/>
        <v>-0.31131302100362213</v>
      </c>
      <c r="K20" s="24">
        <f t="shared" si="2"/>
        <v>-0.15835185570688226</v>
      </c>
      <c r="L20" s="24">
        <f t="shared" si="3"/>
        <v>143.76903308172791</v>
      </c>
    </row>
    <row r="21" spans="1:12">
      <c r="A21" s="24">
        <v>3300</v>
      </c>
      <c r="B21" s="24" t="s">
        <v>128</v>
      </c>
      <c r="D21" s="24">
        <v>86.699996948242202</v>
      </c>
      <c r="E21" s="24">
        <v>14.1301259994507</v>
      </c>
      <c r="F21" s="24">
        <v>3630</v>
      </c>
      <c r="G21" s="24">
        <v>0.29842102527618403</v>
      </c>
      <c r="H21" s="24">
        <v>11.3884286880493</v>
      </c>
      <c r="I21" s="24">
        <f t="shared" si="0"/>
        <v>3300</v>
      </c>
      <c r="J21" s="24">
        <f t="shared" si="1"/>
        <v>-0.41630236294792988</v>
      </c>
      <c r="K21" s="24">
        <f t="shared" si="2"/>
        <v>-0.26633104643256422</v>
      </c>
      <c r="L21" s="24">
        <f t="shared" si="3"/>
        <v>122.03494662629464</v>
      </c>
    </row>
    <row r="22" spans="1:12">
      <c r="A22" s="24">
        <v>3350</v>
      </c>
      <c r="B22" s="24" t="s">
        <v>129</v>
      </c>
      <c r="D22" s="24">
        <v>0</v>
      </c>
      <c r="E22" s="24">
        <v>13.8804388046265</v>
      </c>
      <c r="F22" s="24">
        <v>0</v>
      </c>
      <c r="G22" s="24">
        <v>0.26035833358764598</v>
      </c>
      <c r="H22" s="24">
        <v>0</v>
      </c>
      <c r="I22" s="24">
        <f t="shared" si="0"/>
        <v>3350</v>
      </c>
      <c r="J22" s="24">
        <f t="shared" si="1"/>
        <v>-0.52319249317453143</v>
      </c>
      <c r="K22" s="24">
        <f t="shared" si="2"/>
        <v>-0.375871253334085</v>
      </c>
      <c r="L22" s="24">
        <f t="shared" si="3"/>
        <v>102.76466665635871</v>
      </c>
    </row>
    <row r="23" spans="1:12">
      <c r="A23" s="24">
        <v>3400</v>
      </c>
      <c r="B23" s="24" t="s">
        <v>130</v>
      </c>
      <c r="D23" s="24">
        <v>60.900009155273402</v>
      </c>
      <c r="E23" s="24">
        <v>13.6407976150513</v>
      </c>
      <c r="F23" s="24">
        <v>3524</v>
      </c>
      <c r="G23" s="24">
        <v>0.22430822253227201</v>
      </c>
      <c r="H23" s="24">
        <v>10.172762870788601</v>
      </c>
      <c r="I23" s="24">
        <f t="shared" si="0"/>
        <v>3400</v>
      </c>
      <c r="J23" s="24">
        <f t="shared" si="1"/>
        <v>-0.63214795756419395</v>
      </c>
      <c r="K23" s="24">
        <f t="shared" si="2"/>
        <v>-0.48737017025158047</v>
      </c>
      <c r="L23" s="24">
        <f t="shared" si="3"/>
        <v>85.636444817622987</v>
      </c>
    </row>
    <row r="24" spans="1:12">
      <c r="A24" s="24">
        <v>3450</v>
      </c>
      <c r="B24" s="24" t="s">
        <v>131</v>
      </c>
      <c r="D24" s="24">
        <v>49.900009155273402</v>
      </c>
      <c r="E24" s="24">
        <v>13.424811363220201</v>
      </c>
      <c r="F24" s="24">
        <v>2</v>
      </c>
      <c r="G24" s="24">
        <v>0.19098301231861101</v>
      </c>
      <c r="H24" s="24">
        <v>9.4107036590576207</v>
      </c>
      <c r="I24" s="24">
        <f t="shared" si="0"/>
        <v>3450</v>
      </c>
      <c r="J24" s="24">
        <f t="shared" si="1"/>
        <v>-0.74246570960173008</v>
      </c>
      <c r="K24" s="24">
        <f t="shared" si="2"/>
        <v>-0.599980311085762</v>
      </c>
      <c r="L24" s="24">
        <f t="shared" si="3"/>
        <v>70.740443927611068</v>
      </c>
    </row>
    <row r="25" spans="1:12">
      <c r="A25" s="24">
        <v>3500</v>
      </c>
      <c r="B25" s="24" t="s">
        <v>132</v>
      </c>
      <c r="D25" s="24">
        <v>38</v>
      </c>
      <c r="E25" s="24">
        <v>13.2173767089844</v>
      </c>
      <c r="F25" s="24">
        <v>202</v>
      </c>
      <c r="G25" s="24">
        <v>0.16045255959033999</v>
      </c>
      <c r="H25" s="24">
        <v>8.3147964477539098</v>
      </c>
      <c r="I25" s="24">
        <f t="shared" si="0"/>
        <v>3500</v>
      </c>
      <c r="J25" s="24">
        <f t="shared" si="1"/>
        <v>-0.85446792317820852</v>
      </c>
      <c r="K25" s="24">
        <f t="shared" si="2"/>
        <v>-0.7141841503369063</v>
      </c>
      <c r="L25" s="24">
        <f t="shared" si="3"/>
        <v>57.795829075968868</v>
      </c>
    </row>
    <row r="26" spans="1:12">
      <c r="A26" s="24">
        <v>3550</v>
      </c>
      <c r="B26" s="24" t="s">
        <v>133</v>
      </c>
      <c r="D26" s="24">
        <v>0</v>
      </c>
      <c r="E26" s="24">
        <v>13.0410270690918</v>
      </c>
      <c r="F26" s="24">
        <v>0</v>
      </c>
      <c r="G26" s="24">
        <v>0.1333998888731</v>
      </c>
      <c r="H26" s="24">
        <v>0</v>
      </c>
      <c r="I26" s="24">
        <f t="shared" si="0"/>
        <v>3550</v>
      </c>
      <c r="J26" s="24">
        <f t="shared" si="1"/>
        <v>-0.96661946158724799</v>
      </c>
      <c r="K26" s="24">
        <f t="shared" si="2"/>
        <v>-0.8282073909277049</v>
      </c>
      <c r="L26" s="24">
        <f t="shared" si="3"/>
        <v>46.89947168212268</v>
      </c>
    </row>
    <row r="27" spans="1:12">
      <c r="A27" s="24">
        <v>3600</v>
      </c>
      <c r="B27" s="24" t="s">
        <v>134</v>
      </c>
      <c r="D27" s="24">
        <v>21.8999938964844</v>
      </c>
      <c r="E27" s="24">
        <v>12.8919973373413</v>
      </c>
      <c r="F27" s="24">
        <v>116</v>
      </c>
      <c r="G27" s="24">
        <v>0.10983499139547299</v>
      </c>
      <c r="H27" s="24">
        <v>6.1861801147460902</v>
      </c>
      <c r="I27" s="24">
        <f t="shared" si="0"/>
        <v>3600</v>
      </c>
      <c r="J27" s="24">
        <f t="shared" si="1"/>
        <v>-1.078418516531682</v>
      </c>
      <c r="K27" s="24">
        <f t="shared" si="2"/>
        <v>-0.94158818584186199</v>
      </c>
      <c r="L27" s="24">
        <f t="shared" si="3"/>
        <v>37.81936099488496</v>
      </c>
    </row>
    <row r="28" spans="1:12">
      <c r="A28" s="24">
        <v>3650</v>
      </c>
      <c r="B28" s="24" t="s">
        <v>135</v>
      </c>
      <c r="D28" s="24">
        <v>0</v>
      </c>
      <c r="E28" s="24">
        <v>12.7754096984863</v>
      </c>
      <c r="F28" s="24">
        <v>0</v>
      </c>
      <c r="G28" s="24">
        <v>8.9782997965812697E-2</v>
      </c>
      <c r="H28" s="24">
        <v>0</v>
      </c>
      <c r="I28" s="24">
        <f t="shared" si="0"/>
        <v>3650</v>
      </c>
      <c r="J28" s="24">
        <f t="shared" si="1"/>
        <v>-1.1887430191002868</v>
      </c>
      <c r="K28" s="24">
        <f t="shared" si="2"/>
        <v>-1.0531501014164926</v>
      </c>
      <c r="L28" s="24">
        <f t="shared" si="3"/>
        <v>30.388459379229687</v>
      </c>
    </row>
    <row r="29" spans="1:12">
      <c r="A29" s="24">
        <v>3700</v>
      </c>
      <c r="B29" s="24" t="s">
        <v>136</v>
      </c>
      <c r="D29" s="24">
        <v>15.300000190734901</v>
      </c>
      <c r="E29" s="24">
        <v>12.6671237945557</v>
      </c>
      <c r="F29" s="24">
        <v>140</v>
      </c>
      <c r="G29" s="24">
        <v>7.2619050741195706E-2</v>
      </c>
      <c r="H29" s="24">
        <v>5.0809230804443404</v>
      </c>
      <c r="I29" s="24">
        <f t="shared" si="0"/>
        <v>3700</v>
      </c>
      <c r="J29" s="24">
        <f t="shared" si="1"/>
        <v>-1.2989505565863901</v>
      </c>
      <c r="K29" s="24">
        <f t="shared" si="2"/>
        <v>-1.1645069407257473</v>
      </c>
      <c r="L29" s="24">
        <f t="shared" si="3"/>
        <v>24.21702673724559</v>
      </c>
    </row>
    <row r="30" spans="1:12">
      <c r="A30" s="24">
        <v>3750</v>
      </c>
      <c r="B30" s="24" t="s">
        <v>137</v>
      </c>
      <c r="D30" s="24">
        <v>12</v>
      </c>
      <c r="E30" s="24">
        <v>12.5755319595337</v>
      </c>
      <c r="F30" s="24">
        <v>340</v>
      </c>
      <c r="G30" s="24">
        <v>5.8267574757337598E-2</v>
      </c>
      <c r="H30" s="24">
        <v>4.3711099624633798</v>
      </c>
      <c r="I30" s="24">
        <f t="shared" si="0"/>
        <v>3750</v>
      </c>
      <c r="J30" s="24">
        <f t="shared" si="1"/>
        <v>-1.40800403296795</v>
      </c>
      <c r="K30" s="24">
        <f t="shared" si="2"/>
        <v>-1.2745325349837395</v>
      </c>
      <c r="L30" s="24">
        <f t="shared" si="3"/>
        <v>19.196008745117467</v>
      </c>
    </row>
    <row r="31" spans="1:12">
      <c r="A31" s="24">
        <v>3800</v>
      </c>
      <c r="B31" s="24" t="s">
        <v>138</v>
      </c>
      <c r="D31" s="24">
        <v>8.8999996185302699</v>
      </c>
      <c r="E31" s="24">
        <v>12.526813507080099</v>
      </c>
      <c r="F31" s="24">
        <v>140</v>
      </c>
      <c r="G31" s="24">
        <v>4.6801824122667299E-2</v>
      </c>
      <c r="H31" s="24">
        <v>3.5940709114074698</v>
      </c>
      <c r="I31" s="24">
        <f t="shared" si="0"/>
        <v>3800</v>
      </c>
      <c r="J31" s="24">
        <f t="shared" si="1"/>
        <v>-1.5125841778246067</v>
      </c>
      <c r="K31" s="24">
        <f t="shared" si="2"/>
        <v>-1.3796297573564313</v>
      </c>
      <c r="L31" s="24">
        <f t="shared" si="3"/>
        <v>15.287383082608784</v>
      </c>
    </row>
    <row r="32" spans="1:12">
      <c r="A32" s="24">
        <v>3850</v>
      </c>
      <c r="B32" s="24" t="s">
        <v>139</v>
      </c>
      <c r="D32" s="24">
        <v>7.1000003814697301</v>
      </c>
      <c r="E32" s="24">
        <v>12.473371505737299</v>
      </c>
      <c r="F32" s="24">
        <v>140</v>
      </c>
      <c r="G32" s="24">
        <v>3.7197124212980298E-2</v>
      </c>
      <c r="H32" s="24">
        <v>3.0857999324798602</v>
      </c>
      <c r="I32" s="24">
        <f t="shared" si="0"/>
        <v>3850</v>
      </c>
      <c r="J32" s="24">
        <f t="shared" si="1"/>
        <v>-1.6172376721000177</v>
      </c>
      <c r="K32" s="24">
        <f t="shared" si="2"/>
        <v>-1.4848504629432564</v>
      </c>
      <c r="L32" s="24">
        <f t="shared" si="3"/>
        <v>12.063286872449908</v>
      </c>
    </row>
    <row r="33" spans="1:12">
      <c r="A33" s="24">
        <v>3900</v>
      </c>
      <c r="B33" s="24" t="s">
        <v>140</v>
      </c>
      <c r="D33" s="24">
        <v>5.3000001907348597</v>
      </c>
      <c r="E33" s="24">
        <v>12.446177482605</v>
      </c>
      <c r="F33" s="24">
        <v>140</v>
      </c>
      <c r="G33" s="24">
        <v>2.9569288715720201E-2</v>
      </c>
      <c r="H33" s="24">
        <v>2.5185096263885498</v>
      </c>
      <c r="I33" s="24">
        <f t="shared" si="0"/>
        <v>3900</v>
      </c>
      <c r="J33" s="24">
        <f t="shared" si="1"/>
        <v>-1.7181623967318687</v>
      </c>
      <c r="K33" s="24">
        <f t="shared" si="2"/>
        <v>-1.5860638136956853</v>
      </c>
      <c r="L33" s="24">
        <f t="shared" si="3"/>
        <v>9.5446886895955458</v>
      </c>
    </row>
    <row r="34" spans="1:12">
      <c r="A34" s="24">
        <v>3950</v>
      </c>
      <c r="B34" s="24" t="s">
        <v>141</v>
      </c>
      <c r="D34" s="24">
        <v>4</v>
      </c>
      <c r="E34" s="24">
        <v>12.454384803771999</v>
      </c>
      <c r="F34" s="24">
        <v>140</v>
      </c>
      <c r="G34" s="24">
        <v>2.36593205481768E-2</v>
      </c>
      <c r="H34" s="24">
        <v>2.0541751384735099</v>
      </c>
      <c r="I34" s="24">
        <f t="shared" si="0"/>
        <v>3950</v>
      </c>
      <c r="J34" s="24">
        <f t="shared" si="1"/>
        <v>-1.8134894230720757</v>
      </c>
      <c r="K34" s="24">
        <f t="shared" si="2"/>
        <v>-1.6813037309216123</v>
      </c>
      <c r="L34" s="24">
        <f t="shared" si="3"/>
        <v>7.620208703296214</v>
      </c>
    </row>
    <row r="35" spans="1:12">
      <c r="A35" s="24">
        <v>4000</v>
      </c>
      <c r="B35" s="24" t="s">
        <v>142</v>
      </c>
      <c r="D35" s="24">
        <v>3</v>
      </c>
      <c r="E35" s="24">
        <v>12.490044593811</v>
      </c>
      <c r="F35" s="24">
        <v>330</v>
      </c>
      <c r="G35" s="24">
        <v>1.9058058038353899E-2</v>
      </c>
      <c r="H35" s="24">
        <v>1.6579020023345901</v>
      </c>
      <c r="I35" s="24">
        <f t="shared" si="0"/>
        <v>4000</v>
      </c>
      <c r="J35" s="24">
        <f t="shared" si="1"/>
        <v>-1.9035779957421688</v>
      </c>
      <c r="K35" s="24">
        <f t="shared" si="2"/>
        <v>-1.7710138253205974</v>
      </c>
      <c r="L35" s="24">
        <f t="shared" si="3"/>
        <v>6.1361719061617492</v>
      </c>
    </row>
    <row r="36" spans="1:12">
      <c r="A36" s="24">
        <v>4050</v>
      </c>
      <c r="B36" s="24" t="s">
        <v>143</v>
      </c>
      <c r="D36" s="24">
        <v>0</v>
      </c>
      <c r="E36" s="24">
        <v>12.4377527236938</v>
      </c>
      <c r="F36" s="24">
        <v>0</v>
      </c>
      <c r="G36" s="24">
        <v>1.4698851853609101E-2</v>
      </c>
      <c r="H36" s="24">
        <v>0</v>
      </c>
      <c r="I36" s="24">
        <f t="shared" si="0"/>
        <v>4050</v>
      </c>
      <c r="J36" s="24">
        <f t="shared" si="1"/>
        <v>-2.0051284765495474</v>
      </c>
      <c r="K36" s="24">
        <f t="shared" si="2"/>
        <v>-1.873119310421981</v>
      </c>
      <c r="L36" s="24">
        <f t="shared" si="3"/>
        <v>4.7239826489116439</v>
      </c>
    </row>
    <row r="37" spans="1:12">
      <c r="A37" s="24">
        <v>4100</v>
      </c>
      <c r="B37" s="24" t="s">
        <v>144</v>
      </c>
      <c r="D37" s="24">
        <v>0</v>
      </c>
      <c r="E37" s="24">
        <v>12.5692386627197</v>
      </c>
      <c r="F37" s="24">
        <v>0</v>
      </c>
      <c r="G37" s="24">
        <v>1.23047335073352E-2</v>
      </c>
      <c r="H37" s="24">
        <v>0</v>
      </c>
      <c r="I37" s="24">
        <f t="shared" si="0"/>
        <v>4100</v>
      </c>
      <c r="J37" s="24">
        <f t="shared" si="1"/>
        <v>-2.0775176655017153</v>
      </c>
      <c r="K37" s="24">
        <f t="shared" si="2"/>
        <v>-1.9441129619684852</v>
      </c>
      <c r="L37" s="24">
        <f t="shared" si="3"/>
        <v>3.9694519667198307</v>
      </c>
    </row>
    <row r="38" spans="1:12">
      <c r="A38" s="24">
        <v>4150</v>
      </c>
      <c r="B38" s="24" t="s">
        <v>145</v>
      </c>
      <c r="D38" s="24">
        <v>0</v>
      </c>
      <c r="E38" s="24">
        <v>12.6250896453857</v>
      </c>
      <c r="F38" s="24">
        <v>0</v>
      </c>
      <c r="G38" s="24">
        <v>9.9351070821285196E-3</v>
      </c>
      <c r="H38" s="24">
        <v>0</v>
      </c>
      <c r="I38" s="24">
        <f t="shared" si="0"/>
        <v>4150</v>
      </c>
      <c r="J38" s="24">
        <f t="shared" si="1"/>
        <v>-2.1593782063714761</v>
      </c>
      <c r="K38" s="24">
        <f t="shared" si="2"/>
        <v>-2.0253807235948464</v>
      </c>
      <c r="L38" s="24">
        <f t="shared" si="3"/>
        <v>3.2126005440043031</v>
      </c>
    </row>
  </sheetData>
  <mergeCells count="1">
    <mergeCell ref="A2:H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Calibration</vt:lpstr>
      <vt:lpstr>12_18_20 (2year) call</vt:lpstr>
      <vt:lpstr>12_20_19 (1year) call</vt:lpstr>
      <vt:lpstr>test</vt:lpstr>
      <vt:lpstr>texst</vt:lpstr>
      <vt:lpstr>Weighting_Scheme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hmc</dc:creator>
  <cp:lastModifiedBy>K Cheng</cp:lastModifiedBy>
  <dcterms:created xsi:type="dcterms:W3CDTF">2010-06-14T13:59:12Z</dcterms:created>
  <dcterms:modified xsi:type="dcterms:W3CDTF">2018-12-03T17:24:48Z</dcterms:modified>
</cp:coreProperties>
</file>