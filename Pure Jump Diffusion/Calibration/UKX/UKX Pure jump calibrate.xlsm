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0730" windowHeight="11760"/>
  </bookViews>
  <sheets>
    <sheet name="Calibration" sheetId="2" r:id="rId1"/>
    <sheet name="06_19_20 (1.5year) call" sheetId="14" r:id="rId2"/>
    <sheet name="12_20_19 (1year) call" sheetId="15" r:id="rId3"/>
    <sheet name="Parameter_dist" sheetId="10" r:id="rId4"/>
  </sheets>
  <functionGroups builtInGroupCount="17"/>
  <definedNames>
    <definedName name="SpreadsheetBuilder_1" hidden="1">#REF!</definedName>
    <definedName name="SpreadsheetBuilder_4" hidden="1">#REF!</definedName>
    <definedName name="SpreadsheetBuilder_6" hidden="1">#REF!</definedName>
    <definedName name="SpreadsheetBuilder_8" hidden="1">#REF!</definedName>
    <definedName name="SpreadsheetBuilder_9" hidden="1">#REF!</definedName>
    <definedName name="test">Calibration!$D$11:$D$14</definedName>
    <definedName name="texst">Calibration!$D$11:$D$14</definedName>
    <definedName name="Weighting_Scheme">Calibration!$Z$5:$Z$6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21" i="2" l="1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20" i="2" l="1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 l="1"/>
  <c r="I35" i="15"/>
  <c r="J35" i="15" s="1"/>
  <c r="K35" i="15" s="1"/>
  <c r="L35" i="15" s="1"/>
  <c r="I34" i="15"/>
  <c r="J34" i="15" s="1"/>
  <c r="K34" i="15" s="1"/>
  <c r="L34" i="15" s="1"/>
  <c r="I33" i="15"/>
  <c r="J33" i="15" s="1"/>
  <c r="K33" i="15" s="1"/>
  <c r="L33" i="15" s="1"/>
  <c r="I32" i="15"/>
  <c r="J32" i="15" s="1"/>
  <c r="K32" i="15" s="1"/>
  <c r="L32" i="15" s="1"/>
  <c r="I31" i="15"/>
  <c r="J31" i="15" s="1"/>
  <c r="K31" i="15" s="1"/>
  <c r="L31" i="15" s="1"/>
  <c r="I30" i="15"/>
  <c r="J30" i="15" s="1"/>
  <c r="K30" i="15" s="1"/>
  <c r="L30" i="15" s="1"/>
  <c r="I29" i="15"/>
  <c r="J29" i="15" s="1"/>
  <c r="K29" i="15" s="1"/>
  <c r="L29" i="15" s="1"/>
  <c r="I28" i="15"/>
  <c r="J28" i="15" s="1"/>
  <c r="K28" i="15" s="1"/>
  <c r="L28" i="15" s="1"/>
  <c r="I27" i="15"/>
  <c r="J27" i="15" s="1"/>
  <c r="K27" i="15" s="1"/>
  <c r="L27" i="15" s="1"/>
  <c r="I26" i="15"/>
  <c r="J26" i="15" s="1"/>
  <c r="K26" i="15" s="1"/>
  <c r="L26" i="15" s="1"/>
  <c r="I25" i="15"/>
  <c r="J25" i="15" s="1"/>
  <c r="K25" i="15" s="1"/>
  <c r="L25" i="15" s="1"/>
  <c r="I24" i="15"/>
  <c r="J24" i="15" s="1"/>
  <c r="K24" i="15" s="1"/>
  <c r="L24" i="15" s="1"/>
  <c r="I23" i="15"/>
  <c r="J23" i="15" s="1"/>
  <c r="K23" i="15" s="1"/>
  <c r="L23" i="15" s="1"/>
  <c r="I22" i="15"/>
  <c r="J22" i="15" s="1"/>
  <c r="K22" i="15" s="1"/>
  <c r="L22" i="15" s="1"/>
  <c r="I21" i="15"/>
  <c r="J21" i="15" s="1"/>
  <c r="K21" i="15" s="1"/>
  <c r="L21" i="15" s="1"/>
  <c r="I20" i="15"/>
  <c r="J20" i="15" s="1"/>
  <c r="K20" i="15" s="1"/>
  <c r="L20" i="15" s="1"/>
  <c r="I19" i="15"/>
  <c r="J19" i="15" s="1"/>
  <c r="K19" i="15" s="1"/>
  <c r="L19" i="15" s="1"/>
  <c r="I18" i="15"/>
  <c r="J18" i="15" s="1"/>
  <c r="K18" i="15" s="1"/>
  <c r="L18" i="15" s="1"/>
  <c r="I17" i="15"/>
  <c r="J17" i="15" s="1"/>
  <c r="K17" i="15" s="1"/>
  <c r="L17" i="15" s="1"/>
  <c r="I16" i="15"/>
  <c r="J16" i="15" s="1"/>
  <c r="K16" i="15" s="1"/>
  <c r="L16" i="15" s="1"/>
  <c r="I15" i="15"/>
  <c r="J15" i="15" s="1"/>
  <c r="K15" i="15" s="1"/>
  <c r="L15" i="15" s="1"/>
  <c r="I14" i="15"/>
  <c r="J14" i="15" s="1"/>
  <c r="K14" i="15" s="1"/>
  <c r="L14" i="15" s="1"/>
  <c r="I13" i="15"/>
  <c r="J13" i="15" s="1"/>
  <c r="K13" i="15" s="1"/>
  <c r="L13" i="15" s="1"/>
  <c r="I12" i="15"/>
  <c r="J12" i="15" s="1"/>
  <c r="K12" i="15" s="1"/>
  <c r="L12" i="15" s="1"/>
  <c r="I11" i="15"/>
  <c r="J11" i="15" s="1"/>
  <c r="K11" i="15" s="1"/>
  <c r="L11" i="15" s="1"/>
  <c r="I10" i="15"/>
  <c r="J10" i="15" s="1"/>
  <c r="K10" i="15" s="1"/>
  <c r="L10" i="15" s="1"/>
  <c r="I9" i="15"/>
  <c r="J9" i="15" s="1"/>
  <c r="K9" i="15" s="1"/>
  <c r="L9" i="15" s="1"/>
  <c r="I8" i="15"/>
  <c r="J8" i="15" s="1"/>
  <c r="K8" i="15" s="1"/>
  <c r="L8" i="15" s="1"/>
  <c r="I7" i="15"/>
  <c r="J7" i="15" s="1"/>
  <c r="K7" i="15" s="1"/>
  <c r="L7" i="15" s="1"/>
  <c r="I6" i="15"/>
  <c r="J6" i="15" s="1"/>
  <c r="K6" i="15" s="1"/>
  <c r="L6" i="15" s="1"/>
  <c r="I5" i="15"/>
  <c r="J5" i="15" s="1"/>
  <c r="K5" i="15" s="1"/>
  <c r="L5" i="15" s="1"/>
  <c r="I4" i="15"/>
  <c r="J4" i="15" s="1"/>
  <c r="K4" i="15" s="1"/>
  <c r="L4" i="15" s="1"/>
  <c r="O3" i="15"/>
  <c r="I3" i="15"/>
  <c r="J3" i="15" s="1"/>
  <c r="K3" i="15" s="1"/>
  <c r="L3" i="15" s="1"/>
  <c r="I19" i="14"/>
  <c r="J19" i="14" s="1"/>
  <c r="K19" i="14" s="1"/>
  <c r="L19" i="14" s="1"/>
  <c r="I18" i="14"/>
  <c r="J18" i="14" s="1"/>
  <c r="K18" i="14" s="1"/>
  <c r="L18" i="14" s="1"/>
  <c r="I17" i="14"/>
  <c r="J17" i="14" s="1"/>
  <c r="K17" i="14" s="1"/>
  <c r="L17" i="14" s="1"/>
  <c r="I16" i="14"/>
  <c r="J16" i="14" s="1"/>
  <c r="K16" i="14" s="1"/>
  <c r="L16" i="14" s="1"/>
  <c r="I15" i="14"/>
  <c r="J15" i="14" s="1"/>
  <c r="K15" i="14" s="1"/>
  <c r="L15" i="14" s="1"/>
  <c r="I14" i="14"/>
  <c r="J14" i="14" s="1"/>
  <c r="K14" i="14" s="1"/>
  <c r="L14" i="14" s="1"/>
  <c r="I13" i="14"/>
  <c r="J13" i="14" s="1"/>
  <c r="K13" i="14" s="1"/>
  <c r="L13" i="14" s="1"/>
  <c r="I12" i="14"/>
  <c r="J12" i="14" s="1"/>
  <c r="K12" i="14" s="1"/>
  <c r="L12" i="14" s="1"/>
  <c r="I11" i="14"/>
  <c r="J11" i="14" s="1"/>
  <c r="K11" i="14" s="1"/>
  <c r="L11" i="14" s="1"/>
  <c r="I10" i="14"/>
  <c r="J10" i="14" s="1"/>
  <c r="K10" i="14" s="1"/>
  <c r="L10" i="14" s="1"/>
  <c r="I9" i="14"/>
  <c r="J9" i="14" s="1"/>
  <c r="K9" i="14" s="1"/>
  <c r="L9" i="14" s="1"/>
  <c r="I8" i="14"/>
  <c r="J8" i="14" s="1"/>
  <c r="K8" i="14" s="1"/>
  <c r="L8" i="14" s="1"/>
  <c r="I7" i="14"/>
  <c r="J7" i="14" s="1"/>
  <c r="K7" i="14" s="1"/>
  <c r="L7" i="14" s="1"/>
  <c r="I6" i="14"/>
  <c r="J6" i="14" s="1"/>
  <c r="K6" i="14" s="1"/>
  <c r="L6" i="14" s="1"/>
  <c r="I5" i="14"/>
  <c r="J5" i="14" s="1"/>
  <c r="K5" i="14" s="1"/>
  <c r="L5" i="14" s="1"/>
  <c r="I4" i="14"/>
  <c r="J4" i="14" s="1"/>
  <c r="K4" i="14" s="1"/>
  <c r="L4" i="14" s="1"/>
  <c r="O3" i="14"/>
  <c r="I3" i="14"/>
  <c r="J3" i="14" s="1"/>
  <c r="K3" i="14" s="1"/>
  <c r="L3" i="14" s="1"/>
  <c r="A4" i="10" l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3" i="10"/>
  <c r="F6" i="2" l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C24" i="2"/>
  <c r="V13" i="2"/>
  <c r="V70" i="2"/>
  <c r="V59" i="2"/>
  <c r="V10" i="2"/>
  <c r="V16" i="2"/>
  <c r="V58" i="2"/>
  <c r="V76" i="2"/>
  <c r="V87" i="2"/>
  <c r="V66" i="2"/>
  <c r="V74" i="2"/>
  <c r="V73" i="2"/>
  <c r="V54" i="2"/>
  <c r="V14" i="2"/>
  <c r="V88" i="2"/>
  <c r="V11" i="2"/>
  <c r="V7" i="2"/>
  <c r="V5" i="2"/>
  <c r="V18" i="2"/>
  <c r="V17" i="2"/>
  <c r="V60" i="2"/>
  <c r="V85" i="2"/>
  <c r="V80" i="2"/>
  <c r="V82" i="2"/>
  <c r="V78" i="2"/>
  <c r="V56" i="2"/>
  <c r="V79" i="2"/>
  <c r="V55" i="2"/>
  <c r="V67" i="2"/>
  <c r="V77" i="2"/>
  <c r="V9" i="2"/>
  <c r="V75" i="2"/>
  <c r="V86" i="2"/>
  <c r="V6" i="2"/>
  <c r="V19" i="2"/>
  <c r="V72" i="2"/>
  <c r="V53" i="2"/>
  <c r="V61" i="2"/>
  <c r="V84" i="2"/>
  <c r="V83" i="2"/>
  <c r="V12" i="2"/>
  <c r="V64" i="2"/>
  <c r="V69" i="2"/>
  <c r="V81" i="2"/>
  <c r="V71" i="2"/>
  <c r="V68" i="2"/>
  <c r="V62" i="2"/>
  <c r="V15" i="2"/>
  <c r="V57" i="2"/>
  <c r="V8" i="2"/>
  <c r="V63" i="2"/>
  <c r="V65" i="2"/>
  <c r="V50" i="2"/>
  <c r="V48" i="2"/>
  <c r="V41" i="2"/>
  <c r="V42" i="2"/>
  <c r="V38" i="2"/>
  <c r="V51" i="2"/>
  <c r="V40" i="2"/>
  <c r="V47" i="2"/>
  <c r="V22" i="2"/>
  <c r="V35" i="2"/>
  <c r="V32" i="2"/>
  <c r="V30" i="2"/>
  <c r="V43" i="2"/>
  <c r="V39" i="2"/>
  <c r="V21" i="2"/>
  <c r="V44" i="2"/>
  <c r="V24" i="2"/>
  <c r="V25" i="2"/>
  <c r="V37" i="2"/>
  <c r="V36" i="2"/>
  <c r="V27" i="2"/>
  <c r="V46" i="2"/>
  <c r="V29" i="2"/>
  <c r="V34" i="2"/>
  <c r="V52" i="2"/>
  <c r="V23" i="2"/>
  <c r="V33" i="2"/>
  <c r="V26" i="2"/>
  <c r="V31" i="2"/>
  <c r="V49" i="2"/>
  <c r="V45" i="2"/>
  <c r="V28" i="2"/>
  <c r="V20" i="2"/>
  <c r="C5" i="2" l="1"/>
  <c r="V2" i="2"/>
  <c r="N20" i="2" l="1"/>
  <c r="N19" i="2"/>
  <c r="N15" i="2"/>
  <c r="N11" i="2"/>
  <c r="N7" i="2"/>
  <c r="N17" i="2"/>
  <c r="N16" i="2"/>
  <c r="N8" i="2"/>
  <c r="N18" i="2"/>
  <c r="N14" i="2"/>
  <c r="N10" i="2"/>
  <c r="N6" i="2"/>
  <c r="N5" i="2"/>
  <c r="N13" i="2"/>
  <c r="N9" i="2"/>
  <c r="N12" i="2"/>
  <c r="W87" i="2"/>
  <c r="W85" i="2"/>
  <c r="W83" i="2"/>
  <c r="W84" i="2"/>
  <c r="W88" i="2"/>
  <c r="W86" i="2"/>
  <c r="W7" i="2"/>
  <c r="W81" i="2"/>
  <c r="W79" i="2"/>
  <c r="W77" i="2"/>
  <c r="W75" i="2"/>
  <c r="W73" i="2"/>
  <c r="W71" i="2"/>
  <c r="W69" i="2"/>
  <c r="W67" i="2"/>
  <c r="W65" i="2"/>
  <c r="W82" i="2"/>
  <c r="W80" i="2"/>
  <c r="W78" i="2"/>
  <c r="W76" i="2"/>
  <c r="W74" i="2"/>
  <c r="W72" i="2"/>
  <c r="W70" i="2"/>
  <c r="W68" i="2"/>
  <c r="W66" i="2"/>
  <c r="W60" i="2"/>
  <c r="W64" i="2"/>
  <c r="W56" i="2"/>
  <c r="W48" i="2"/>
  <c r="W41" i="2"/>
  <c r="W33" i="2"/>
  <c r="W25" i="2"/>
  <c r="W61" i="2"/>
  <c r="W53" i="2"/>
  <c r="W44" i="2"/>
  <c r="W36" i="2"/>
  <c r="W28" i="2"/>
  <c r="W20" i="2"/>
  <c r="W12" i="2"/>
  <c r="W19" i="2"/>
  <c r="W11" i="2"/>
  <c r="W52" i="2"/>
  <c r="W45" i="2"/>
  <c r="W37" i="2"/>
  <c r="W29" i="2"/>
  <c r="W21" i="2"/>
  <c r="W57" i="2"/>
  <c r="W49" i="2"/>
  <c r="W40" i="2"/>
  <c r="W32" i="2"/>
  <c r="W24" i="2"/>
  <c r="W16" i="2"/>
  <c r="W8" i="2"/>
  <c r="W15" i="2"/>
  <c r="W62" i="2"/>
  <c r="W58" i="2"/>
  <c r="W54" i="2"/>
  <c r="W50" i="2"/>
  <c r="W46" i="2"/>
  <c r="W43" i="2"/>
  <c r="W39" i="2"/>
  <c r="W35" i="2"/>
  <c r="W31" i="2"/>
  <c r="W27" i="2"/>
  <c r="W23" i="2"/>
  <c r="W63" i="2"/>
  <c r="W59" i="2"/>
  <c r="W55" i="2"/>
  <c r="W51" i="2"/>
  <c r="W47" i="2"/>
  <c r="W42" i="2"/>
  <c r="W38" i="2"/>
  <c r="W34" i="2"/>
  <c r="W30" i="2"/>
  <c r="W26" i="2"/>
  <c r="W22" i="2"/>
  <c r="W18" i="2"/>
  <c r="W14" i="2"/>
  <c r="W10" i="2"/>
  <c r="W6" i="2"/>
  <c r="W17" i="2"/>
  <c r="W13" i="2"/>
  <c r="W9" i="2"/>
  <c r="W5" i="2"/>
</calcChain>
</file>

<file path=xl/sharedStrings.xml><?xml version="1.0" encoding="utf-8"?>
<sst xmlns="http://schemas.openxmlformats.org/spreadsheetml/2006/main" count="148" uniqueCount="125">
  <si>
    <t>Calibration Date</t>
    <phoneticPr fontId="1" type="noConversion"/>
  </si>
  <si>
    <t>Market parameters</t>
    <phoneticPr fontId="1" type="noConversion"/>
  </si>
  <si>
    <t>Current Spot</t>
    <phoneticPr fontId="1" type="noConversion"/>
  </si>
  <si>
    <t>Parameter Bounds</t>
    <phoneticPr fontId="1" type="noConversion"/>
  </si>
  <si>
    <t>Lower</t>
    <phoneticPr fontId="1" type="noConversion"/>
  </si>
  <si>
    <t>κ</t>
    <phoneticPr fontId="1" type="noConversion"/>
  </si>
  <si>
    <t>θ</t>
    <phoneticPr fontId="1" type="noConversion"/>
  </si>
  <si>
    <t>ε</t>
    <phoneticPr fontId="1" type="noConversion"/>
  </si>
  <si>
    <t>ρ</t>
    <phoneticPr fontId="1" type="noConversion"/>
  </si>
  <si>
    <t>Upper</t>
    <phoneticPr fontId="1" type="noConversion"/>
  </si>
  <si>
    <t>DE settings</t>
    <phoneticPr fontId="1" type="noConversion"/>
  </si>
  <si>
    <t>No. of Population</t>
    <phoneticPr fontId="1" type="noConversion"/>
  </si>
  <si>
    <t>No. of Generation</t>
    <phoneticPr fontId="1" type="noConversion"/>
  </si>
  <si>
    <t>Crossover Rate</t>
    <phoneticPr fontId="1" type="noConversion"/>
  </si>
  <si>
    <t>Mutation Scale (F)</t>
    <phoneticPr fontId="1" type="noConversion"/>
  </si>
  <si>
    <t>Stopping Precision</t>
    <phoneticPr fontId="1" type="noConversion"/>
  </si>
  <si>
    <t>Observation Table</t>
    <phoneticPr fontId="1" type="noConversion"/>
  </si>
  <si>
    <t>No.</t>
    <phoneticPr fontId="1" type="noConversion"/>
  </si>
  <si>
    <t>Strike</t>
    <phoneticPr fontId="1" type="noConversion"/>
  </si>
  <si>
    <t>Time to Maturity</t>
    <phoneticPr fontId="1" type="noConversion"/>
  </si>
  <si>
    <t>Weight</t>
    <phoneticPr fontId="1" type="noConversion"/>
  </si>
  <si>
    <t>Weighting Scheme</t>
    <phoneticPr fontId="1" type="noConversion"/>
  </si>
  <si>
    <t>USDHKD</t>
  </si>
  <si>
    <t>EURUSD</t>
  </si>
  <si>
    <t>USDCNY</t>
  </si>
  <si>
    <t>AUDUSD</t>
  </si>
  <si>
    <t>GBPUSD</t>
  </si>
  <si>
    <t>NZDUSD</t>
  </si>
  <si>
    <t>USDCHF</t>
  </si>
  <si>
    <t>USDJPY</t>
  </si>
  <si>
    <t>CHFHKD</t>
  </si>
  <si>
    <t>Vega</t>
    <phoneticPr fontId="1" type="noConversion"/>
  </si>
  <si>
    <t>Output</t>
    <phoneticPr fontId="1" type="noConversion"/>
  </si>
  <si>
    <t>Equal</t>
    <phoneticPr fontId="1" type="noConversion"/>
  </si>
  <si>
    <t>Vega</t>
    <phoneticPr fontId="1" type="noConversion"/>
  </si>
  <si>
    <t>E. Weight</t>
  </si>
  <si>
    <t>V. Weight</t>
  </si>
  <si>
    <t>Model Price</t>
    <phoneticPr fontId="1" type="noConversion"/>
  </si>
  <si>
    <t>Market Price</t>
    <phoneticPr fontId="1" type="noConversion"/>
  </si>
  <si>
    <t>Difference</t>
    <phoneticPr fontId="1" type="noConversion"/>
  </si>
  <si>
    <t>% Error</t>
    <phoneticPr fontId="1" type="noConversion"/>
  </si>
  <si>
    <t>Market Option Price</t>
    <phoneticPr fontId="1" type="noConversion"/>
  </si>
  <si>
    <r>
      <t>V</t>
    </r>
    <r>
      <rPr>
        <b/>
        <vertAlign val="subscript"/>
        <sz val="12"/>
        <color theme="1"/>
        <rFont val="Arial"/>
        <family val="2"/>
      </rPr>
      <t>0</t>
    </r>
  </si>
  <si>
    <t>Index Name</t>
  </si>
  <si>
    <t>Observed data</t>
  </si>
  <si>
    <t>UKX</t>
  </si>
  <si>
    <t>UK interest rate</t>
  </si>
  <si>
    <t>d2</t>
  </si>
  <si>
    <t>d1</t>
  </si>
  <si>
    <t>λ</t>
  </si>
  <si>
    <t>μ</t>
  </si>
  <si>
    <t>σ</t>
  </si>
  <si>
    <t>recal sample size</t>
  </si>
  <si>
    <t>q</t>
  </si>
  <si>
    <t>Strike</t>
  </si>
  <si>
    <t>Ticker</t>
  </si>
  <si>
    <t>Mid</t>
  </si>
  <si>
    <t>Last</t>
  </si>
  <si>
    <t>IVM</t>
  </si>
  <si>
    <t>Volm</t>
  </si>
  <si>
    <t>sDM</t>
  </si>
  <si>
    <t>VL</t>
  </si>
  <si>
    <t>BS call price</t>
  </si>
  <si>
    <t>S_0</t>
  </si>
  <si>
    <t>From Bloomberg</t>
  </si>
  <si>
    <t>19-Jun-20 (578d); CSize 10</t>
  </si>
  <si>
    <t>r</t>
  </si>
  <si>
    <t>From https://www.investing.com/rates-bonds/uk-2-year-bond-yield</t>
  </si>
  <si>
    <t>UKX 6/19/20 C6300</t>
  </si>
  <si>
    <t>T</t>
  </si>
  <si>
    <t>UKX 6/19/20 C6400</t>
  </si>
  <si>
    <t>UKX 6/19/20 C6500</t>
  </si>
  <si>
    <t>UKX 6/19/20 C6600</t>
  </si>
  <si>
    <t>UKX 6/19/20 C6700</t>
  </si>
  <si>
    <t>UKX 6/19/20 C6800</t>
  </si>
  <si>
    <t>UKX 6/19/20 C6900</t>
  </si>
  <si>
    <t>UKX 6/19/20 C7000</t>
  </si>
  <si>
    <t>UKX 6/19/20 C7100</t>
  </si>
  <si>
    <t>UKX 6/19/20 C7200</t>
  </si>
  <si>
    <t>UKX 6/19/20 C7300</t>
  </si>
  <si>
    <t>UKX 6/19/20 C7350</t>
  </si>
  <si>
    <t>UKX 6/19/20 C7400</t>
  </si>
  <si>
    <t>UKX 6/19/20 C7500</t>
  </si>
  <si>
    <t>UKX 6/19/20 C7600</t>
  </si>
  <si>
    <t>UKX 6/19/20 C7700</t>
  </si>
  <si>
    <t>UKX 6/19/20 C7800</t>
  </si>
  <si>
    <t>20-Dec-19 (396d); CSize 10</t>
  </si>
  <si>
    <t>From https://www.investing.com/rates-bonds/uk-1-year-bond-yield</t>
  </si>
  <si>
    <t>UKX 12/20/19 C6200</t>
  </si>
  <si>
    <t>UKX 12/20/19 C6250</t>
  </si>
  <si>
    <t>UKX 12/20/19 C6275</t>
  </si>
  <si>
    <t>UKX 12/20/19 C6300</t>
  </si>
  <si>
    <t>UKX 12/20/19 C6350</t>
  </si>
  <si>
    <t>UKX 12/20/19 C6400</t>
  </si>
  <si>
    <t>UKX 12/20/19 C6430</t>
  </si>
  <si>
    <t>UKX 12/20/19 C6490</t>
  </si>
  <si>
    <t>UKX 12/20/19 C6500</t>
  </si>
  <si>
    <t>UKX 12/20/19 C6550</t>
  </si>
  <si>
    <t>UKX 12/20/19 C6600</t>
  </si>
  <si>
    <t>UKX 12/20/19 C6700</t>
  </si>
  <si>
    <t>UKX 12/20/19 C6800</t>
  </si>
  <si>
    <t>UKX 12/20/19 C6900</t>
  </si>
  <si>
    <t>UKX 12/20/19 C7000</t>
  </si>
  <si>
    <t>UKX 12/20/19 C7049</t>
  </si>
  <si>
    <t>UKX 12/20/19 C7050</t>
  </si>
  <si>
    <t>UKX 12/20/19 C7100</t>
  </si>
  <si>
    <t>UKX 12/20/19 C7150</t>
  </si>
  <si>
    <t>UKX 12/20/19 C7200</t>
  </si>
  <si>
    <t>UKX 12/20/19 C7250</t>
  </si>
  <si>
    <t>UKX 12/20/19 C7270</t>
  </si>
  <si>
    <t>UKX 12/20/19 C7300</t>
  </si>
  <si>
    <t>UKX 12/20/19 C7337</t>
  </si>
  <si>
    <t>UKX 12/20/19 C7350</t>
  </si>
  <si>
    <t>UKX 12/20/19 C7400</t>
  </si>
  <si>
    <t>UKX 12/20/19 C7500</t>
  </si>
  <si>
    <t>UKX 12/20/19 C7600</t>
  </si>
  <si>
    <t>UKX 12/20/19 C7700</t>
  </si>
  <si>
    <t>UKX 12/20/19 C7800</t>
  </si>
  <si>
    <t>UKX 12/20/19 C7900</t>
  </si>
  <si>
    <t>UKX 12/20/19 C8000</t>
  </si>
  <si>
    <t>UKX 12/20/19 C8100</t>
  </si>
  <si>
    <t>Stock Price</t>
  </si>
  <si>
    <t>Equal</t>
  </si>
  <si>
    <t>m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</si>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</sst>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0000%"/>
  </numFmts>
  <fonts count="14">
    <font>
      <sz val="11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11"/>
      <color rgb="FF000000"/>
      <name val="Trebuchet MS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2"/>
    </font>
    <font>
      <sz val="11"/>
      <color rgb="FF000000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4F81BD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>
      <alignment horizontal="left" wrapText="1"/>
    </xf>
    <xf numFmtId="0" fontId="8" fillId="0" borderId="0"/>
    <xf numFmtId="9" fontId="9" fillId="0" borderId="0" applyFont="0" applyFill="0" applyBorder="0" applyAlignment="0" applyProtection="0"/>
    <xf numFmtId="0" fontId="8" fillId="0" borderId="0"/>
    <xf numFmtId="0" fontId="12" fillId="4" borderId="0"/>
  </cellStyleXfs>
  <cellXfs count="6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0" fontId="4" fillId="3" borderId="5" xfId="0" applyNumberFormat="1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0" fontId="4" fillId="3" borderId="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2"/>
    <xf numFmtId="165" fontId="4" fillId="0" borderId="0" xfId="3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12" fillId="4" borderId="0" xfId="5" applyNumberFormat="1" applyFont="1" applyFill="1" applyBorder="1" applyAlignment="1" applyProtection="1"/>
    <xf numFmtId="0" fontId="12" fillId="4" borderId="12" xfId="5" applyNumberFormat="1" applyFont="1" applyFill="1" applyBorder="1" applyAlignment="1" applyProtection="1"/>
    <xf numFmtId="0" fontId="8" fillId="0" borderId="13" xfId="2" applyBorder="1"/>
    <xf numFmtId="0" fontId="13" fillId="0" borderId="0" xfId="5" applyNumberFormat="1" applyFont="1" applyFill="1" applyBorder="1" applyAlignment="1" applyProtection="1"/>
    <xf numFmtId="0" fontId="12" fillId="4" borderId="10" xfId="5" applyNumberFormat="1" applyFont="1" applyFill="1" applyBorder="1" applyAlignment="1" applyProtection="1"/>
    <xf numFmtId="0" fontId="8" fillId="0" borderId="4" xfId="2" applyNumberFormat="1" applyBorder="1"/>
    <xf numFmtId="0" fontId="12" fillId="4" borderId="11" xfId="5" applyNumberFormat="1" applyFont="1" applyFill="1" applyBorder="1" applyAlignment="1" applyProtection="1"/>
    <xf numFmtId="0" fontId="8" fillId="0" borderId="8" xfId="2" applyNumberFormat="1" applyBorder="1"/>
    <xf numFmtId="14" fontId="8" fillId="0" borderId="0" xfId="2" applyNumberFormat="1"/>
    <xf numFmtId="0" fontId="8" fillId="0" borderId="14" xfId="2" applyBorder="1"/>
    <xf numFmtId="0" fontId="8" fillId="0" borderId="15" xfId="2" applyBorder="1"/>
    <xf numFmtId="0" fontId="8" fillId="0" borderId="16" xfId="2" applyBorder="1"/>
    <xf numFmtId="0" fontId="8" fillId="0" borderId="0" xfId="2" applyBorder="1"/>
    <xf numFmtId="0" fontId="8" fillId="0" borderId="4" xfId="2" applyBorder="1"/>
    <xf numFmtId="0" fontId="8" fillId="0" borderId="0" xfId="2" applyFill="1" applyBorder="1"/>
    <xf numFmtId="0" fontId="8" fillId="0" borderId="17" xfId="2" applyBorder="1"/>
    <xf numFmtId="0" fontId="8" fillId="0" borderId="7" xfId="2" applyBorder="1"/>
    <xf numFmtId="0" fontId="8" fillId="0" borderId="8" xfId="2" applyBorder="1"/>
    <xf numFmtId="10" fontId="8" fillId="0" borderId="4" xfId="2" applyNumberFormat="1" applyBorder="1"/>
    <xf numFmtId="0" fontId="6" fillId="2" borderId="18" xfId="0" applyFont="1" applyFill="1" applyBorder="1" applyAlignment="1">
      <alignment horizontal="center" vertical="center"/>
    </xf>
    <xf numFmtId="164" fontId="4" fillId="3" borderId="4" xfId="0" applyNumberFormat="1" applyFont="1" applyFill="1" applyBorder="1" applyAlignment="1">
      <alignment horizontal="center" vertical="center"/>
    </xf>
    <xf numFmtId="164" fontId="4" fillId="3" borderId="8" xfId="0" applyNumberFormat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0" borderId="4" xfId="0" applyFont="1" applyBorder="1">
      <alignment vertical="center"/>
    </xf>
    <xf numFmtId="0" fontId="4" fillId="0" borderId="8" xfId="0" applyFont="1" applyBorder="1">
      <alignment vertical="center"/>
    </xf>
    <xf numFmtId="0" fontId="6" fillId="2" borderId="1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2"/>
  </cellXfs>
  <cellStyles count="6">
    <cellStyle name="blp_column_header" xfId="5"/>
    <cellStyle name="Normal" xfId="0" builtinId="0"/>
    <cellStyle name="Normal 2" xfId="1"/>
    <cellStyle name="Normal 3" xfId="2"/>
    <cellStyle name="Normal 4" xfId="4"/>
    <cellStyle name="Percent" xfId="3" builtinId="5"/>
  </cellStyles>
  <dxfs count="0"/>
  <tableStyles count="0" defaultTableStyle="TableStyleMedium9" defaultPivotStyle="PivotStyleLight16"/>
  <colors>
    <mruColors>
      <color rgb="FFCCFFCC"/>
      <color rgb="FFCCFF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UKX BS Call price (1.5 years)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'06_19_20 (1.5year) call'!$I$5:$I$18</c:f>
              <c:numCache>
                <c:formatCode>General</c:formatCode>
                <c:ptCount val="14"/>
                <c:pt idx="0">
                  <c:v>6500</c:v>
                </c:pt>
                <c:pt idx="1">
                  <c:v>6600</c:v>
                </c:pt>
                <c:pt idx="2">
                  <c:v>6700</c:v>
                </c:pt>
                <c:pt idx="3">
                  <c:v>6800</c:v>
                </c:pt>
                <c:pt idx="4">
                  <c:v>6900</c:v>
                </c:pt>
                <c:pt idx="5">
                  <c:v>7000</c:v>
                </c:pt>
                <c:pt idx="6">
                  <c:v>7100</c:v>
                </c:pt>
                <c:pt idx="7">
                  <c:v>7200</c:v>
                </c:pt>
                <c:pt idx="8">
                  <c:v>7300</c:v>
                </c:pt>
                <c:pt idx="9">
                  <c:v>7350</c:v>
                </c:pt>
                <c:pt idx="10">
                  <c:v>7400</c:v>
                </c:pt>
                <c:pt idx="11">
                  <c:v>7500</c:v>
                </c:pt>
                <c:pt idx="12">
                  <c:v>7600</c:v>
                </c:pt>
                <c:pt idx="13">
                  <c:v>7700</c:v>
                </c:pt>
              </c:numCache>
            </c:numRef>
          </c:cat>
          <c:val>
            <c:numRef>
              <c:f>'06_19_20 (1.5year) call'!$L$5:$L$18</c:f>
              <c:numCache>
                <c:formatCode>General</c:formatCode>
                <c:ptCount val="14"/>
                <c:pt idx="0">
                  <c:v>867.04443184780075</c:v>
                </c:pt>
                <c:pt idx="1">
                  <c:v>796.07765149646229</c:v>
                </c:pt>
                <c:pt idx="2">
                  <c:v>727.98048624480543</c:v>
                </c:pt>
                <c:pt idx="3">
                  <c:v>663.55502028393767</c:v>
                </c:pt>
                <c:pt idx="4">
                  <c:v>602.58608242076298</c:v>
                </c:pt>
                <c:pt idx="5">
                  <c:v>545.28743654363825</c:v>
                </c:pt>
                <c:pt idx="6">
                  <c:v>490.73911462269325</c:v>
                </c:pt>
                <c:pt idx="7">
                  <c:v>439.59955391426593</c:v>
                </c:pt>
                <c:pt idx="8">
                  <c:v>391.70701917227188</c:v>
                </c:pt>
                <c:pt idx="9">
                  <c:v>369.05815685635753</c:v>
                </c:pt>
                <c:pt idx="10">
                  <c:v>347.51104313808037</c:v>
                </c:pt>
                <c:pt idx="11">
                  <c:v>310.14415362245018</c:v>
                </c:pt>
                <c:pt idx="12">
                  <c:v>272.71785950608455</c:v>
                </c:pt>
                <c:pt idx="13">
                  <c:v>239.2321611350917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684-44D5-93B7-4E19A25C8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458752"/>
        <c:axId val="144360576"/>
      </c:lineChart>
      <c:catAx>
        <c:axId val="13445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60576"/>
        <c:crosses val="autoZero"/>
        <c:auto val="1"/>
        <c:lblAlgn val="ctr"/>
        <c:lblOffset val="100"/>
        <c:noMultiLvlLbl val="0"/>
      </c:catAx>
      <c:valAx>
        <c:axId val="14436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45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UKX</a:t>
            </a:r>
            <a:r>
              <a:rPr lang="en-US" baseline="0"/>
              <a:t> Implied Volatility (1.5 years)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'06_19_20 (1.5year) call'!$I$4:$I$18</c:f>
              <c:numCache>
                <c:formatCode>General</c:formatCode>
                <c:ptCount val="15"/>
                <c:pt idx="0">
                  <c:v>6400</c:v>
                </c:pt>
                <c:pt idx="1">
                  <c:v>6500</c:v>
                </c:pt>
                <c:pt idx="2">
                  <c:v>6600</c:v>
                </c:pt>
                <c:pt idx="3">
                  <c:v>6700</c:v>
                </c:pt>
                <c:pt idx="4">
                  <c:v>6800</c:v>
                </c:pt>
                <c:pt idx="5">
                  <c:v>6900</c:v>
                </c:pt>
                <c:pt idx="6">
                  <c:v>7000</c:v>
                </c:pt>
                <c:pt idx="7">
                  <c:v>7100</c:v>
                </c:pt>
                <c:pt idx="8">
                  <c:v>7200</c:v>
                </c:pt>
                <c:pt idx="9">
                  <c:v>7300</c:v>
                </c:pt>
                <c:pt idx="10">
                  <c:v>7350</c:v>
                </c:pt>
                <c:pt idx="11">
                  <c:v>7400</c:v>
                </c:pt>
                <c:pt idx="12">
                  <c:v>7500</c:v>
                </c:pt>
                <c:pt idx="13">
                  <c:v>7600</c:v>
                </c:pt>
                <c:pt idx="14">
                  <c:v>7700</c:v>
                </c:pt>
              </c:numCache>
            </c:numRef>
          </c:cat>
          <c:val>
            <c:numRef>
              <c:f>'06_19_20 (1.5year) call'!$E$4:$E$18</c:f>
              <c:numCache>
                <c:formatCode>General</c:formatCode>
                <c:ptCount val="15"/>
                <c:pt idx="0">
                  <c:v>16.3257141113281</c:v>
                </c:pt>
                <c:pt idx="1">
                  <c:v>15.533057212829601</c:v>
                </c:pt>
                <c:pt idx="2">
                  <c:v>15.217466354370099</c:v>
                </c:pt>
                <c:pt idx="3">
                  <c:v>14.920085906982401</c:v>
                </c:pt>
                <c:pt idx="4">
                  <c:v>14.658659934997599</c:v>
                </c:pt>
                <c:pt idx="5">
                  <c:v>14.420640945434601</c:v>
                </c:pt>
                <c:pt idx="6">
                  <c:v>14.2074899673462</c:v>
                </c:pt>
                <c:pt idx="7">
                  <c:v>13.9897899627685</c:v>
                </c:pt>
                <c:pt idx="8">
                  <c:v>13.7837572097778</c:v>
                </c:pt>
                <c:pt idx="9">
                  <c:v>13.583014488220201</c:v>
                </c:pt>
                <c:pt idx="10">
                  <c:v>13.4864854812622</c:v>
                </c:pt>
                <c:pt idx="11">
                  <c:v>13.3991432189941</c:v>
                </c:pt>
                <c:pt idx="12">
                  <c:v>13.3227214813232</c:v>
                </c:pt>
                <c:pt idx="13">
                  <c:v>13.1581106185913</c:v>
                </c:pt>
                <c:pt idx="14">
                  <c:v>13.0217943191528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F82-4B24-B881-5CB785DB7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61248"/>
        <c:axId val="143862784"/>
      </c:lineChart>
      <c:catAx>
        <c:axId val="14386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2784"/>
        <c:crosses val="autoZero"/>
        <c:auto val="1"/>
        <c:lblAlgn val="ctr"/>
        <c:lblOffset val="100"/>
        <c:noMultiLvlLbl val="0"/>
      </c:catAx>
      <c:valAx>
        <c:axId val="143862784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6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UKX BS Call price (1 years)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call'!$I$11:$I$29</c:f>
              <c:numCache>
                <c:formatCode>General</c:formatCode>
                <c:ptCount val="19"/>
                <c:pt idx="0">
                  <c:v>6500</c:v>
                </c:pt>
                <c:pt idx="1">
                  <c:v>6550</c:v>
                </c:pt>
                <c:pt idx="2">
                  <c:v>6600</c:v>
                </c:pt>
                <c:pt idx="3">
                  <c:v>6700</c:v>
                </c:pt>
                <c:pt idx="4">
                  <c:v>6800</c:v>
                </c:pt>
                <c:pt idx="5">
                  <c:v>6900</c:v>
                </c:pt>
                <c:pt idx="6">
                  <c:v>7000</c:v>
                </c:pt>
                <c:pt idx="7">
                  <c:v>7049</c:v>
                </c:pt>
                <c:pt idx="8">
                  <c:v>7050</c:v>
                </c:pt>
                <c:pt idx="9">
                  <c:v>7100</c:v>
                </c:pt>
                <c:pt idx="10">
                  <c:v>7150</c:v>
                </c:pt>
                <c:pt idx="11">
                  <c:v>7200</c:v>
                </c:pt>
                <c:pt idx="12">
                  <c:v>7250</c:v>
                </c:pt>
                <c:pt idx="13">
                  <c:v>7270</c:v>
                </c:pt>
                <c:pt idx="14">
                  <c:v>7300</c:v>
                </c:pt>
                <c:pt idx="15">
                  <c:v>7337</c:v>
                </c:pt>
                <c:pt idx="16">
                  <c:v>7350</c:v>
                </c:pt>
                <c:pt idx="17">
                  <c:v>7400</c:v>
                </c:pt>
                <c:pt idx="18">
                  <c:v>7500</c:v>
                </c:pt>
              </c:numCache>
            </c:numRef>
          </c:cat>
          <c:val>
            <c:numRef>
              <c:f>'12_20_19 (1year) call'!$L$11:$L$29</c:f>
              <c:numCache>
                <c:formatCode>General</c:formatCode>
                <c:ptCount val="19"/>
                <c:pt idx="0">
                  <c:v>786.58348788219064</c:v>
                </c:pt>
                <c:pt idx="1">
                  <c:v>744.88563609830726</c:v>
                </c:pt>
                <c:pt idx="2">
                  <c:v>708.55298795724411</c:v>
                </c:pt>
                <c:pt idx="3">
                  <c:v>638.1076320954844</c:v>
                </c:pt>
                <c:pt idx="4">
                  <c:v>570.56950052266166</c:v>
                </c:pt>
                <c:pt idx="5">
                  <c:v>507.3306552429417</c:v>
                </c:pt>
                <c:pt idx="6">
                  <c:v>447.49728167819694</c:v>
                </c:pt>
                <c:pt idx="7">
                  <c:v>419.8494563691529</c:v>
                </c:pt>
                <c:pt idx="8">
                  <c:v>419.2224364461631</c:v>
                </c:pt>
                <c:pt idx="9">
                  <c:v>392.42426886281783</c:v>
                </c:pt>
                <c:pt idx="10">
                  <c:v>365.73807393801599</c:v>
                </c:pt>
                <c:pt idx="11">
                  <c:v>340.56529297378438</c:v>
                </c:pt>
                <c:pt idx="12">
                  <c:v>316.36922185192543</c:v>
                </c:pt>
                <c:pt idx="13">
                  <c:v>307.16726131220867</c:v>
                </c:pt>
                <c:pt idx="14">
                  <c:v>293.75947803127519</c:v>
                </c:pt>
                <c:pt idx="15">
                  <c:v>277.47368668577701</c:v>
                </c:pt>
                <c:pt idx="16">
                  <c:v>272.18591150972179</c:v>
                </c:pt>
                <c:pt idx="17">
                  <c:v>251.67209587107118</c:v>
                </c:pt>
                <c:pt idx="18">
                  <c:v>213.61167683413987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2B4-4C08-BB33-00EEDBDBB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08256"/>
        <c:axId val="144209792"/>
      </c:lineChart>
      <c:catAx>
        <c:axId val="14420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09792"/>
        <c:crosses val="autoZero"/>
        <c:auto val="1"/>
        <c:lblAlgn val="ctr"/>
        <c:lblOffset val="100"/>
        <c:noMultiLvlLbl val="0"/>
      </c:catAx>
      <c:valAx>
        <c:axId val="14420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0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UKX</a:t>
            </a:r>
            <a:r>
              <a:rPr lang="en-US" baseline="0"/>
              <a:t> Implied Volatility (1.5 years)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call'!$I$3:$I$35</c:f>
              <c:numCache>
                <c:formatCode>General</c:formatCode>
                <c:ptCount val="33"/>
                <c:pt idx="0">
                  <c:v>6200</c:v>
                </c:pt>
                <c:pt idx="1">
                  <c:v>6250</c:v>
                </c:pt>
                <c:pt idx="2">
                  <c:v>6275</c:v>
                </c:pt>
                <c:pt idx="3">
                  <c:v>6300</c:v>
                </c:pt>
                <c:pt idx="4">
                  <c:v>6350</c:v>
                </c:pt>
                <c:pt idx="5">
                  <c:v>6400</c:v>
                </c:pt>
                <c:pt idx="6">
                  <c:v>6430</c:v>
                </c:pt>
                <c:pt idx="7">
                  <c:v>6490</c:v>
                </c:pt>
                <c:pt idx="8">
                  <c:v>6500</c:v>
                </c:pt>
                <c:pt idx="9">
                  <c:v>6550</c:v>
                </c:pt>
                <c:pt idx="10">
                  <c:v>6600</c:v>
                </c:pt>
                <c:pt idx="11">
                  <c:v>6700</c:v>
                </c:pt>
                <c:pt idx="12">
                  <c:v>6800</c:v>
                </c:pt>
                <c:pt idx="13">
                  <c:v>6900</c:v>
                </c:pt>
                <c:pt idx="14">
                  <c:v>7000</c:v>
                </c:pt>
                <c:pt idx="15">
                  <c:v>7049</c:v>
                </c:pt>
                <c:pt idx="16">
                  <c:v>7050</c:v>
                </c:pt>
                <c:pt idx="17">
                  <c:v>7100</c:v>
                </c:pt>
                <c:pt idx="18">
                  <c:v>7150</c:v>
                </c:pt>
                <c:pt idx="19">
                  <c:v>7200</c:v>
                </c:pt>
                <c:pt idx="20">
                  <c:v>7250</c:v>
                </c:pt>
                <c:pt idx="21">
                  <c:v>7270</c:v>
                </c:pt>
                <c:pt idx="22">
                  <c:v>7300</c:v>
                </c:pt>
                <c:pt idx="23">
                  <c:v>7337</c:v>
                </c:pt>
                <c:pt idx="24">
                  <c:v>7350</c:v>
                </c:pt>
                <c:pt idx="25">
                  <c:v>7400</c:v>
                </c:pt>
                <c:pt idx="26">
                  <c:v>7500</c:v>
                </c:pt>
                <c:pt idx="27">
                  <c:v>7600</c:v>
                </c:pt>
                <c:pt idx="28">
                  <c:v>7700</c:v>
                </c:pt>
                <c:pt idx="29">
                  <c:v>7800</c:v>
                </c:pt>
                <c:pt idx="30">
                  <c:v>7900</c:v>
                </c:pt>
                <c:pt idx="31">
                  <c:v>8000</c:v>
                </c:pt>
                <c:pt idx="32">
                  <c:v>8100</c:v>
                </c:pt>
              </c:numCache>
            </c:numRef>
          </c:cat>
          <c:val>
            <c:numRef>
              <c:f>'12_20_19 (1year) call'!$E$3:$E$35</c:f>
              <c:numCache>
                <c:formatCode>General</c:formatCode>
                <c:ptCount val="33"/>
                <c:pt idx="0">
                  <c:v>17.091884613037099</c:v>
                </c:pt>
                <c:pt idx="1">
                  <c:v>17.036918640136701</c:v>
                </c:pt>
                <c:pt idx="2">
                  <c:v>16.940723419189499</c:v>
                </c:pt>
                <c:pt idx="3">
                  <c:v>16.853443145751999</c:v>
                </c:pt>
                <c:pt idx="4">
                  <c:v>16.669326782226602</c:v>
                </c:pt>
                <c:pt idx="5">
                  <c:v>16.478513717651399</c:v>
                </c:pt>
                <c:pt idx="6">
                  <c:v>16.358966827392599</c:v>
                </c:pt>
                <c:pt idx="7">
                  <c:v>16.128808975219702</c:v>
                </c:pt>
                <c:pt idx="8">
                  <c:v>16.0928764343262</c:v>
                </c:pt>
                <c:pt idx="9">
                  <c:v>15.7184038162231</c:v>
                </c:pt>
                <c:pt idx="10">
                  <c:v>15.5320692062378</c:v>
                </c:pt>
                <c:pt idx="11">
                  <c:v>15.1681356430054</c:v>
                </c:pt>
                <c:pt idx="12">
                  <c:v>14.8065586090088</c:v>
                </c:pt>
                <c:pt idx="13">
                  <c:v>14.4876260757446</c:v>
                </c:pt>
                <c:pt idx="14">
                  <c:v>14.1711616516113</c:v>
                </c:pt>
                <c:pt idx="15">
                  <c:v>14.0294599533081</c:v>
                </c:pt>
                <c:pt idx="16">
                  <c:v>14.024138450622599</c:v>
                </c:pt>
                <c:pt idx="17">
                  <c:v>13.8963708877563</c:v>
                </c:pt>
                <c:pt idx="18">
                  <c:v>13.741135597229</c:v>
                </c:pt>
                <c:pt idx="19">
                  <c:v>13.6051750183106</c:v>
                </c:pt>
                <c:pt idx="20">
                  <c:v>13.469901084899901</c:v>
                </c:pt>
                <c:pt idx="21">
                  <c:v>13.4228019714356</c:v>
                </c:pt>
                <c:pt idx="22">
                  <c:v>13.3557596206665</c:v>
                </c:pt>
                <c:pt idx="23">
                  <c:v>13.2652091979981</c:v>
                </c:pt>
                <c:pt idx="24">
                  <c:v>13.244021415710399</c:v>
                </c:pt>
                <c:pt idx="25">
                  <c:v>13.135490417480501</c:v>
                </c:pt>
                <c:pt idx="26">
                  <c:v>12.921067237854</c:v>
                </c:pt>
                <c:pt idx="27">
                  <c:v>12.971843719482401</c:v>
                </c:pt>
                <c:pt idx="28">
                  <c:v>12.788519859314</c:v>
                </c:pt>
                <c:pt idx="29">
                  <c:v>12.626995086669901</c:v>
                </c:pt>
                <c:pt idx="30">
                  <c:v>12.482587814331</c:v>
                </c:pt>
                <c:pt idx="31">
                  <c:v>12.356122016906699</c:v>
                </c:pt>
                <c:pt idx="32">
                  <c:v>12.1474266052246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261-4D60-A97F-54E50700F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238848"/>
        <c:axId val="144244736"/>
      </c:lineChart>
      <c:catAx>
        <c:axId val="14423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4736"/>
        <c:crosses val="autoZero"/>
        <c:auto val="1"/>
        <c:lblAlgn val="ctr"/>
        <c:lblOffset val="100"/>
        <c:noMultiLvlLbl val="0"/>
      </c:catAx>
      <c:valAx>
        <c:axId val="144244736"/>
        <c:scaling>
          <c:orientation val="minMax"/>
          <c:max val="17.2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3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19</xdr:row>
          <xdr:rowOff>28575</xdr:rowOff>
        </xdr:from>
        <xdr:to>
          <xdr:col>4</xdr:col>
          <xdr:colOff>314325</xdr:colOff>
          <xdr:row>20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Run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24</xdr:row>
          <xdr:rowOff>66675</xdr:rowOff>
        </xdr:from>
        <xdr:to>
          <xdr:col>4</xdr:col>
          <xdr:colOff>381000</xdr:colOff>
          <xdr:row>26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Display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21</xdr:row>
          <xdr:rowOff>85725</xdr:rowOff>
        </xdr:from>
        <xdr:to>
          <xdr:col>4</xdr:col>
          <xdr:colOff>333375</xdr:colOff>
          <xdr:row>23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recal n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9524</xdr:colOff>
      <xdr:row>5</xdr:row>
      <xdr:rowOff>180975</xdr:rowOff>
    </xdr:from>
    <xdr:to>
      <xdr:col>16</xdr:col>
      <xdr:colOff>104774</xdr:colOff>
      <xdr:row>18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CB114D5D-07BD-4C4E-93DE-C15831A31F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16</xdr:col>
      <xdr:colOff>95250</xdr:colOff>
      <xdr:row>31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28559F32-D379-4AC3-8910-9D2ED643A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9524</xdr:colOff>
      <xdr:row>6</xdr:row>
      <xdr:rowOff>0</xdr:rowOff>
    </xdr:from>
    <xdr:to>
      <xdr:col>16</xdr:col>
      <xdr:colOff>104774</xdr:colOff>
      <xdr:row>18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7387A6BC-D345-4E8B-A97A-C666723B69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19</xdr:row>
      <xdr:rowOff>9525</xdr:rowOff>
    </xdr:from>
    <xdr:to>
      <xdr:col>16</xdr:col>
      <xdr:colOff>95250</xdr:colOff>
      <xdr:row>31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6135A51-F470-4443-84E4-58812FD6F8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AC104"/>
  <sheetViews>
    <sheetView tabSelected="1" zoomScale="81" zoomScaleNormal="81" workbookViewId="0"/>
  </sheetViews>
  <sheetFormatPr defaultColWidth="9.140625" defaultRowHeight="15"/>
  <cols>
    <col min="1" max="1" width="9.140625" style="1" customWidth="1"/>
    <col min="2" max="2" width="20.7109375" style="1" customWidth="1"/>
    <col min="3" max="3" width="14.28515625" style="1" bestFit="1" customWidth="1"/>
    <col min="4" max="4" width="15.7109375" style="1" customWidth="1"/>
    <col min="5" max="6" width="9.140625" style="1"/>
    <col min="7" max="7" width="24.140625" style="1" bestFit="1" customWidth="1"/>
    <col min="8" max="8" width="21" style="1" bestFit="1" customWidth="1"/>
    <col min="9" max="9" width="17.140625" style="1" bestFit="1" customWidth="1"/>
    <col min="10" max="10" width="10.7109375" style="1" customWidth="1"/>
    <col min="11" max="11" width="7.7109375" style="1" customWidth="1"/>
    <col min="12" max="12" width="12.7109375" style="1" customWidth="1"/>
    <col min="13" max="13" width="18.7109375" style="1" customWidth="1"/>
    <col min="14" max="14" width="9.140625" style="1"/>
    <col min="15" max="15" width="11.140625" style="2" bestFit="1" customWidth="1"/>
    <col min="16" max="17" width="14.5703125" style="1" bestFit="1" customWidth="1"/>
    <col min="18" max="18" width="13.42578125" style="1" bestFit="1" customWidth="1"/>
    <col min="19" max="19" width="9.42578125" style="1" bestFit="1" customWidth="1"/>
    <col min="20" max="20" width="10.7109375" style="1" bestFit="1" customWidth="1"/>
    <col min="21" max="21" width="9.140625" style="1"/>
    <col min="22" max="22" width="9.140625" style="1" hidden="1" customWidth="1"/>
    <col min="23" max="23" width="10.5703125" style="1" hidden="1" customWidth="1"/>
    <col min="24" max="24" width="10.140625" style="1" hidden="1" customWidth="1"/>
    <col min="25" max="25" width="9.140625" style="3" hidden="1" customWidth="1"/>
    <col min="26" max="27" width="9.140625" style="1" hidden="1" customWidth="1"/>
    <col min="28" max="28" width="9.140625" style="1"/>
    <col min="29" max="29" width="14.5703125" style="1" bestFit="1" customWidth="1"/>
    <col min="30" max="16384" width="9.140625" style="1"/>
  </cols>
  <sheetData>
    <row r="2" spans="2:29">
      <c r="V2" s="1" t="e">
        <f>SUM(V5:V64)</f>
        <v>#VALUE!</v>
      </c>
    </row>
    <row r="3" spans="2:29" ht="16.5" thickBot="1">
      <c r="B3" s="4" t="s">
        <v>0</v>
      </c>
      <c r="C3" s="5">
        <v>43423</v>
      </c>
      <c r="F3" s="65" t="s">
        <v>16</v>
      </c>
      <c r="G3" s="65"/>
      <c r="AC3" s="13"/>
    </row>
    <row r="4" spans="2:29" ht="16.5" thickBot="1">
      <c r="B4" s="4" t="s">
        <v>43</v>
      </c>
      <c r="C4" s="1" t="s">
        <v>45</v>
      </c>
      <c r="F4" s="55" t="s">
        <v>17</v>
      </c>
      <c r="G4" s="58" t="s">
        <v>41</v>
      </c>
      <c r="H4" s="58" t="s">
        <v>46</v>
      </c>
      <c r="I4" s="58" t="s">
        <v>121</v>
      </c>
      <c r="J4" s="58" t="s">
        <v>18</v>
      </c>
      <c r="K4" s="58"/>
      <c r="L4" s="58" t="s">
        <v>53</v>
      </c>
      <c r="M4" s="58" t="s">
        <v>19</v>
      </c>
      <c r="N4" s="58" t="s">
        <v>20</v>
      </c>
      <c r="O4" s="48"/>
      <c r="P4" s="48" t="s">
        <v>38</v>
      </c>
      <c r="Q4" s="6" t="s">
        <v>37</v>
      </c>
      <c r="R4" s="6" t="s">
        <v>39</v>
      </c>
      <c r="S4" s="6" t="s">
        <v>40</v>
      </c>
      <c r="V4" s="1" t="s">
        <v>31</v>
      </c>
      <c r="W4" s="1" t="s">
        <v>36</v>
      </c>
      <c r="X4" s="1" t="s">
        <v>35</v>
      </c>
    </row>
    <row r="5" spans="2:29">
      <c r="B5" s="1" t="s">
        <v>44</v>
      </c>
      <c r="C5" s="1">
        <f>COUNT($G:$G)</f>
        <v>34</v>
      </c>
      <c r="F5" s="56">
        <v>1</v>
      </c>
      <c r="G5" s="59">
        <v>954.44273458865791</v>
      </c>
      <c r="H5" s="59">
        <v>6.8700000000000002E-3</v>
      </c>
      <c r="I5" s="59">
        <f>$C$7</f>
        <v>7000.89</v>
      </c>
      <c r="J5" s="59">
        <v>6400</v>
      </c>
      <c r="K5" s="59"/>
      <c r="L5" s="59">
        <v>0</v>
      </c>
      <c r="M5" s="59">
        <v>1.6403162055335969</v>
      </c>
      <c r="N5" s="59">
        <f>1/$C$5</f>
        <v>2.9411764705882353E-2</v>
      </c>
      <c r="O5" s="49"/>
      <c r="P5" s="51"/>
      <c r="Q5" s="7"/>
      <c r="R5" s="7"/>
      <c r="S5" s="8"/>
      <c r="V5" s="1" t="e">
        <f>BSVegaF(I5,J5,M5,H5,L5)</f>
        <v>#VALUE!</v>
      </c>
      <c r="W5" s="1" t="e">
        <f>V5/$V$2</f>
        <v>#VALUE!</v>
      </c>
      <c r="X5" s="1">
        <v>1</v>
      </c>
      <c r="Y5" s="3" t="s">
        <v>22</v>
      </c>
      <c r="Z5" s="1" t="s">
        <v>33</v>
      </c>
    </row>
    <row r="6" spans="2:29" ht="15.75">
      <c r="B6" s="4" t="s">
        <v>1</v>
      </c>
      <c r="F6" s="56">
        <f>F5+1</f>
        <v>2</v>
      </c>
      <c r="G6" s="59">
        <v>867.04443184780075</v>
      </c>
      <c r="H6" s="59">
        <v>6.8700000000000002E-3</v>
      </c>
      <c r="I6" s="59">
        <f t="shared" ref="I6:I38" si="0">$C$7</f>
        <v>7000.89</v>
      </c>
      <c r="J6" s="59">
        <v>6500</v>
      </c>
      <c r="K6" s="59"/>
      <c r="L6" s="59">
        <v>0</v>
      </c>
      <c r="M6" s="59">
        <v>1.6403162055335969</v>
      </c>
      <c r="N6" s="59">
        <f t="shared" ref="N6:N38" si="1">1/$C$5</f>
        <v>2.9411764705882353E-2</v>
      </c>
      <c r="O6" s="49"/>
      <c r="P6" s="51"/>
      <c r="Q6" s="7"/>
      <c r="R6" s="7"/>
      <c r="S6" s="8"/>
      <c r="V6" s="1" t="e">
        <f t="shared" ref="V6:V69" si="2">BSVegaF(I6,J6,M6,H6,L6)</f>
        <v>#VALUE!</v>
      </c>
      <c r="W6" s="1" t="e">
        <f t="shared" ref="W6:W69" si="3">V6/$V$2</f>
        <v>#VALUE!</v>
      </c>
      <c r="X6" s="1">
        <v>1</v>
      </c>
      <c r="Y6" s="3" t="s">
        <v>23</v>
      </c>
      <c r="Z6" s="1" t="s">
        <v>34</v>
      </c>
    </row>
    <row r="7" spans="2:29">
      <c r="B7" s="1" t="s">
        <v>2</v>
      </c>
      <c r="C7" s="1">
        <v>7000.89</v>
      </c>
      <c r="F7" s="56">
        <f t="shared" ref="F7:F70" si="4">F6+1</f>
        <v>3</v>
      </c>
      <c r="G7" s="59">
        <v>796.07765149646229</v>
      </c>
      <c r="H7" s="59">
        <v>6.8700000000000002E-3</v>
      </c>
      <c r="I7" s="59">
        <f t="shared" si="0"/>
        <v>7000.89</v>
      </c>
      <c r="J7" s="59">
        <v>6600</v>
      </c>
      <c r="K7" s="59"/>
      <c r="L7" s="59">
        <v>0</v>
      </c>
      <c r="M7" s="59">
        <v>1.6403162055335969</v>
      </c>
      <c r="N7" s="59">
        <f t="shared" si="1"/>
        <v>2.9411764705882353E-2</v>
      </c>
      <c r="O7" s="49"/>
      <c r="P7" s="51"/>
      <c r="Q7" s="7"/>
      <c r="R7" s="7"/>
      <c r="S7" s="8"/>
      <c r="V7" s="1" t="e">
        <f t="shared" si="2"/>
        <v>#VALUE!</v>
      </c>
      <c r="W7" s="1" t="e">
        <f t="shared" si="3"/>
        <v>#VALUE!</v>
      </c>
      <c r="X7" s="1">
        <v>1</v>
      </c>
      <c r="Y7" s="3" t="s">
        <v>24</v>
      </c>
    </row>
    <row r="8" spans="2:29">
      <c r="F8" s="56">
        <f t="shared" si="4"/>
        <v>4</v>
      </c>
      <c r="G8" s="59">
        <v>727.98048624480543</v>
      </c>
      <c r="H8" s="59">
        <v>6.8700000000000002E-3</v>
      </c>
      <c r="I8" s="59">
        <f t="shared" si="0"/>
        <v>7000.89</v>
      </c>
      <c r="J8" s="59">
        <v>6700</v>
      </c>
      <c r="K8" s="59"/>
      <c r="L8" s="59">
        <v>0</v>
      </c>
      <c r="M8" s="59">
        <v>1.6403162055335969</v>
      </c>
      <c r="N8" s="59">
        <f t="shared" si="1"/>
        <v>2.9411764705882353E-2</v>
      </c>
      <c r="O8" s="49"/>
      <c r="P8" s="51"/>
      <c r="Q8" s="7"/>
      <c r="R8" s="7"/>
      <c r="S8" s="8"/>
      <c r="V8" s="1" t="e">
        <f t="shared" si="2"/>
        <v>#VALUE!</v>
      </c>
      <c r="W8" s="1" t="e">
        <f t="shared" si="3"/>
        <v>#VALUE!</v>
      </c>
      <c r="X8" s="1">
        <v>1</v>
      </c>
      <c r="Y8" s="3" t="s">
        <v>25</v>
      </c>
    </row>
    <row r="9" spans="2:29" ht="15.75">
      <c r="B9" s="4" t="s">
        <v>3</v>
      </c>
      <c r="C9" s="4" t="s">
        <v>4</v>
      </c>
      <c r="D9" s="4" t="s">
        <v>9</v>
      </c>
      <c r="F9" s="56">
        <f t="shared" si="4"/>
        <v>5</v>
      </c>
      <c r="G9" s="59">
        <v>663.55502028393767</v>
      </c>
      <c r="H9" s="59">
        <v>6.8700000000000002E-3</v>
      </c>
      <c r="I9" s="59">
        <f t="shared" si="0"/>
        <v>7000.89</v>
      </c>
      <c r="J9" s="59">
        <v>6800</v>
      </c>
      <c r="K9" s="59"/>
      <c r="L9" s="59">
        <v>0</v>
      </c>
      <c r="M9" s="59">
        <v>1.6403162055335969</v>
      </c>
      <c r="N9" s="59">
        <f t="shared" si="1"/>
        <v>2.9411764705882353E-2</v>
      </c>
      <c r="O9" s="49"/>
      <c r="P9" s="51"/>
      <c r="Q9" s="7"/>
      <c r="R9" s="7"/>
      <c r="S9" s="8"/>
      <c r="V9" s="1" t="e">
        <f t="shared" si="2"/>
        <v>#VALUE!</v>
      </c>
      <c r="W9" s="1" t="e">
        <f t="shared" si="3"/>
        <v>#VALUE!</v>
      </c>
      <c r="X9" s="1">
        <v>1</v>
      </c>
      <c r="Y9" s="3" t="s">
        <v>26</v>
      </c>
    </row>
    <row r="10" spans="2:29" ht="15.75">
      <c r="B10" s="64" t="s">
        <v>51</v>
      </c>
      <c r="C10" s="1">
        <v>0</v>
      </c>
      <c r="D10" s="1">
        <v>1</v>
      </c>
      <c r="F10" s="56">
        <f t="shared" si="4"/>
        <v>6</v>
      </c>
      <c r="G10" s="59">
        <v>602.58608242076298</v>
      </c>
      <c r="H10" s="59">
        <v>6.8700000000000002E-3</v>
      </c>
      <c r="I10" s="59">
        <f t="shared" si="0"/>
        <v>7000.89</v>
      </c>
      <c r="J10" s="59">
        <v>6900</v>
      </c>
      <c r="K10" s="59"/>
      <c r="L10" s="59">
        <v>0</v>
      </c>
      <c r="M10" s="59">
        <v>1.6403162055335969</v>
      </c>
      <c r="N10" s="59">
        <f t="shared" si="1"/>
        <v>2.9411764705882353E-2</v>
      </c>
      <c r="O10" s="49"/>
      <c r="P10" s="51"/>
      <c r="Q10" s="7"/>
      <c r="R10" s="7"/>
      <c r="S10" s="8"/>
      <c r="V10" s="1" t="e">
        <f t="shared" si="2"/>
        <v>#VALUE!</v>
      </c>
      <c r="W10" s="1" t="e">
        <f t="shared" si="3"/>
        <v>#VALUE!</v>
      </c>
      <c r="X10" s="1">
        <v>1</v>
      </c>
      <c r="Y10" s="3" t="s">
        <v>27</v>
      </c>
    </row>
    <row r="11" spans="2:29" ht="15.75">
      <c r="B11" s="15" t="s">
        <v>49</v>
      </c>
      <c r="C11" s="1">
        <v>0</v>
      </c>
      <c r="D11" s="1">
        <v>1</v>
      </c>
      <c r="F11" s="56">
        <f t="shared" si="4"/>
        <v>7</v>
      </c>
      <c r="G11" s="59">
        <v>545.28743654363825</v>
      </c>
      <c r="H11" s="59">
        <v>6.8700000000000002E-3</v>
      </c>
      <c r="I11" s="59">
        <f t="shared" si="0"/>
        <v>7000.89</v>
      </c>
      <c r="J11" s="59">
        <v>7000</v>
      </c>
      <c r="K11" s="59"/>
      <c r="L11" s="59">
        <v>0</v>
      </c>
      <c r="M11" s="59">
        <v>1.6403162055335969</v>
      </c>
      <c r="N11" s="59">
        <f t="shared" si="1"/>
        <v>2.9411764705882353E-2</v>
      </c>
      <c r="O11" s="49"/>
      <c r="P11" s="51"/>
      <c r="Q11" s="7"/>
      <c r="R11" s="7"/>
      <c r="S11" s="8"/>
      <c r="V11" s="1" t="e">
        <f t="shared" si="2"/>
        <v>#VALUE!</v>
      </c>
      <c r="W11" s="1" t="e">
        <f t="shared" si="3"/>
        <v>#VALUE!</v>
      </c>
      <c r="X11" s="1">
        <v>1</v>
      </c>
      <c r="Y11" s="3" t="s">
        <v>29</v>
      </c>
    </row>
    <row r="12" spans="2:29" ht="15.75">
      <c r="B12" s="64" t="s">
        <v>123</v>
      </c>
      <c r="C12" s="16">
        <v>-10</v>
      </c>
      <c r="D12" s="16">
        <v>10</v>
      </c>
      <c r="F12" s="56">
        <f t="shared" si="4"/>
        <v>8</v>
      </c>
      <c r="G12" s="59">
        <v>490.73911462269325</v>
      </c>
      <c r="H12" s="59">
        <v>6.8700000000000002E-3</v>
      </c>
      <c r="I12" s="59">
        <f t="shared" si="0"/>
        <v>7000.89</v>
      </c>
      <c r="J12" s="59">
        <v>7100</v>
      </c>
      <c r="K12" s="59"/>
      <c r="L12" s="59">
        <v>0</v>
      </c>
      <c r="M12" s="59">
        <v>1.6403162055335969</v>
      </c>
      <c r="N12" s="59">
        <f t="shared" si="1"/>
        <v>2.9411764705882353E-2</v>
      </c>
      <c r="O12" s="49"/>
      <c r="P12" s="51"/>
      <c r="Q12" s="7"/>
      <c r="R12" s="7"/>
      <c r="S12" s="8"/>
      <c r="V12" s="1" t="e">
        <f t="shared" si="2"/>
        <v>#VALUE!</v>
      </c>
      <c r="W12" s="1" t="e">
        <f t="shared" si="3"/>
        <v>#VALUE!</v>
      </c>
      <c r="X12" s="1">
        <v>1</v>
      </c>
      <c r="Y12" s="3" t="s">
        <v>28</v>
      </c>
    </row>
    <row r="13" spans="2:29" ht="15.75">
      <c r="B13" s="64" t="s">
        <v>124</v>
      </c>
      <c r="C13" s="1">
        <v>0</v>
      </c>
      <c r="D13" s="16">
        <v>1</v>
      </c>
      <c r="F13" s="56">
        <f t="shared" si="4"/>
        <v>9</v>
      </c>
      <c r="G13" s="59">
        <v>439.59955391426593</v>
      </c>
      <c r="H13" s="59">
        <v>6.8700000000000002E-3</v>
      </c>
      <c r="I13" s="59">
        <f t="shared" si="0"/>
        <v>7000.89</v>
      </c>
      <c r="J13" s="59">
        <v>7200</v>
      </c>
      <c r="K13" s="59"/>
      <c r="L13" s="59">
        <v>0</v>
      </c>
      <c r="M13" s="59">
        <v>1.6403162055335969</v>
      </c>
      <c r="N13" s="59">
        <f t="shared" si="1"/>
        <v>2.9411764705882353E-2</v>
      </c>
      <c r="O13" s="49"/>
      <c r="P13" s="51"/>
      <c r="Q13" s="7"/>
      <c r="R13" s="7"/>
      <c r="S13" s="8"/>
      <c r="V13" s="1" t="e">
        <f t="shared" si="2"/>
        <v>#VALUE!</v>
      </c>
      <c r="W13" s="1" t="e">
        <f t="shared" si="3"/>
        <v>#VALUE!</v>
      </c>
      <c r="X13" s="1">
        <v>1</v>
      </c>
      <c r="Y13" s="3" t="s">
        <v>30</v>
      </c>
    </row>
    <row r="14" spans="2:29">
      <c r="F14" s="56">
        <f t="shared" si="4"/>
        <v>10</v>
      </c>
      <c r="G14" s="59">
        <v>391.70701917227188</v>
      </c>
      <c r="H14" s="59">
        <v>6.8700000000000002E-3</v>
      </c>
      <c r="I14" s="59">
        <f t="shared" si="0"/>
        <v>7000.89</v>
      </c>
      <c r="J14" s="59">
        <v>7300</v>
      </c>
      <c r="K14" s="59"/>
      <c r="L14" s="59">
        <v>0</v>
      </c>
      <c r="M14" s="59">
        <v>1.6403162055335969</v>
      </c>
      <c r="N14" s="59">
        <f t="shared" si="1"/>
        <v>2.9411764705882353E-2</v>
      </c>
      <c r="O14" s="49"/>
      <c r="P14" s="51"/>
      <c r="Q14" s="7"/>
      <c r="R14" s="7"/>
      <c r="S14" s="8"/>
      <c r="V14" s="1" t="e">
        <f t="shared" si="2"/>
        <v>#VALUE!</v>
      </c>
      <c r="W14" s="1" t="e">
        <f t="shared" si="3"/>
        <v>#VALUE!</v>
      </c>
      <c r="X14" s="1">
        <v>1</v>
      </c>
    </row>
    <row r="15" spans="2:29" ht="15.75">
      <c r="B15" s="4" t="s">
        <v>10</v>
      </c>
      <c r="F15" s="56">
        <f t="shared" si="4"/>
        <v>11</v>
      </c>
      <c r="G15" s="59">
        <v>369.05815685635753</v>
      </c>
      <c r="H15" s="59">
        <v>6.8700000000000002E-3</v>
      </c>
      <c r="I15" s="59">
        <f t="shared" si="0"/>
        <v>7000.89</v>
      </c>
      <c r="J15" s="59">
        <v>7350</v>
      </c>
      <c r="K15" s="59"/>
      <c r="L15" s="59">
        <v>0</v>
      </c>
      <c r="M15" s="59">
        <v>1.6403162055335969</v>
      </c>
      <c r="N15" s="59">
        <f t="shared" si="1"/>
        <v>2.9411764705882353E-2</v>
      </c>
      <c r="O15" s="49"/>
      <c r="P15" s="51"/>
      <c r="Q15" s="7"/>
      <c r="R15" s="7"/>
      <c r="S15" s="8"/>
      <c r="V15" s="1" t="e">
        <f t="shared" si="2"/>
        <v>#VALUE!</v>
      </c>
      <c r="W15" s="1" t="e">
        <f t="shared" si="3"/>
        <v>#VALUE!</v>
      </c>
      <c r="X15" s="1">
        <v>1</v>
      </c>
    </row>
    <row r="16" spans="2:29">
      <c r="B16" s="1" t="s">
        <v>11</v>
      </c>
      <c r="C16" s="1">
        <v>75</v>
      </c>
      <c r="F16" s="56">
        <f t="shared" si="4"/>
        <v>12</v>
      </c>
      <c r="G16" s="59">
        <v>347.51104313808037</v>
      </c>
      <c r="H16" s="59">
        <v>6.8700000000000002E-3</v>
      </c>
      <c r="I16" s="59">
        <f t="shared" si="0"/>
        <v>7000.89</v>
      </c>
      <c r="J16" s="59">
        <v>7400</v>
      </c>
      <c r="K16" s="59"/>
      <c r="L16" s="59">
        <v>0</v>
      </c>
      <c r="M16" s="59">
        <v>1.6403162055335969</v>
      </c>
      <c r="N16" s="59">
        <f t="shared" si="1"/>
        <v>2.9411764705882353E-2</v>
      </c>
      <c r="O16" s="49"/>
      <c r="P16" s="51"/>
      <c r="Q16" s="7"/>
      <c r="R16" s="7"/>
      <c r="S16" s="8"/>
      <c r="V16" s="1" t="e">
        <f t="shared" si="2"/>
        <v>#VALUE!</v>
      </c>
      <c r="W16" s="1" t="e">
        <f t="shared" si="3"/>
        <v>#VALUE!</v>
      </c>
      <c r="X16" s="1">
        <v>1</v>
      </c>
    </row>
    <row r="17" spans="2:24">
      <c r="B17" s="1" t="s">
        <v>12</v>
      </c>
      <c r="C17" s="1">
        <v>1500</v>
      </c>
      <c r="F17" s="56">
        <f t="shared" si="4"/>
        <v>13</v>
      </c>
      <c r="G17" s="59">
        <v>310.14415362245018</v>
      </c>
      <c r="H17" s="59">
        <v>6.8700000000000002E-3</v>
      </c>
      <c r="I17" s="59">
        <f t="shared" si="0"/>
        <v>7000.89</v>
      </c>
      <c r="J17" s="59">
        <v>7500</v>
      </c>
      <c r="K17" s="59"/>
      <c r="L17" s="59">
        <v>0</v>
      </c>
      <c r="M17" s="59">
        <v>1.6403162055335969</v>
      </c>
      <c r="N17" s="59">
        <f t="shared" si="1"/>
        <v>2.9411764705882353E-2</v>
      </c>
      <c r="O17" s="49"/>
      <c r="P17" s="51"/>
      <c r="Q17" s="7"/>
      <c r="R17" s="7"/>
      <c r="S17" s="8"/>
      <c r="V17" s="1" t="e">
        <f t="shared" si="2"/>
        <v>#VALUE!</v>
      </c>
      <c r="W17" s="1" t="e">
        <f t="shared" si="3"/>
        <v>#VALUE!</v>
      </c>
      <c r="X17" s="1">
        <v>1</v>
      </c>
    </row>
    <row r="18" spans="2:24">
      <c r="B18" s="1" t="s">
        <v>13</v>
      </c>
      <c r="C18" s="1">
        <v>0.5</v>
      </c>
      <c r="F18" s="56">
        <f t="shared" si="4"/>
        <v>14</v>
      </c>
      <c r="G18" s="59">
        <v>272.71785950608455</v>
      </c>
      <c r="H18" s="59">
        <v>6.8700000000000002E-3</v>
      </c>
      <c r="I18" s="59">
        <f t="shared" si="0"/>
        <v>7000.89</v>
      </c>
      <c r="J18" s="59">
        <v>7600</v>
      </c>
      <c r="K18" s="59"/>
      <c r="L18" s="59">
        <v>0</v>
      </c>
      <c r="M18" s="59">
        <v>1.6403162055335969</v>
      </c>
      <c r="N18" s="59">
        <f t="shared" si="1"/>
        <v>2.9411764705882353E-2</v>
      </c>
      <c r="O18" s="49"/>
      <c r="P18" s="51"/>
      <c r="Q18" s="7"/>
      <c r="R18" s="7"/>
      <c r="S18" s="8"/>
      <c r="V18" s="1" t="e">
        <f t="shared" si="2"/>
        <v>#VALUE!</v>
      </c>
      <c r="W18" s="1" t="e">
        <f t="shared" si="3"/>
        <v>#VALUE!</v>
      </c>
      <c r="X18" s="1">
        <v>1</v>
      </c>
    </row>
    <row r="19" spans="2:24">
      <c r="B19" s="1" t="s">
        <v>14</v>
      </c>
      <c r="C19" s="1">
        <v>0.8</v>
      </c>
      <c r="F19" s="56">
        <f t="shared" si="4"/>
        <v>15</v>
      </c>
      <c r="G19" s="59">
        <v>239.2321611350917</v>
      </c>
      <c r="H19" s="59">
        <v>6.8700000000000002E-3</v>
      </c>
      <c r="I19" s="59">
        <f t="shared" si="0"/>
        <v>7000.89</v>
      </c>
      <c r="J19" s="59">
        <v>7700</v>
      </c>
      <c r="K19" s="59"/>
      <c r="L19" s="59">
        <v>0</v>
      </c>
      <c r="M19" s="59">
        <v>1.6403162055335969</v>
      </c>
      <c r="N19" s="59">
        <f t="shared" si="1"/>
        <v>2.9411764705882353E-2</v>
      </c>
      <c r="O19" s="49"/>
      <c r="P19" s="51"/>
      <c r="Q19" s="7"/>
      <c r="R19" s="7"/>
      <c r="S19" s="8"/>
      <c r="V19" s="1" t="e">
        <f t="shared" si="2"/>
        <v>#VALUE!</v>
      </c>
      <c r="W19" s="1" t="e">
        <f t="shared" si="3"/>
        <v>#VALUE!</v>
      </c>
      <c r="X19" s="1">
        <v>1</v>
      </c>
    </row>
    <row r="20" spans="2:24">
      <c r="B20" s="1" t="s">
        <v>15</v>
      </c>
      <c r="C20" s="1">
        <v>1.0000000000000001E-5</v>
      </c>
      <c r="F20" s="56">
        <f t="shared" si="4"/>
        <v>16</v>
      </c>
      <c r="G20" s="59">
        <v>447.49728167819694</v>
      </c>
      <c r="H20" s="59">
        <v>7.2500000000000004E-3</v>
      </c>
      <c r="I20" s="59">
        <f t="shared" si="0"/>
        <v>7000.89</v>
      </c>
      <c r="J20" s="59">
        <v>7000</v>
      </c>
      <c r="K20" s="59"/>
      <c r="L20" s="59">
        <v>0</v>
      </c>
      <c r="M20" s="59">
        <v>1.1264822134387351</v>
      </c>
      <c r="N20" s="59">
        <f t="shared" si="1"/>
        <v>2.9411764705882353E-2</v>
      </c>
      <c r="O20" s="49"/>
      <c r="P20" s="51"/>
      <c r="Q20" s="7"/>
      <c r="R20" s="7"/>
      <c r="S20" s="8"/>
      <c r="V20" s="1" t="e">
        <f t="shared" si="2"/>
        <v>#VALUE!</v>
      </c>
      <c r="W20" s="1" t="e">
        <f t="shared" si="3"/>
        <v>#VALUE!</v>
      </c>
      <c r="X20" s="1">
        <v>1</v>
      </c>
    </row>
    <row r="21" spans="2:24">
      <c r="F21" s="56">
        <f t="shared" si="4"/>
        <v>17</v>
      </c>
      <c r="G21" s="59">
        <v>419.8494563691529</v>
      </c>
      <c r="H21" s="59">
        <v>7.2500000000000004E-3</v>
      </c>
      <c r="I21" s="59">
        <f t="shared" si="0"/>
        <v>7000.89</v>
      </c>
      <c r="J21" s="59">
        <v>7049</v>
      </c>
      <c r="K21" s="59"/>
      <c r="L21" s="59">
        <v>0</v>
      </c>
      <c r="M21" s="59">
        <v>1.1264822134387351</v>
      </c>
      <c r="N21" s="59">
        <f t="shared" si="1"/>
        <v>2.9411764705882353E-2</v>
      </c>
      <c r="O21" s="49"/>
      <c r="P21" s="51"/>
      <c r="Q21" s="7"/>
      <c r="R21" s="7"/>
      <c r="S21" s="8"/>
      <c r="V21" s="1" t="e">
        <f t="shared" si="2"/>
        <v>#VALUE!</v>
      </c>
      <c r="W21" s="1" t="e">
        <f t="shared" si="3"/>
        <v>#VALUE!</v>
      </c>
      <c r="X21" s="1">
        <v>1</v>
      </c>
    </row>
    <row r="22" spans="2:24">
      <c r="B22" s="1" t="s">
        <v>21</v>
      </c>
      <c r="C22" s="1" t="s">
        <v>122</v>
      </c>
      <c r="F22" s="56">
        <f t="shared" si="4"/>
        <v>18</v>
      </c>
      <c r="G22" s="59">
        <v>419.2224364461631</v>
      </c>
      <c r="H22" s="59">
        <v>7.2500000000000004E-3</v>
      </c>
      <c r="I22" s="59">
        <f t="shared" si="0"/>
        <v>7000.89</v>
      </c>
      <c r="J22" s="59">
        <v>7050</v>
      </c>
      <c r="K22" s="59"/>
      <c r="L22" s="59">
        <v>0</v>
      </c>
      <c r="M22" s="59">
        <v>1.1264822134387351</v>
      </c>
      <c r="N22" s="59">
        <f t="shared" si="1"/>
        <v>2.9411764705882353E-2</v>
      </c>
      <c r="O22" s="49"/>
      <c r="P22" s="51"/>
      <c r="Q22" s="7"/>
      <c r="R22" s="7"/>
      <c r="S22" s="8"/>
      <c r="V22" s="1" t="e">
        <f t="shared" si="2"/>
        <v>#VALUE!</v>
      </c>
      <c r="W22" s="1" t="e">
        <f t="shared" si="3"/>
        <v>#VALUE!</v>
      </c>
      <c r="X22" s="1">
        <v>1</v>
      </c>
    </row>
    <row r="23" spans="2:24">
      <c r="F23" s="56">
        <f t="shared" si="4"/>
        <v>19</v>
      </c>
      <c r="G23" s="59">
        <v>392.42426886281783</v>
      </c>
      <c r="H23" s="59">
        <v>7.2500000000000004E-3</v>
      </c>
      <c r="I23" s="59">
        <f t="shared" si="0"/>
        <v>7000.89</v>
      </c>
      <c r="J23" s="59">
        <v>7100</v>
      </c>
      <c r="K23" s="59"/>
      <c r="L23" s="59">
        <v>0</v>
      </c>
      <c r="M23" s="59">
        <v>1.1264822134387351</v>
      </c>
      <c r="N23" s="59">
        <f t="shared" si="1"/>
        <v>2.9411764705882353E-2</v>
      </c>
      <c r="O23" s="49"/>
      <c r="P23" s="51"/>
      <c r="Q23" s="7"/>
      <c r="R23" s="7"/>
      <c r="S23" s="8"/>
      <c r="V23" s="1" t="e">
        <f t="shared" si="2"/>
        <v>#VALUE!</v>
      </c>
      <c r="W23" s="1" t="e">
        <f t="shared" si="3"/>
        <v>#VALUE!</v>
      </c>
      <c r="X23" s="1">
        <v>1</v>
      </c>
    </row>
    <row r="24" spans="2:24" ht="15.75">
      <c r="B24" s="4" t="s">
        <v>32</v>
      </c>
      <c r="C24" s="1" t="str">
        <f>C4</f>
        <v>UKX</v>
      </c>
      <c r="F24" s="56">
        <f t="shared" si="4"/>
        <v>20</v>
      </c>
      <c r="G24" s="59">
        <v>365.73807393801599</v>
      </c>
      <c r="H24" s="59">
        <v>7.2500000000000004E-3</v>
      </c>
      <c r="I24" s="59">
        <f t="shared" si="0"/>
        <v>7000.89</v>
      </c>
      <c r="J24" s="59">
        <v>7150</v>
      </c>
      <c r="K24" s="59"/>
      <c r="L24" s="59">
        <v>0</v>
      </c>
      <c r="M24" s="59">
        <v>1.1264822134387351</v>
      </c>
      <c r="N24" s="59">
        <f t="shared" si="1"/>
        <v>2.9411764705882353E-2</v>
      </c>
      <c r="O24" s="49"/>
      <c r="P24" s="51"/>
      <c r="Q24" s="7"/>
      <c r="R24" s="7"/>
      <c r="S24" s="8"/>
      <c r="V24" s="1" t="e">
        <f t="shared" si="2"/>
        <v>#VALUE!</v>
      </c>
      <c r="W24" s="1" t="e">
        <f t="shared" si="3"/>
        <v>#VALUE!</v>
      </c>
      <c r="X24" s="1">
        <v>1</v>
      </c>
    </row>
    <row r="25" spans="2:24" ht="15.75">
      <c r="B25" s="14" t="s">
        <v>51</v>
      </c>
      <c r="C25" s="1">
        <v>0.1316223872</v>
      </c>
      <c r="F25" s="56">
        <f t="shared" si="4"/>
        <v>21</v>
      </c>
      <c r="G25" s="59">
        <v>340.56529297378438</v>
      </c>
      <c r="H25" s="59">
        <v>7.2500000000000004E-3</v>
      </c>
      <c r="I25" s="59">
        <f t="shared" si="0"/>
        <v>7000.89</v>
      </c>
      <c r="J25" s="59">
        <v>7200</v>
      </c>
      <c r="K25" s="59"/>
      <c r="L25" s="59">
        <v>0</v>
      </c>
      <c r="M25" s="59">
        <v>1.1264822134387351</v>
      </c>
      <c r="N25" s="59">
        <f t="shared" si="1"/>
        <v>2.9411764705882353E-2</v>
      </c>
      <c r="O25" s="49"/>
      <c r="P25" s="51"/>
      <c r="Q25" s="7"/>
      <c r="R25" s="7"/>
      <c r="S25" s="8"/>
      <c r="V25" s="1" t="e">
        <f t="shared" si="2"/>
        <v>#VALUE!</v>
      </c>
      <c r="W25" s="1" t="e">
        <f t="shared" si="3"/>
        <v>#VALUE!</v>
      </c>
      <c r="X25" s="1">
        <v>1</v>
      </c>
    </row>
    <row r="26" spans="2:24" ht="15.75">
      <c r="B26" s="15" t="s">
        <v>49</v>
      </c>
      <c r="C26" s="1">
        <v>0.28994931460000001</v>
      </c>
      <c r="F26" s="56">
        <f t="shared" si="4"/>
        <v>22</v>
      </c>
      <c r="G26" s="59">
        <v>316.36922185192543</v>
      </c>
      <c r="H26" s="59">
        <v>7.2500000000000004E-3</v>
      </c>
      <c r="I26" s="59">
        <f t="shared" si="0"/>
        <v>7000.89</v>
      </c>
      <c r="J26" s="59">
        <v>7250</v>
      </c>
      <c r="K26" s="59"/>
      <c r="L26" s="59">
        <v>0</v>
      </c>
      <c r="M26" s="59">
        <v>1.1264822134387351</v>
      </c>
      <c r="N26" s="59">
        <f t="shared" si="1"/>
        <v>2.9411764705882353E-2</v>
      </c>
      <c r="O26" s="49"/>
      <c r="P26" s="51"/>
      <c r="Q26" s="7"/>
      <c r="R26" s="7"/>
      <c r="S26" s="8"/>
      <c r="V26" s="1" t="e">
        <f t="shared" si="2"/>
        <v>#VALUE!</v>
      </c>
      <c r="W26" s="1" t="e">
        <f t="shared" si="3"/>
        <v>#VALUE!</v>
      </c>
      <c r="X26" s="1">
        <v>1</v>
      </c>
    </row>
    <row r="27" spans="2:24" ht="15.75">
      <c r="B27" s="14" t="s">
        <v>123</v>
      </c>
      <c r="C27" s="1">
        <v>-5.6451325900000002E-2</v>
      </c>
      <c r="F27" s="56">
        <f t="shared" si="4"/>
        <v>23</v>
      </c>
      <c r="G27" s="59">
        <v>307.16726131220867</v>
      </c>
      <c r="H27" s="59">
        <v>7.2500000000000004E-3</v>
      </c>
      <c r="I27" s="59">
        <f t="shared" si="0"/>
        <v>7000.89</v>
      </c>
      <c r="J27" s="59">
        <v>7270</v>
      </c>
      <c r="K27" s="59"/>
      <c r="L27" s="59">
        <v>0</v>
      </c>
      <c r="M27" s="59">
        <v>1.1264822134387351</v>
      </c>
      <c r="N27" s="59">
        <f t="shared" si="1"/>
        <v>2.9411764705882353E-2</v>
      </c>
      <c r="O27" s="49"/>
      <c r="P27" s="51"/>
      <c r="Q27" s="7"/>
      <c r="R27" s="7"/>
      <c r="S27" s="8"/>
      <c r="V27" s="1" t="e">
        <f t="shared" si="2"/>
        <v>#VALUE!</v>
      </c>
      <c r="W27" s="1" t="e">
        <f t="shared" si="3"/>
        <v>#VALUE!</v>
      </c>
      <c r="X27" s="1">
        <v>1</v>
      </c>
    </row>
    <row r="28" spans="2:24" ht="15.75">
      <c r="B28" s="63" t="s">
        <v>124</v>
      </c>
      <c r="C28" s="1">
        <v>2.2866713300000001E-2</v>
      </c>
      <c r="F28" s="56">
        <f t="shared" si="4"/>
        <v>24</v>
      </c>
      <c r="G28" s="59">
        <v>293.75947803127519</v>
      </c>
      <c r="H28" s="59">
        <v>7.2500000000000004E-3</v>
      </c>
      <c r="I28" s="59">
        <f t="shared" si="0"/>
        <v>7000.89</v>
      </c>
      <c r="J28" s="59">
        <v>7300</v>
      </c>
      <c r="K28" s="59"/>
      <c r="L28" s="59">
        <v>0</v>
      </c>
      <c r="M28" s="59">
        <v>1.1264822134387351</v>
      </c>
      <c r="N28" s="59">
        <f t="shared" si="1"/>
        <v>2.9411764705882353E-2</v>
      </c>
      <c r="O28" s="49"/>
      <c r="P28" s="51"/>
      <c r="Q28" s="7"/>
      <c r="R28" s="7"/>
      <c r="S28" s="8"/>
      <c r="V28" s="1" t="e">
        <f t="shared" si="2"/>
        <v>#VALUE!</v>
      </c>
      <c r="W28" s="1" t="e">
        <f t="shared" si="3"/>
        <v>#VALUE!</v>
      </c>
      <c r="X28" s="1">
        <v>1</v>
      </c>
    </row>
    <row r="29" spans="2:24">
      <c r="F29" s="56">
        <f t="shared" si="4"/>
        <v>25</v>
      </c>
      <c r="G29" s="59">
        <v>277.47368668577701</v>
      </c>
      <c r="H29" s="59">
        <v>7.2500000000000004E-3</v>
      </c>
      <c r="I29" s="59">
        <f t="shared" si="0"/>
        <v>7000.89</v>
      </c>
      <c r="J29" s="59">
        <v>7337</v>
      </c>
      <c r="K29" s="59"/>
      <c r="L29" s="59">
        <v>0</v>
      </c>
      <c r="M29" s="59">
        <v>1.1264822134387351</v>
      </c>
      <c r="N29" s="59">
        <f t="shared" si="1"/>
        <v>2.9411764705882353E-2</v>
      </c>
      <c r="O29" s="49"/>
      <c r="P29" s="51"/>
      <c r="Q29" s="7"/>
      <c r="R29" s="7"/>
      <c r="S29" s="8"/>
      <c r="V29" s="1" t="e">
        <f t="shared" si="2"/>
        <v>#VALUE!</v>
      </c>
      <c r="W29" s="1" t="e">
        <f t="shared" si="3"/>
        <v>#VALUE!</v>
      </c>
      <c r="X29" s="1">
        <v>1</v>
      </c>
    </row>
    <row r="30" spans="2:24">
      <c r="F30" s="56">
        <f t="shared" si="4"/>
        <v>26</v>
      </c>
      <c r="G30" s="59">
        <v>272.18591150972179</v>
      </c>
      <c r="H30" s="59">
        <v>7.2500000000000004E-3</v>
      </c>
      <c r="I30" s="59">
        <f t="shared" si="0"/>
        <v>7000.89</v>
      </c>
      <c r="J30" s="59">
        <v>7350</v>
      </c>
      <c r="K30" s="59"/>
      <c r="L30" s="59">
        <v>0</v>
      </c>
      <c r="M30" s="59">
        <v>1.1264822134387351</v>
      </c>
      <c r="N30" s="59">
        <f t="shared" si="1"/>
        <v>2.9411764705882353E-2</v>
      </c>
      <c r="O30" s="49"/>
      <c r="P30" s="51"/>
      <c r="Q30" s="7"/>
      <c r="R30" s="7"/>
      <c r="S30" s="8"/>
      <c r="V30" s="1" t="e">
        <f t="shared" si="2"/>
        <v>#VALUE!</v>
      </c>
      <c r="W30" s="1" t="e">
        <f t="shared" si="3"/>
        <v>#VALUE!</v>
      </c>
      <c r="X30" s="1">
        <v>1</v>
      </c>
    </row>
    <row r="31" spans="2:24">
      <c r="F31" s="56">
        <f t="shared" si="4"/>
        <v>27</v>
      </c>
      <c r="G31" s="59">
        <v>251.67209587107118</v>
      </c>
      <c r="H31" s="59">
        <v>7.2500000000000004E-3</v>
      </c>
      <c r="I31" s="59">
        <f t="shared" si="0"/>
        <v>7000.89</v>
      </c>
      <c r="J31" s="59">
        <v>7400</v>
      </c>
      <c r="K31" s="59"/>
      <c r="L31" s="59">
        <v>0</v>
      </c>
      <c r="M31" s="59">
        <v>1.1264822134387351</v>
      </c>
      <c r="N31" s="59">
        <f t="shared" si="1"/>
        <v>2.9411764705882353E-2</v>
      </c>
      <c r="O31" s="49"/>
      <c r="P31" s="51"/>
      <c r="Q31" s="7"/>
      <c r="R31" s="7"/>
      <c r="S31" s="8"/>
      <c r="V31" s="1" t="e">
        <f t="shared" si="2"/>
        <v>#VALUE!</v>
      </c>
      <c r="W31" s="1" t="e">
        <f t="shared" si="3"/>
        <v>#VALUE!</v>
      </c>
      <c r="X31" s="1">
        <v>1</v>
      </c>
    </row>
    <row r="32" spans="2:24" ht="15.75">
      <c r="B32" s="17"/>
      <c r="F32" s="56">
        <f t="shared" si="4"/>
        <v>28</v>
      </c>
      <c r="G32" s="59">
        <v>213.61167683413987</v>
      </c>
      <c r="H32" s="59">
        <v>7.2500000000000004E-3</v>
      </c>
      <c r="I32" s="59">
        <f t="shared" si="0"/>
        <v>7000.89</v>
      </c>
      <c r="J32" s="59">
        <v>7500</v>
      </c>
      <c r="K32" s="59"/>
      <c r="L32" s="59">
        <v>0</v>
      </c>
      <c r="M32" s="59">
        <v>1.1264822134387351</v>
      </c>
      <c r="N32" s="59">
        <f t="shared" si="1"/>
        <v>2.9411764705882353E-2</v>
      </c>
      <c r="O32" s="49"/>
      <c r="P32" s="51"/>
      <c r="Q32" s="7"/>
      <c r="R32" s="7"/>
      <c r="S32" s="8"/>
      <c r="V32" s="1" t="e">
        <f t="shared" si="2"/>
        <v>#VALUE!</v>
      </c>
      <c r="W32" s="1" t="e">
        <f t="shared" si="3"/>
        <v>#VALUE!</v>
      </c>
      <c r="X32" s="1">
        <v>1</v>
      </c>
    </row>
    <row r="33" spans="2:24" ht="15.75">
      <c r="B33" s="17"/>
      <c r="F33" s="56">
        <f t="shared" si="4"/>
        <v>29</v>
      </c>
      <c r="G33" s="59">
        <v>186.39816184539222</v>
      </c>
      <c r="H33" s="59">
        <v>7.2500000000000004E-3</v>
      </c>
      <c r="I33" s="59">
        <f t="shared" si="0"/>
        <v>7000.89</v>
      </c>
      <c r="J33" s="59">
        <v>7600</v>
      </c>
      <c r="K33" s="59"/>
      <c r="L33" s="59">
        <v>0</v>
      </c>
      <c r="M33" s="59">
        <v>1.1264822134387351</v>
      </c>
      <c r="N33" s="59">
        <f t="shared" si="1"/>
        <v>2.9411764705882353E-2</v>
      </c>
      <c r="O33" s="49"/>
      <c r="P33" s="51"/>
      <c r="Q33" s="7"/>
      <c r="R33" s="7"/>
      <c r="S33" s="8"/>
      <c r="V33" s="1" t="e">
        <f t="shared" si="2"/>
        <v>#VALUE!</v>
      </c>
      <c r="W33" s="1" t="e">
        <f t="shared" si="3"/>
        <v>#VALUE!</v>
      </c>
      <c r="X33" s="1">
        <v>1</v>
      </c>
    </row>
    <row r="34" spans="2:24">
      <c r="F34" s="56">
        <f t="shared" si="4"/>
        <v>30</v>
      </c>
      <c r="G34" s="59">
        <v>156.30303815435423</v>
      </c>
      <c r="H34" s="59">
        <v>7.2500000000000004E-3</v>
      </c>
      <c r="I34" s="59">
        <f t="shared" si="0"/>
        <v>7000.89</v>
      </c>
      <c r="J34" s="59">
        <v>7700</v>
      </c>
      <c r="K34" s="59"/>
      <c r="L34" s="59">
        <v>0</v>
      </c>
      <c r="M34" s="59">
        <v>1.1264822134387351</v>
      </c>
      <c r="N34" s="59">
        <f t="shared" si="1"/>
        <v>2.9411764705882353E-2</v>
      </c>
      <c r="O34" s="49"/>
      <c r="P34" s="51"/>
      <c r="Q34" s="7"/>
      <c r="R34" s="7"/>
      <c r="S34" s="8"/>
      <c r="V34" s="1" t="e">
        <f t="shared" si="2"/>
        <v>#VALUE!</v>
      </c>
      <c r="W34" s="1" t="e">
        <f t="shared" si="3"/>
        <v>#VALUE!</v>
      </c>
      <c r="X34" s="1">
        <v>1</v>
      </c>
    </row>
    <row r="35" spans="2:24">
      <c r="F35" s="56">
        <f t="shared" si="4"/>
        <v>31</v>
      </c>
      <c r="G35" s="59">
        <v>130.19570625684378</v>
      </c>
      <c r="H35" s="59">
        <v>7.2500000000000004E-3</v>
      </c>
      <c r="I35" s="59">
        <f t="shared" si="0"/>
        <v>7000.89</v>
      </c>
      <c r="J35" s="59">
        <v>7800</v>
      </c>
      <c r="K35" s="59"/>
      <c r="L35" s="59">
        <v>0</v>
      </c>
      <c r="M35" s="59">
        <v>1.1264822134387351</v>
      </c>
      <c r="N35" s="59">
        <f t="shared" si="1"/>
        <v>2.9411764705882353E-2</v>
      </c>
      <c r="O35" s="49"/>
      <c r="P35" s="51"/>
      <c r="Q35" s="7"/>
      <c r="R35" s="7"/>
      <c r="S35" s="8"/>
      <c r="V35" s="1" t="e">
        <f t="shared" si="2"/>
        <v>#VALUE!</v>
      </c>
      <c r="W35" s="1" t="e">
        <f t="shared" si="3"/>
        <v>#VALUE!</v>
      </c>
      <c r="X35" s="1">
        <v>1</v>
      </c>
    </row>
    <row r="36" spans="2:24">
      <c r="F36" s="56">
        <f t="shared" si="4"/>
        <v>32</v>
      </c>
      <c r="G36" s="59">
        <v>107.70079025287441</v>
      </c>
      <c r="H36" s="59">
        <v>7.2500000000000004E-3</v>
      </c>
      <c r="I36" s="59">
        <f t="shared" si="0"/>
        <v>7000.89</v>
      </c>
      <c r="J36" s="59">
        <v>7900</v>
      </c>
      <c r="K36" s="59"/>
      <c r="L36" s="59">
        <v>0</v>
      </c>
      <c r="M36" s="59">
        <v>1.1264822134387351</v>
      </c>
      <c r="N36" s="59">
        <f t="shared" si="1"/>
        <v>2.9411764705882353E-2</v>
      </c>
      <c r="O36" s="49"/>
      <c r="P36" s="51"/>
      <c r="Q36" s="7"/>
      <c r="R36" s="7"/>
      <c r="S36" s="8"/>
      <c r="V36" s="1" t="e">
        <f t="shared" si="2"/>
        <v>#VALUE!</v>
      </c>
      <c r="W36" s="1" t="e">
        <f t="shared" si="3"/>
        <v>#VALUE!</v>
      </c>
      <c r="X36" s="1">
        <v>1</v>
      </c>
    </row>
    <row r="37" spans="2:24" ht="15.75">
      <c r="B37" s="11"/>
      <c r="F37" s="56">
        <f t="shared" si="4"/>
        <v>33</v>
      </c>
      <c r="G37" s="59">
        <v>88.543939357893578</v>
      </c>
      <c r="H37" s="59">
        <v>7.2500000000000004E-3</v>
      </c>
      <c r="I37" s="59">
        <f t="shared" si="0"/>
        <v>7000.89</v>
      </c>
      <c r="J37" s="59">
        <v>8000</v>
      </c>
      <c r="K37" s="59"/>
      <c r="L37" s="59">
        <v>0</v>
      </c>
      <c r="M37" s="59">
        <v>1.1264822134387351</v>
      </c>
      <c r="N37" s="59">
        <f t="shared" si="1"/>
        <v>2.9411764705882353E-2</v>
      </c>
      <c r="O37" s="49"/>
      <c r="P37" s="51"/>
      <c r="Q37" s="7"/>
      <c r="R37" s="7"/>
      <c r="S37" s="8"/>
      <c r="V37" s="1" t="e">
        <f t="shared" si="2"/>
        <v>#VALUE!</v>
      </c>
      <c r="W37" s="1" t="e">
        <f t="shared" si="3"/>
        <v>#VALUE!</v>
      </c>
      <c r="X37" s="1">
        <v>1</v>
      </c>
    </row>
    <row r="38" spans="2:24">
      <c r="F38" s="56">
        <f t="shared" si="4"/>
        <v>34</v>
      </c>
      <c r="G38" s="59">
        <v>70.599020466102274</v>
      </c>
      <c r="H38" s="59">
        <v>7.2500000000000004E-3</v>
      </c>
      <c r="I38" s="59">
        <f t="shared" si="0"/>
        <v>7000.89</v>
      </c>
      <c r="J38" s="59">
        <v>8100</v>
      </c>
      <c r="K38" s="59"/>
      <c r="L38" s="59">
        <v>0</v>
      </c>
      <c r="M38" s="59">
        <v>1.1264822134387351</v>
      </c>
      <c r="N38" s="59">
        <f t="shared" si="1"/>
        <v>2.9411764705882353E-2</v>
      </c>
      <c r="O38" s="49"/>
      <c r="P38" s="51"/>
      <c r="Q38" s="7"/>
      <c r="R38" s="7"/>
      <c r="S38" s="8"/>
      <c r="V38" s="1" t="e">
        <f t="shared" si="2"/>
        <v>#VALUE!</v>
      </c>
      <c r="W38" s="1" t="e">
        <f t="shared" si="3"/>
        <v>#VALUE!</v>
      </c>
      <c r="X38" s="1">
        <v>1</v>
      </c>
    </row>
    <row r="39" spans="2:24">
      <c r="F39" s="56">
        <f t="shared" si="4"/>
        <v>35</v>
      </c>
      <c r="G39" s="59"/>
      <c r="H39" s="59"/>
      <c r="I39" s="59"/>
      <c r="J39" s="59"/>
      <c r="K39" s="59"/>
      <c r="L39" s="59"/>
      <c r="M39" s="59"/>
      <c r="N39" s="59"/>
      <c r="O39" s="49"/>
      <c r="P39" s="51"/>
      <c r="Q39" s="7"/>
      <c r="R39" s="7"/>
      <c r="S39" s="8"/>
      <c r="V39" s="1" t="e">
        <f t="shared" si="2"/>
        <v>#VALUE!</v>
      </c>
      <c r="W39" s="1" t="e">
        <f t="shared" si="3"/>
        <v>#VALUE!</v>
      </c>
      <c r="X39" s="1">
        <v>1</v>
      </c>
    </row>
    <row r="40" spans="2:24">
      <c r="F40" s="56">
        <f t="shared" si="4"/>
        <v>36</v>
      </c>
      <c r="G40" s="59"/>
      <c r="H40" s="59"/>
      <c r="I40" s="59"/>
      <c r="J40" s="59"/>
      <c r="K40" s="59"/>
      <c r="L40" s="59"/>
      <c r="M40" s="59"/>
      <c r="N40" s="59"/>
      <c r="O40" s="49"/>
      <c r="P40" s="51"/>
      <c r="Q40" s="7"/>
      <c r="R40" s="7"/>
      <c r="S40" s="8"/>
      <c r="V40" s="1" t="e">
        <f t="shared" si="2"/>
        <v>#VALUE!</v>
      </c>
      <c r="W40" s="1" t="e">
        <f t="shared" si="3"/>
        <v>#VALUE!</v>
      </c>
      <c r="X40" s="1">
        <v>1</v>
      </c>
    </row>
    <row r="41" spans="2:24">
      <c r="F41" s="56">
        <f t="shared" si="4"/>
        <v>37</v>
      </c>
      <c r="G41" s="59"/>
      <c r="H41" s="59"/>
      <c r="I41" s="59"/>
      <c r="J41" s="59"/>
      <c r="K41" s="59"/>
      <c r="L41" s="59"/>
      <c r="M41" s="59"/>
      <c r="N41" s="59"/>
      <c r="O41" s="49"/>
      <c r="P41" s="51"/>
      <c r="Q41" s="7"/>
      <c r="R41" s="7"/>
      <c r="S41" s="8"/>
      <c r="V41" s="1" t="e">
        <f t="shared" si="2"/>
        <v>#VALUE!</v>
      </c>
      <c r="W41" s="1" t="e">
        <f t="shared" si="3"/>
        <v>#VALUE!</v>
      </c>
      <c r="X41" s="1">
        <v>1</v>
      </c>
    </row>
    <row r="42" spans="2:24">
      <c r="F42" s="56">
        <f t="shared" si="4"/>
        <v>38</v>
      </c>
      <c r="G42" s="59"/>
      <c r="H42" s="59"/>
      <c r="I42" s="59"/>
      <c r="J42" s="59"/>
      <c r="K42" s="59"/>
      <c r="L42" s="59"/>
      <c r="M42" s="59"/>
      <c r="N42" s="59"/>
      <c r="O42" s="49"/>
      <c r="P42" s="51"/>
      <c r="Q42" s="7"/>
      <c r="R42" s="7"/>
      <c r="S42" s="8"/>
      <c r="V42" s="1" t="e">
        <f t="shared" si="2"/>
        <v>#VALUE!</v>
      </c>
      <c r="W42" s="1" t="e">
        <f t="shared" si="3"/>
        <v>#VALUE!</v>
      </c>
      <c r="X42" s="1">
        <v>1</v>
      </c>
    </row>
    <row r="43" spans="2:24">
      <c r="F43" s="56">
        <f t="shared" si="4"/>
        <v>39</v>
      </c>
      <c r="G43" s="59"/>
      <c r="H43" s="59"/>
      <c r="I43" s="59"/>
      <c r="J43" s="59"/>
      <c r="K43" s="59"/>
      <c r="L43" s="59"/>
      <c r="M43" s="59"/>
      <c r="N43" s="59"/>
      <c r="O43" s="49"/>
      <c r="P43" s="51"/>
      <c r="Q43" s="7"/>
      <c r="R43" s="7"/>
      <c r="S43" s="8"/>
      <c r="V43" s="1" t="e">
        <f t="shared" si="2"/>
        <v>#VALUE!</v>
      </c>
      <c r="W43" s="1" t="e">
        <f t="shared" si="3"/>
        <v>#VALUE!</v>
      </c>
      <c r="X43" s="1">
        <v>1</v>
      </c>
    </row>
    <row r="44" spans="2:24">
      <c r="F44" s="56">
        <f t="shared" si="4"/>
        <v>40</v>
      </c>
      <c r="G44" s="59"/>
      <c r="H44" s="59"/>
      <c r="I44" s="59"/>
      <c r="J44" s="59"/>
      <c r="K44" s="59"/>
      <c r="L44" s="59"/>
      <c r="M44" s="59"/>
      <c r="N44" s="59"/>
      <c r="O44" s="49"/>
      <c r="P44" s="51"/>
      <c r="Q44" s="7"/>
      <c r="R44" s="7"/>
      <c r="S44" s="8"/>
      <c r="V44" s="1" t="e">
        <f t="shared" si="2"/>
        <v>#VALUE!</v>
      </c>
      <c r="W44" s="1" t="e">
        <f t="shared" si="3"/>
        <v>#VALUE!</v>
      </c>
      <c r="X44" s="1">
        <v>1</v>
      </c>
    </row>
    <row r="45" spans="2:24">
      <c r="F45" s="56">
        <f t="shared" si="4"/>
        <v>41</v>
      </c>
      <c r="G45" s="59"/>
      <c r="H45" s="59"/>
      <c r="I45" s="59"/>
      <c r="J45" s="59"/>
      <c r="K45" s="59"/>
      <c r="L45" s="59"/>
      <c r="M45" s="59"/>
      <c r="N45" s="59"/>
      <c r="O45" s="49"/>
      <c r="P45" s="51"/>
      <c r="Q45" s="7"/>
      <c r="R45" s="7"/>
      <c r="S45" s="8"/>
      <c r="V45" s="1" t="e">
        <f t="shared" si="2"/>
        <v>#VALUE!</v>
      </c>
      <c r="W45" s="1" t="e">
        <f t="shared" si="3"/>
        <v>#VALUE!</v>
      </c>
      <c r="X45" s="1">
        <v>1</v>
      </c>
    </row>
    <row r="46" spans="2:24">
      <c r="F46" s="56">
        <f t="shared" si="4"/>
        <v>42</v>
      </c>
      <c r="G46" s="59"/>
      <c r="H46" s="59"/>
      <c r="I46" s="59"/>
      <c r="J46" s="59"/>
      <c r="K46" s="59"/>
      <c r="L46" s="59"/>
      <c r="M46" s="59"/>
      <c r="N46" s="59"/>
      <c r="O46" s="49"/>
      <c r="P46" s="51"/>
      <c r="Q46" s="7"/>
      <c r="R46" s="7"/>
      <c r="S46" s="8"/>
      <c r="V46" s="1" t="e">
        <f t="shared" si="2"/>
        <v>#VALUE!</v>
      </c>
      <c r="W46" s="1" t="e">
        <f t="shared" si="3"/>
        <v>#VALUE!</v>
      </c>
      <c r="X46" s="1">
        <v>1</v>
      </c>
    </row>
    <row r="47" spans="2:24">
      <c r="F47" s="56">
        <f t="shared" si="4"/>
        <v>43</v>
      </c>
      <c r="G47" s="59"/>
      <c r="H47" s="59"/>
      <c r="I47" s="59"/>
      <c r="J47" s="59"/>
      <c r="K47" s="59"/>
      <c r="L47" s="59"/>
      <c r="M47" s="59"/>
      <c r="N47" s="59"/>
      <c r="O47" s="49"/>
      <c r="P47" s="51"/>
      <c r="Q47" s="7"/>
      <c r="R47" s="7"/>
      <c r="S47" s="8"/>
      <c r="V47" s="1" t="e">
        <f t="shared" si="2"/>
        <v>#VALUE!</v>
      </c>
      <c r="W47" s="1" t="e">
        <f t="shared" si="3"/>
        <v>#VALUE!</v>
      </c>
      <c r="X47" s="1">
        <v>1</v>
      </c>
    </row>
    <row r="48" spans="2:24">
      <c r="F48" s="56">
        <f t="shared" si="4"/>
        <v>44</v>
      </c>
      <c r="G48" s="59"/>
      <c r="H48" s="59"/>
      <c r="I48" s="59"/>
      <c r="J48" s="59"/>
      <c r="K48" s="59"/>
      <c r="L48" s="59"/>
      <c r="M48" s="59"/>
      <c r="N48" s="59"/>
      <c r="O48" s="49"/>
      <c r="P48" s="51"/>
      <c r="Q48" s="7"/>
      <c r="R48" s="7"/>
      <c r="S48" s="8"/>
      <c r="V48" s="1" t="e">
        <f t="shared" si="2"/>
        <v>#VALUE!</v>
      </c>
      <c r="W48" s="1" t="e">
        <f t="shared" si="3"/>
        <v>#VALUE!</v>
      </c>
      <c r="X48" s="1">
        <v>1</v>
      </c>
    </row>
    <row r="49" spans="6:24">
      <c r="F49" s="56">
        <f t="shared" si="4"/>
        <v>45</v>
      </c>
      <c r="G49" s="59"/>
      <c r="H49" s="59"/>
      <c r="I49" s="59"/>
      <c r="J49" s="59"/>
      <c r="K49" s="59"/>
      <c r="L49" s="59"/>
      <c r="M49" s="59"/>
      <c r="N49" s="59"/>
      <c r="O49" s="49"/>
      <c r="P49" s="51"/>
      <c r="Q49" s="7"/>
      <c r="R49" s="7"/>
      <c r="S49" s="8"/>
      <c r="V49" s="1" t="e">
        <f t="shared" si="2"/>
        <v>#VALUE!</v>
      </c>
      <c r="W49" s="1" t="e">
        <f t="shared" si="3"/>
        <v>#VALUE!</v>
      </c>
      <c r="X49" s="1">
        <v>1</v>
      </c>
    </row>
    <row r="50" spans="6:24">
      <c r="F50" s="56">
        <f t="shared" si="4"/>
        <v>46</v>
      </c>
      <c r="G50" s="59"/>
      <c r="H50" s="59"/>
      <c r="I50" s="59"/>
      <c r="J50" s="59"/>
      <c r="K50" s="59"/>
      <c r="L50" s="59"/>
      <c r="M50" s="59"/>
      <c r="N50" s="59"/>
      <c r="O50" s="49"/>
      <c r="P50" s="51"/>
      <c r="Q50" s="7"/>
      <c r="R50" s="7"/>
      <c r="S50" s="8"/>
      <c r="V50" s="1" t="e">
        <f t="shared" si="2"/>
        <v>#VALUE!</v>
      </c>
      <c r="W50" s="1" t="e">
        <f t="shared" si="3"/>
        <v>#VALUE!</v>
      </c>
      <c r="X50" s="1">
        <v>1</v>
      </c>
    </row>
    <row r="51" spans="6:24">
      <c r="F51" s="56">
        <f t="shared" si="4"/>
        <v>47</v>
      </c>
      <c r="G51" s="59"/>
      <c r="H51" s="59"/>
      <c r="I51" s="59"/>
      <c r="J51" s="59"/>
      <c r="K51" s="59"/>
      <c r="L51" s="59"/>
      <c r="M51" s="59"/>
      <c r="N51" s="59"/>
      <c r="O51" s="49"/>
      <c r="P51" s="51"/>
      <c r="Q51" s="7"/>
      <c r="R51" s="7"/>
      <c r="S51" s="8"/>
      <c r="V51" s="1" t="e">
        <f t="shared" si="2"/>
        <v>#VALUE!</v>
      </c>
      <c r="W51" s="1" t="e">
        <f t="shared" si="3"/>
        <v>#VALUE!</v>
      </c>
      <c r="X51" s="1">
        <v>1</v>
      </c>
    </row>
    <row r="52" spans="6:24">
      <c r="F52" s="56">
        <f t="shared" si="4"/>
        <v>48</v>
      </c>
      <c r="G52" s="59"/>
      <c r="H52" s="59"/>
      <c r="I52" s="59"/>
      <c r="J52" s="59"/>
      <c r="K52" s="59"/>
      <c r="L52" s="59"/>
      <c r="M52" s="59"/>
      <c r="N52" s="59"/>
      <c r="O52" s="49"/>
      <c r="P52" s="51"/>
      <c r="Q52" s="7"/>
      <c r="R52" s="7"/>
      <c r="S52" s="8"/>
      <c r="V52" s="1" t="e">
        <f t="shared" si="2"/>
        <v>#VALUE!</v>
      </c>
      <c r="W52" s="1" t="e">
        <f t="shared" si="3"/>
        <v>#VALUE!</v>
      </c>
      <c r="X52" s="1">
        <v>1</v>
      </c>
    </row>
    <row r="53" spans="6:24">
      <c r="F53" s="56">
        <f t="shared" si="4"/>
        <v>49</v>
      </c>
      <c r="G53" s="59"/>
      <c r="H53" s="59"/>
      <c r="I53" s="59"/>
      <c r="J53" s="59"/>
      <c r="K53" s="59"/>
      <c r="L53" s="59"/>
      <c r="M53" s="59"/>
      <c r="N53" s="59"/>
      <c r="O53" s="49"/>
      <c r="P53" s="51"/>
      <c r="Q53" s="7"/>
      <c r="R53" s="7"/>
      <c r="S53" s="8"/>
      <c r="V53" s="1" t="e">
        <f t="shared" si="2"/>
        <v>#VALUE!</v>
      </c>
      <c r="W53" s="1" t="e">
        <f t="shared" si="3"/>
        <v>#VALUE!</v>
      </c>
      <c r="X53" s="1">
        <v>1</v>
      </c>
    </row>
    <row r="54" spans="6:24">
      <c r="F54" s="56">
        <f t="shared" si="4"/>
        <v>50</v>
      </c>
      <c r="G54" s="59"/>
      <c r="H54" s="59"/>
      <c r="I54" s="59"/>
      <c r="J54" s="59"/>
      <c r="K54" s="59"/>
      <c r="L54" s="59"/>
      <c r="M54" s="59"/>
      <c r="N54" s="59"/>
      <c r="O54" s="49"/>
      <c r="P54" s="51"/>
      <c r="Q54" s="7"/>
      <c r="R54" s="7"/>
      <c r="S54" s="8"/>
      <c r="V54" s="1" t="e">
        <f t="shared" si="2"/>
        <v>#VALUE!</v>
      </c>
      <c r="W54" s="1" t="e">
        <f t="shared" si="3"/>
        <v>#VALUE!</v>
      </c>
      <c r="X54" s="1">
        <v>1</v>
      </c>
    </row>
    <row r="55" spans="6:24">
      <c r="F55" s="56">
        <f t="shared" si="4"/>
        <v>51</v>
      </c>
      <c r="G55" s="59"/>
      <c r="H55" s="59"/>
      <c r="I55" s="59"/>
      <c r="J55" s="59"/>
      <c r="K55" s="59"/>
      <c r="L55" s="59"/>
      <c r="M55" s="59"/>
      <c r="N55" s="59"/>
      <c r="O55" s="49"/>
      <c r="P55" s="51"/>
      <c r="Q55" s="7"/>
      <c r="R55" s="7"/>
      <c r="S55" s="8"/>
      <c r="V55" s="1" t="e">
        <f t="shared" si="2"/>
        <v>#VALUE!</v>
      </c>
      <c r="W55" s="1" t="e">
        <f t="shared" si="3"/>
        <v>#VALUE!</v>
      </c>
      <c r="X55" s="1">
        <v>1</v>
      </c>
    </row>
    <row r="56" spans="6:24">
      <c r="F56" s="56">
        <f t="shared" si="4"/>
        <v>52</v>
      </c>
      <c r="G56" s="59"/>
      <c r="H56" s="59"/>
      <c r="I56" s="59"/>
      <c r="J56" s="59"/>
      <c r="K56" s="59"/>
      <c r="L56" s="59"/>
      <c r="M56" s="59"/>
      <c r="N56" s="59"/>
      <c r="O56" s="49"/>
      <c r="P56" s="51"/>
      <c r="Q56" s="7"/>
      <c r="R56" s="7"/>
      <c r="S56" s="8"/>
      <c r="V56" s="1" t="e">
        <f t="shared" si="2"/>
        <v>#VALUE!</v>
      </c>
      <c r="W56" s="1" t="e">
        <f t="shared" si="3"/>
        <v>#VALUE!</v>
      </c>
      <c r="X56" s="1">
        <v>1</v>
      </c>
    </row>
    <row r="57" spans="6:24">
      <c r="F57" s="56">
        <f t="shared" si="4"/>
        <v>53</v>
      </c>
      <c r="G57" s="59"/>
      <c r="H57" s="59"/>
      <c r="I57" s="59"/>
      <c r="J57" s="59"/>
      <c r="K57" s="59"/>
      <c r="L57" s="59"/>
      <c r="M57" s="59"/>
      <c r="N57" s="59"/>
      <c r="O57" s="49"/>
      <c r="P57" s="51"/>
      <c r="Q57" s="7"/>
      <c r="R57" s="7"/>
      <c r="S57" s="8"/>
      <c r="V57" s="1" t="e">
        <f t="shared" si="2"/>
        <v>#VALUE!</v>
      </c>
      <c r="W57" s="1" t="e">
        <f t="shared" si="3"/>
        <v>#VALUE!</v>
      </c>
      <c r="X57" s="1">
        <v>1</v>
      </c>
    </row>
    <row r="58" spans="6:24">
      <c r="F58" s="56">
        <f t="shared" si="4"/>
        <v>54</v>
      </c>
      <c r="G58" s="59"/>
      <c r="H58" s="59"/>
      <c r="I58" s="59"/>
      <c r="J58" s="59"/>
      <c r="K58" s="59"/>
      <c r="L58" s="59"/>
      <c r="M58" s="59"/>
      <c r="N58" s="59"/>
      <c r="O58" s="49"/>
      <c r="P58" s="51"/>
      <c r="Q58" s="7"/>
      <c r="R58" s="7"/>
      <c r="S58" s="8"/>
      <c r="V58" s="1" t="e">
        <f t="shared" si="2"/>
        <v>#VALUE!</v>
      </c>
      <c r="W58" s="1" t="e">
        <f t="shared" si="3"/>
        <v>#VALUE!</v>
      </c>
      <c r="X58" s="1">
        <v>1</v>
      </c>
    </row>
    <row r="59" spans="6:24">
      <c r="F59" s="56">
        <f t="shared" si="4"/>
        <v>55</v>
      </c>
      <c r="G59" s="59"/>
      <c r="H59" s="59"/>
      <c r="I59" s="59"/>
      <c r="J59" s="59"/>
      <c r="K59" s="59"/>
      <c r="L59" s="59"/>
      <c r="M59" s="59"/>
      <c r="N59" s="59"/>
      <c r="O59" s="49"/>
      <c r="P59" s="51"/>
      <c r="Q59" s="7"/>
      <c r="R59" s="7"/>
      <c r="S59" s="8"/>
      <c r="V59" s="1" t="e">
        <f t="shared" si="2"/>
        <v>#VALUE!</v>
      </c>
      <c r="W59" s="1" t="e">
        <f t="shared" si="3"/>
        <v>#VALUE!</v>
      </c>
      <c r="X59" s="1">
        <v>1</v>
      </c>
    </row>
    <row r="60" spans="6:24">
      <c r="F60" s="56">
        <f t="shared" si="4"/>
        <v>56</v>
      </c>
      <c r="G60" s="59"/>
      <c r="H60" s="59"/>
      <c r="I60" s="59"/>
      <c r="J60" s="59"/>
      <c r="K60" s="59"/>
      <c r="L60" s="59"/>
      <c r="M60" s="59"/>
      <c r="N60" s="59"/>
      <c r="O60" s="49"/>
      <c r="P60" s="51"/>
      <c r="Q60" s="7"/>
      <c r="R60" s="7"/>
      <c r="S60" s="8"/>
      <c r="V60" s="1" t="e">
        <f t="shared" si="2"/>
        <v>#VALUE!</v>
      </c>
      <c r="W60" s="1" t="e">
        <f t="shared" si="3"/>
        <v>#VALUE!</v>
      </c>
      <c r="X60" s="1">
        <v>1</v>
      </c>
    </row>
    <row r="61" spans="6:24">
      <c r="F61" s="56">
        <f t="shared" si="4"/>
        <v>57</v>
      </c>
      <c r="G61" s="59"/>
      <c r="H61" s="59"/>
      <c r="I61" s="59"/>
      <c r="J61" s="59"/>
      <c r="K61" s="59"/>
      <c r="L61" s="59"/>
      <c r="M61" s="59"/>
      <c r="N61" s="59"/>
      <c r="O61" s="49"/>
      <c r="P61" s="51"/>
      <c r="Q61" s="7"/>
      <c r="R61" s="7"/>
      <c r="S61" s="8"/>
      <c r="V61" s="1" t="e">
        <f t="shared" si="2"/>
        <v>#VALUE!</v>
      </c>
      <c r="W61" s="1" t="e">
        <f t="shared" si="3"/>
        <v>#VALUE!</v>
      </c>
      <c r="X61" s="1">
        <v>1</v>
      </c>
    </row>
    <row r="62" spans="6:24">
      <c r="F62" s="56">
        <f t="shared" si="4"/>
        <v>58</v>
      </c>
      <c r="G62" s="59"/>
      <c r="H62" s="59"/>
      <c r="I62" s="59"/>
      <c r="J62" s="59"/>
      <c r="K62" s="59"/>
      <c r="L62" s="59"/>
      <c r="M62" s="59"/>
      <c r="N62" s="59"/>
      <c r="O62" s="49"/>
      <c r="P62" s="51"/>
      <c r="Q62" s="7"/>
      <c r="R62" s="7"/>
      <c r="S62" s="8"/>
      <c r="V62" s="1" t="e">
        <f t="shared" si="2"/>
        <v>#VALUE!</v>
      </c>
      <c r="W62" s="1" t="e">
        <f t="shared" si="3"/>
        <v>#VALUE!</v>
      </c>
      <c r="X62" s="1">
        <v>1</v>
      </c>
    </row>
    <row r="63" spans="6:24">
      <c r="F63" s="56">
        <f t="shared" si="4"/>
        <v>59</v>
      </c>
      <c r="G63" s="59"/>
      <c r="H63" s="59"/>
      <c r="I63" s="59"/>
      <c r="J63" s="59"/>
      <c r="K63" s="59"/>
      <c r="L63" s="59"/>
      <c r="M63" s="59"/>
      <c r="N63" s="59"/>
      <c r="O63" s="49"/>
      <c r="P63" s="51"/>
      <c r="Q63" s="7"/>
      <c r="R63" s="7"/>
      <c r="S63" s="8"/>
      <c r="V63" s="1" t="e">
        <f t="shared" si="2"/>
        <v>#VALUE!</v>
      </c>
      <c r="W63" s="1" t="e">
        <f t="shared" si="3"/>
        <v>#VALUE!</v>
      </c>
      <c r="X63" s="1">
        <v>1</v>
      </c>
    </row>
    <row r="64" spans="6:24">
      <c r="F64" s="56">
        <f t="shared" si="4"/>
        <v>60</v>
      </c>
      <c r="G64" s="59"/>
      <c r="H64" s="59"/>
      <c r="I64" s="59"/>
      <c r="J64" s="59"/>
      <c r="K64" s="59"/>
      <c r="L64" s="59"/>
      <c r="M64" s="59"/>
      <c r="N64" s="59"/>
      <c r="O64" s="49"/>
      <c r="P64" s="51"/>
      <c r="Q64" s="7"/>
      <c r="R64" s="7"/>
      <c r="S64" s="8"/>
      <c r="V64" s="1" t="e">
        <f t="shared" si="2"/>
        <v>#VALUE!</v>
      </c>
      <c r="W64" s="1" t="e">
        <f t="shared" si="3"/>
        <v>#VALUE!</v>
      </c>
      <c r="X64" s="1">
        <v>1</v>
      </c>
    </row>
    <row r="65" spans="6:24">
      <c r="F65" s="56">
        <f t="shared" si="4"/>
        <v>61</v>
      </c>
      <c r="G65" s="59"/>
      <c r="H65" s="59"/>
      <c r="I65" s="59"/>
      <c r="J65" s="59"/>
      <c r="K65" s="59"/>
      <c r="L65" s="59"/>
      <c r="M65" s="59"/>
      <c r="N65" s="59"/>
      <c r="O65" s="49"/>
      <c r="P65" s="51"/>
      <c r="Q65" s="7"/>
      <c r="R65" s="7"/>
      <c r="S65" s="8"/>
      <c r="V65" s="1" t="e">
        <f t="shared" si="2"/>
        <v>#VALUE!</v>
      </c>
      <c r="W65" s="1" t="e">
        <f t="shared" si="3"/>
        <v>#VALUE!</v>
      </c>
      <c r="X65" s="1">
        <v>1</v>
      </c>
    </row>
    <row r="66" spans="6:24">
      <c r="F66" s="56">
        <f t="shared" si="4"/>
        <v>62</v>
      </c>
      <c r="G66" s="59"/>
      <c r="H66" s="59"/>
      <c r="I66" s="59"/>
      <c r="J66" s="59"/>
      <c r="K66" s="59"/>
      <c r="L66" s="59"/>
      <c r="M66" s="59"/>
      <c r="N66" s="59"/>
      <c r="O66" s="49"/>
      <c r="P66" s="51"/>
      <c r="Q66" s="7"/>
      <c r="R66" s="7"/>
      <c r="S66" s="8"/>
      <c r="V66" s="1" t="e">
        <f t="shared" si="2"/>
        <v>#VALUE!</v>
      </c>
      <c r="W66" s="1" t="e">
        <f t="shared" si="3"/>
        <v>#VALUE!</v>
      </c>
      <c r="X66" s="1">
        <v>1</v>
      </c>
    </row>
    <row r="67" spans="6:24">
      <c r="F67" s="56">
        <f t="shared" si="4"/>
        <v>63</v>
      </c>
      <c r="G67" s="59"/>
      <c r="H67" s="59"/>
      <c r="I67" s="59"/>
      <c r="J67" s="59"/>
      <c r="K67" s="59"/>
      <c r="L67" s="59"/>
      <c r="M67" s="59"/>
      <c r="N67" s="59"/>
      <c r="O67" s="49"/>
      <c r="P67" s="51"/>
      <c r="Q67" s="7"/>
      <c r="R67" s="7"/>
      <c r="S67" s="8"/>
      <c r="V67" s="1" t="e">
        <f t="shared" si="2"/>
        <v>#VALUE!</v>
      </c>
      <c r="W67" s="1" t="e">
        <f t="shared" si="3"/>
        <v>#VALUE!</v>
      </c>
      <c r="X67" s="1">
        <v>1</v>
      </c>
    </row>
    <row r="68" spans="6:24">
      <c r="F68" s="56">
        <f t="shared" si="4"/>
        <v>64</v>
      </c>
      <c r="G68" s="59"/>
      <c r="H68" s="59"/>
      <c r="I68" s="59"/>
      <c r="J68" s="59"/>
      <c r="K68" s="59"/>
      <c r="L68" s="59"/>
      <c r="M68" s="59"/>
      <c r="N68" s="59"/>
      <c r="O68" s="49"/>
      <c r="P68" s="51"/>
      <c r="Q68" s="7"/>
      <c r="R68" s="7"/>
      <c r="S68" s="8"/>
      <c r="V68" s="1" t="e">
        <f t="shared" si="2"/>
        <v>#VALUE!</v>
      </c>
      <c r="W68" s="1" t="e">
        <f t="shared" si="3"/>
        <v>#VALUE!</v>
      </c>
      <c r="X68" s="1">
        <v>1</v>
      </c>
    </row>
    <row r="69" spans="6:24">
      <c r="F69" s="56">
        <f t="shared" si="4"/>
        <v>65</v>
      </c>
      <c r="G69" s="59"/>
      <c r="H69" s="59"/>
      <c r="I69" s="59"/>
      <c r="J69" s="59"/>
      <c r="K69" s="59"/>
      <c r="L69" s="59"/>
      <c r="M69" s="59"/>
      <c r="N69" s="59"/>
      <c r="O69" s="49"/>
      <c r="P69" s="51"/>
      <c r="Q69" s="7"/>
      <c r="R69" s="7"/>
      <c r="S69" s="8"/>
      <c r="V69" s="1" t="e">
        <f t="shared" si="2"/>
        <v>#VALUE!</v>
      </c>
      <c r="W69" s="1" t="e">
        <f t="shared" si="3"/>
        <v>#VALUE!</v>
      </c>
      <c r="X69" s="1">
        <v>1</v>
      </c>
    </row>
    <row r="70" spans="6:24">
      <c r="F70" s="56">
        <f t="shared" si="4"/>
        <v>66</v>
      </c>
      <c r="G70" s="59"/>
      <c r="H70" s="59"/>
      <c r="I70" s="59"/>
      <c r="J70" s="59"/>
      <c r="K70" s="59"/>
      <c r="L70" s="59"/>
      <c r="M70" s="59"/>
      <c r="N70" s="59"/>
      <c r="O70" s="49"/>
      <c r="P70" s="51"/>
      <c r="Q70" s="7"/>
      <c r="R70" s="7"/>
      <c r="S70" s="8"/>
      <c r="V70" s="1" t="e">
        <f t="shared" ref="V70:V88" si="5">BSVegaF(I70,J70,M70,H70,L70)</f>
        <v>#VALUE!</v>
      </c>
      <c r="W70" s="1" t="e">
        <f t="shared" ref="W70:W88" si="6">V70/$V$2</f>
        <v>#VALUE!</v>
      </c>
      <c r="X70" s="1">
        <v>1</v>
      </c>
    </row>
    <row r="71" spans="6:24">
      <c r="F71" s="56">
        <f t="shared" ref="F71:F104" si="7">F70+1</f>
        <v>67</v>
      </c>
      <c r="G71" s="59"/>
      <c r="H71" s="59"/>
      <c r="I71" s="59"/>
      <c r="J71" s="59"/>
      <c r="K71" s="59"/>
      <c r="L71" s="59"/>
      <c r="M71" s="59"/>
      <c r="N71" s="59"/>
      <c r="O71" s="49"/>
      <c r="P71" s="51"/>
      <c r="Q71" s="7"/>
      <c r="R71" s="7"/>
      <c r="S71" s="8"/>
      <c r="V71" s="1" t="e">
        <f t="shared" si="5"/>
        <v>#VALUE!</v>
      </c>
      <c r="W71" s="1" t="e">
        <f t="shared" si="6"/>
        <v>#VALUE!</v>
      </c>
      <c r="X71" s="1">
        <v>1</v>
      </c>
    </row>
    <row r="72" spans="6:24">
      <c r="F72" s="56">
        <f t="shared" si="7"/>
        <v>68</v>
      </c>
      <c r="G72" s="59"/>
      <c r="H72" s="59"/>
      <c r="I72" s="59"/>
      <c r="J72" s="59"/>
      <c r="K72" s="59"/>
      <c r="L72" s="59"/>
      <c r="M72" s="59"/>
      <c r="N72" s="59"/>
      <c r="O72" s="49"/>
      <c r="P72" s="51"/>
      <c r="Q72" s="7"/>
      <c r="R72" s="7"/>
      <c r="S72" s="8"/>
      <c r="V72" s="1" t="e">
        <f t="shared" si="5"/>
        <v>#VALUE!</v>
      </c>
      <c r="W72" s="1" t="e">
        <f t="shared" si="6"/>
        <v>#VALUE!</v>
      </c>
      <c r="X72" s="1">
        <v>1</v>
      </c>
    </row>
    <row r="73" spans="6:24">
      <c r="F73" s="56">
        <f t="shared" si="7"/>
        <v>69</v>
      </c>
      <c r="G73" s="59"/>
      <c r="H73" s="59"/>
      <c r="I73" s="59"/>
      <c r="J73" s="59"/>
      <c r="K73" s="59"/>
      <c r="L73" s="59"/>
      <c r="M73" s="59"/>
      <c r="N73" s="59"/>
      <c r="O73" s="49"/>
      <c r="P73" s="51"/>
      <c r="Q73" s="7"/>
      <c r="R73" s="7"/>
      <c r="S73" s="8"/>
      <c r="V73" s="1" t="e">
        <f t="shared" si="5"/>
        <v>#VALUE!</v>
      </c>
      <c r="W73" s="1" t="e">
        <f t="shared" si="6"/>
        <v>#VALUE!</v>
      </c>
      <c r="X73" s="1">
        <v>1</v>
      </c>
    </row>
    <row r="74" spans="6:24">
      <c r="F74" s="56">
        <f t="shared" si="7"/>
        <v>70</v>
      </c>
      <c r="G74" s="59"/>
      <c r="H74" s="59"/>
      <c r="I74" s="59"/>
      <c r="J74" s="59"/>
      <c r="K74" s="59"/>
      <c r="L74" s="59"/>
      <c r="M74" s="59"/>
      <c r="N74" s="59"/>
      <c r="O74" s="49"/>
      <c r="P74" s="51"/>
      <c r="Q74" s="7"/>
      <c r="R74" s="7"/>
      <c r="S74" s="8"/>
      <c r="V74" s="1" t="e">
        <f t="shared" si="5"/>
        <v>#VALUE!</v>
      </c>
      <c r="W74" s="1" t="e">
        <f t="shared" si="6"/>
        <v>#VALUE!</v>
      </c>
      <c r="X74" s="1">
        <v>1</v>
      </c>
    </row>
    <row r="75" spans="6:24">
      <c r="F75" s="56">
        <f t="shared" si="7"/>
        <v>71</v>
      </c>
      <c r="G75" s="59"/>
      <c r="H75" s="59"/>
      <c r="I75" s="59"/>
      <c r="J75" s="59"/>
      <c r="K75" s="59"/>
      <c r="L75" s="59"/>
      <c r="M75" s="59"/>
      <c r="N75" s="59"/>
      <c r="O75" s="49"/>
      <c r="P75" s="51"/>
      <c r="Q75" s="7"/>
      <c r="R75" s="7"/>
      <c r="S75" s="8"/>
      <c r="V75" s="1" t="e">
        <f t="shared" si="5"/>
        <v>#VALUE!</v>
      </c>
      <c r="W75" s="1" t="e">
        <f t="shared" si="6"/>
        <v>#VALUE!</v>
      </c>
      <c r="X75" s="1">
        <v>1</v>
      </c>
    </row>
    <row r="76" spans="6:24">
      <c r="F76" s="56">
        <f t="shared" si="7"/>
        <v>72</v>
      </c>
      <c r="G76" s="59"/>
      <c r="H76" s="59"/>
      <c r="I76" s="59"/>
      <c r="J76" s="59"/>
      <c r="K76" s="59"/>
      <c r="L76" s="59"/>
      <c r="M76" s="59"/>
      <c r="N76" s="59"/>
      <c r="O76" s="49"/>
      <c r="P76" s="51"/>
      <c r="Q76" s="7"/>
      <c r="R76" s="7"/>
      <c r="S76" s="8"/>
      <c r="V76" s="1" t="e">
        <f t="shared" si="5"/>
        <v>#VALUE!</v>
      </c>
      <c r="W76" s="1" t="e">
        <f t="shared" si="6"/>
        <v>#VALUE!</v>
      </c>
      <c r="X76" s="1">
        <v>1</v>
      </c>
    </row>
    <row r="77" spans="6:24">
      <c r="F77" s="56">
        <f t="shared" si="7"/>
        <v>73</v>
      </c>
      <c r="G77" s="59"/>
      <c r="H77" s="59"/>
      <c r="I77" s="59"/>
      <c r="J77" s="59"/>
      <c r="K77" s="59"/>
      <c r="L77" s="59"/>
      <c r="M77" s="59"/>
      <c r="N77" s="59"/>
      <c r="O77" s="49"/>
      <c r="P77" s="51"/>
      <c r="Q77" s="7"/>
      <c r="R77" s="7"/>
      <c r="S77" s="8"/>
      <c r="V77" s="1" t="e">
        <f t="shared" si="5"/>
        <v>#VALUE!</v>
      </c>
      <c r="W77" s="1" t="e">
        <f t="shared" si="6"/>
        <v>#VALUE!</v>
      </c>
      <c r="X77" s="1">
        <v>1</v>
      </c>
    </row>
    <row r="78" spans="6:24">
      <c r="F78" s="56">
        <f t="shared" si="7"/>
        <v>74</v>
      </c>
      <c r="G78" s="59"/>
      <c r="H78" s="59"/>
      <c r="I78" s="59"/>
      <c r="J78" s="59"/>
      <c r="K78" s="59"/>
      <c r="L78" s="59"/>
      <c r="M78" s="59"/>
      <c r="N78" s="59"/>
      <c r="O78" s="49"/>
      <c r="P78" s="51"/>
      <c r="Q78" s="7"/>
      <c r="R78" s="7"/>
      <c r="S78" s="8"/>
      <c r="V78" s="1" t="e">
        <f t="shared" si="5"/>
        <v>#VALUE!</v>
      </c>
      <c r="W78" s="1" t="e">
        <f t="shared" si="6"/>
        <v>#VALUE!</v>
      </c>
      <c r="X78" s="1">
        <v>1</v>
      </c>
    </row>
    <row r="79" spans="6:24">
      <c r="F79" s="56">
        <f t="shared" si="7"/>
        <v>75</v>
      </c>
      <c r="G79" s="59"/>
      <c r="H79" s="59"/>
      <c r="I79" s="59"/>
      <c r="J79" s="59"/>
      <c r="K79" s="59"/>
      <c r="L79" s="59"/>
      <c r="M79" s="59"/>
      <c r="N79" s="59"/>
      <c r="O79" s="49"/>
      <c r="P79" s="51"/>
      <c r="Q79" s="7"/>
      <c r="R79" s="7"/>
      <c r="S79" s="8"/>
      <c r="V79" s="1" t="e">
        <f t="shared" si="5"/>
        <v>#VALUE!</v>
      </c>
      <c r="W79" s="1" t="e">
        <f t="shared" si="6"/>
        <v>#VALUE!</v>
      </c>
      <c r="X79" s="1">
        <v>1</v>
      </c>
    </row>
    <row r="80" spans="6:24">
      <c r="F80" s="56">
        <f t="shared" si="7"/>
        <v>76</v>
      </c>
      <c r="G80" s="59"/>
      <c r="H80" s="59"/>
      <c r="I80" s="59"/>
      <c r="J80" s="59"/>
      <c r="K80" s="59"/>
      <c r="L80" s="59"/>
      <c r="M80" s="59"/>
      <c r="N80" s="59"/>
      <c r="O80" s="49"/>
      <c r="P80" s="51"/>
      <c r="Q80" s="7"/>
      <c r="R80" s="7"/>
      <c r="S80" s="8"/>
      <c r="V80" s="1" t="e">
        <f t="shared" si="5"/>
        <v>#VALUE!</v>
      </c>
      <c r="W80" s="1" t="e">
        <f t="shared" si="6"/>
        <v>#VALUE!</v>
      </c>
      <c r="X80" s="1">
        <v>1</v>
      </c>
    </row>
    <row r="81" spans="6:24">
      <c r="F81" s="56">
        <f t="shared" si="7"/>
        <v>77</v>
      </c>
      <c r="G81" s="59"/>
      <c r="H81" s="59"/>
      <c r="I81" s="59"/>
      <c r="J81" s="59"/>
      <c r="K81" s="59"/>
      <c r="L81" s="59"/>
      <c r="M81" s="59"/>
      <c r="N81" s="59"/>
      <c r="O81" s="49"/>
      <c r="P81" s="51"/>
      <c r="Q81" s="7"/>
      <c r="R81" s="7"/>
      <c r="S81" s="8"/>
      <c r="V81" s="1" t="e">
        <f t="shared" si="5"/>
        <v>#VALUE!</v>
      </c>
      <c r="W81" s="1" t="e">
        <f t="shared" si="6"/>
        <v>#VALUE!</v>
      </c>
      <c r="X81" s="1">
        <v>1</v>
      </c>
    </row>
    <row r="82" spans="6:24">
      <c r="F82" s="56">
        <f t="shared" si="7"/>
        <v>78</v>
      </c>
      <c r="G82" s="59"/>
      <c r="H82" s="59"/>
      <c r="I82" s="59"/>
      <c r="J82" s="59"/>
      <c r="K82" s="59"/>
      <c r="L82" s="59"/>
      <c r="M82" s="59"/>
      <c r="N82" s="59"/>
      <c r="O82" s="49"/>
      <c r="P82" s="51"/>
      <c r="Q82" s="7"/>
      <c r="R82" s="7"/>
      <c r="S82" s="8"/>
      <c r="V82" s="1" t="e">
        <f t="shared" si="5"/>
        <v>#VALUE!</v>
      </c>
      <c r="W82" s="1" t="e">
        <f t="shared" si="6"/>
        <v>#VALUE!</v>
      </c>
      <c r="X82" s="1">
        <v>1</v>
      </c>
    </row>
    <row r="83" spans="6:24">
      <c r="F83" s="56">
        <f t="shared" si="7"/>
        <v>79</v>
      </c>
      <c r="G83" s="59"/>
      <c r="H83" s="59"/>
      <c r="I83" s="59"/>
      <c r="J83" s="59"/>
      <c r="K83" s="59"/>
      <c r="L83" s="59"/>
      <c r="M83" s="59"/>
      <c r="N83" s="59"/>
      <c r="O83" s="49"/>
      <c r="P83" s="51"/>
      <c r="Q83" s="7"/>
      <c r="R83" s="7"/>
      <c r="S83" s="8"/>
      <c r="V83" s="1" t="e">
        <f t="shared" si="5"/>
        <v>#VALUE!</v>
      </c>
      <c r="W83" s="1" t="e">
        <f t="shared" si="6"/>
        <v>#VALUE!</v>
      </c>
      <c r="X83" s="1">
        <v>1</v>
      </c>
    </row>
    <row r="84" spans="6:24">
      <c r="F84" s="56">
        <f t="shared" si="7"/>
        <v>80</v>
      </c>
      <c r="G84" s="59"/>
      <c r="H84" s="59"/>
      <c r="I84" s="59"/>
      <c r="J84" s="59"/>
      <c r="K84" s="59"/>
      <c r="L84" s="59"/>
      <c r="M84" s="59"/>
      <c r="N84" s="59"/>
      <c r="O84" s="49"/>
      <c r="P84" s="51"/>
      <c r="Q84" s="7"/>
      <c r="R84" s="7"/>
      <c r="S84" s="8"/>
      <c r="V84" s="1" t="e">
        <f t="shared" si="5"/>
        <v>#VALUE!</v>
      </c>
      <c r="W84" s="1" t="e">
        <f t="shared" si="6"/>
        <v>#VALUE!</v>
      </c>
      <c r="X84" s="1">
        <v>1</v>
      </c>
    </row>
    <row r="85" spans="6:24">
      <c r="F85" s="56">
        <f t="shared" si="7"/>
        <v>81</v>
      </c>
      <c r="G85" s="59"/>
      <c r="H85" s="59"/>
      <c r="I85" s="59"/>
      <c r="J85" s="59"/>
      <c r="K85" s="59"/>
      <c r="L85" s="59"/>
      <c r="M85" s="59"/>
      <c r="N85" s="59"/>
      <c r="O85" s="49"/>
      <c r="P85" s="51"/>
      <c r="Q85" s="7"/>
      <c r="R85" s="7"/>
      <c r="S85" s="8"/>
      <c r="V85" s="1" t="e">
        <f t="shared" si="5"/>
        <v>#VALUE!</v>
      </c>
      <c r="W85" s="1" t="e">
        <f t="shared" si="6"/>
        <v>#VALUE!</v>
      </c>
      <c r="X85" s="1">
        <v>1</v>
      </c>
    </row>
    <row r="86" spans="6:24">
      <c r="F86" s="56">
        <f t="shared" si="7"/>
        <v>82</v>
      </c>
      <c r="G86" s="59"/>
      <c r="H86" s="59"/>
      <c r="I86" s="59"/>
      <c r="J86" s="59"/>
      <c r="K86" s="59"/>
      <c r="L86" s="59"/>
      <c r="M86" s="59"/>
      <c r="N86" s="59"/>
      <c r="O86" s="49"/>
      <c r="P86" s="51"/>
      <c r="Q86" s="7"/>
      <c r="R86" s="7"/>
      <c r="S86" s="8"/>
      <c r="V86" s="1" t="e">
        <f t="shared" si="5"/>
        <v>#VALUE!</v>
      </c>
      <c r="W86" s="1" t="e">
        <f t="shared" si="6"/>
        <v>#VALUE!</v>
      </c>
      <c r="X86" s="1">
        <v>1</v>
      </c>
    </row>
    <row r="87" spans="6:24">
      <c r="F87" s="56">
        <f t="shared" si="7"/>
        <v>83</v>
      </c>
      <c r="G87" s="59"/>
      <c r="H87" s="59"/>
      <c r="I87" s="59"/>
      <c r="J87" s="59"/>
      <c r="K87" s="59"/>
      <c r="L87" s="59"/>
      <c r="M87" s="59"/>
      <c r="N87" s="59"/>
      <c r="O87" s="49"/>
      <c r="P87" s="51"/>
      <c r="Q87" s="7"/>
      <c r="R87" s="7"/>
      <c r="S87" s="8"/>
      <c r="V87" s="1" t="e">
        <f t="shared" si="5"/>
        <v>#VALUE!</v>
      </c>
      <c r="W87" s="1" t="e">
        <f t="shared" si="6"/>
        <v>#VALUE!</v>
      </c>
      <c r="X87" s="1">
        <v>1</v>
      </c>
    </row>
    <row r="88" spans="6:24" ht="15.75" thickBot="1">
      <c r="F88" s="57">
        <f t="shared" si="7"/>
        <v>84</v>
      </c>
      <c r="G88" s="60"/>
      <c r="H88" s="60"/>
      <c r="I88" s="60"/>
      <c r="J88" s="60"/>
      <c r="K88" s="60"/>
      <c r="L88" s="60"/>
      <c r="M88" s="60"/>
      <c r="N88" s="60"/>
      <c r="O88" s="50"/>
      <c r="P88" s="52"/>
      <c r="Q88" s="9"/>
      <c r="R88" s="9"/>
      <c r="S88" s="10"/>
      <c r="V88" s="1" t="e">
        <f t="shared" si="5"/>
        <v>#VALUE!</v>
      </c>
      <c r="W88" s="1" t="e">
        <f t="shared" si="6"/>
        <v>#VALUE!</v>
      </c>
      <c r="X88" s="1">
        <v>1</v>
      </c>
    </row>
    <row r="89" spans="6:24">
      <c r="F89" s="56">
        <f t="shared" si="7"/>
        <v>85</v>
      </c>
      <c r="G89" s="61"/>
      <c r="H89" s="61"/>
      <c r="I89" s="61"/>
      <c r="J89" s="61"/>
      <c r="K89" s="61"/>
      <c r="L89" s="61"/>
      <c r="M89" s="61"/>
      <c r="N89" s="61"/>
      <c r="O89" s="53"/>
    </row>
    <row r="90" spans="6:24">
      <c r="F90" s="56">
        <f t="shared" si="7"/>
        <v>86</v>
      </c>
      <c r="G90" s="61"/>
      <c r="H90" s="61"/>
      <c r="I90" s="61"/>
      <c r="J90" s="61"/>
      <c r="K90" s="61"/>
      <c r="L90" s="61"/>
      <c r="M90" s="61"/>
      <c r="N90" s="61"/>
      <c r="O90" s="53"/>
    </row>
    <row r="91" spans="6:24">
      <c r="F91" s="56">
        <f t="shared" si="7"/>
        <v>87</v>
      </c>
      <c r="G91" s="61"/>
      <c r="H91" s="61"/>
      <c r="I91" s="61"/>
      <c r="J91" s="61"/>
      <c r="K91" s="61"/>
      <c r="L91" s="61"/>
      <c r="M91" s="61"/>
      <c r="N91" s="61"/>
      <c r="O91" s="53"/>
    </row>
    <row r="92" spans="6:24">
      <c r="F92" s="56">
        <f t="shared" si="7"/>
        <v>88</v>
      </c>
      <c r="G92" s="61"/>
      <c r="H92" s="61"/>
      <c r="I92" s="61"/>
      <c r="J92" s="61"/>
      <c r="K92" s="61"/>
      <c r="L92" s="61"/>
      <c r="M92" s="61"/>
      <c r="N92" s="61"/>
      <c r="O92" s="53"/>
    </row>
    <row r="93" spans="6:24">
      <c r="F93" s="56">
        <f t="shared" si="7"/>
        <v>89</v>
      </c>
      <c r="G93" s="61"/>
      <c r="H93" s="61"/>
      <c r="I93" s="61"/>
      <c r="J93" s="61"/>
      <c r="K93" s="61"/>
      <c r="L93" s="61"/>
      <c r="M93" s="61"/>
      <c r="N93" s="61"/>
      <c r="O93" s="53"/>
    </row>
    <row r="94" spans="6:24">
      <c r="F94" s="56">
        <f t="shared" si="7"/>
        <v>90</v>
      </c>
      <c r="G94" s="61"/>
      <c r="H94" s="61"/>
      <c r="I94" s="61"/>
      <c r="J94" s="61"/>
      <c r="K94" s="61"/>
      <c r="L94" s="61"/>
      <c r="M94" s="61"/>
      <c r="N94" s="61"/>
      <c r="O94" s="53"/>
    </row>
    <row r="95" spans="6:24">
      <c r="F95" s="56">
        <f t="shared" si="7"/>
        <v>91</v>
      </c>
      <c r="G95" s="61"/>
      <c r="H95" s="61"/>
      <c r="I95" s="61"/>
      <c r="J95" s="61"/>
      <c r="K95" s="61"/>
      <c r="L95" s="61"/>
      <c r="M95" s="61"/>
      <c r="N95" s="61"/>
      <c r="O95" s="53"/>
    </row>
    <row r="96" spans="6:24">
      <c r="F96" s="56">
        <f t="shared" si="7"/>
        <v>92</v>
      </c>
      <c r="G96" s="61"/>
      <c r="H96" s="61"/>
      <c r="I96" s="61"/>
      <c r="J96" s="61"/>
      <c r="K96" s="61"/>
      <c r="L96" s="61"/>
      <c r="M96" s="61"/>
      <c r="N96" s="61"/>
      <c r="O96" s="53"/>
    </row>
    <row r="97" spans="6:15">
      <c r="F97" s="56">
        <f t="shared" si="7"/>
        <v>93</v>
      </c>
      <c r="G97" s="61"/>
      <c r="H97" s="61"/>
      <c r="I97" s="61"/>
      <c r="J97" s="61"/>
      <c r="K97" s="61"/>
      <c r="L97" s="61"/>
      <c r="M97" s="61"/>
      <c r="N97" s="61"/>
      <c r="O97" s="53"/>
    </row>
    <row r="98" spans="6:15">
      <c r="F98" s="56">
        <f t="shared" si="7"/>
        <v>94</v>
      </c>
      <c r="G98" s="61"/>
      <c r="H98" s="61"/>
      <c r="I98" s="61"/>
      <c r="J98" s="61"/>
      <c r="K98" s="61"/>
      <c r="L98" s="61"/>
      <c r="M98" s="61"/>
      <c r="N98" s="61"/>
      <c r="O98" s="53"/>
    </row>
    <row r="99" spans="6:15">
      <c r="F99" s="56">
        <f t="shared" si="7"/>
        <v>95</v>
      </c>
      <c r="G99" s="61"/>
      <c r="H99" s="61"/>
      <c r="I99" s="61"/>
      <c r="J99" s="61"/>
      <c r="K99" s="61"/>
      <c r="L99" s="61"/>
      <c r="M99" s="61"/>
      <c r="N99" s="61"/>
      <c r="O99" s="53"/>
    </row>
    <row r="100" spans="6:15">
      <c r="F100" s="56">
        <f t="shared" si="7"/>
        <v>96</v>
      </c>
      <c r="G100" s="61"/>
      <c r="H100" s="61"/>
      <c r="I100" s="61"/>
      <c r="J100" s="61"/>
      <c r="K100" s="61"/>
      <c r="L100" s="61"/>
      <c r="M100" s="61"/>
      <c r="N100" s="61"/>
      <c r="O100" s="53"/>
    </row>
    <row r="101" spans="6:15">
      <c r="F101" s="56">
        <f t="shared" si="7"/>
        <v>97</v>
      </c>
      <c r="G101" s="61"/>
      <c r="H101" s="61"/>
      <c r="I101" s="61"/>
      <c r="J101" s="61"/>
      <c r="K101" s="61"/>
      <c r="L101" s="61"/>
      <c r="M101" s="61"/>
      <c r="N101" s="61"/>
      <c r="O101" s="53"/>
    </row>
    <row r="102" spans="6:15">
      <c r="F102" s="56">
        <f t="shared" si="7"/>
        <v>98</v>
      </c>
      <c r="G102" s="61"/>
      <c r="H102" s="61"/>
      <c r="I102" s="61"/>
      <c r="J102" s="61"/>
      <c r="K102" s="61"/>
      <c r="L102" s="61"/>
      <c r="M102" s="61"/>
      <c r="N102" s="61"/>
      <c r="O102" s="53"/>
    </row>
    <row r="103" spans="6:15">
      <c r="F103" s="56">
        <f t="shared" si="7"/>
        <v>99</v>
      </c>
      <c r="G103" s="61"/>
      <c r="H103" s="61"/>
      <c r="I103" s="61"/>
      <c r="J103" s="61"/>
      <c r="K103" s="61"/>
      <c r="L103" s="61"/>
      <c r="M103" s="61"/>
      <c r="N103" s="61"/>
      <c r="O103" s="53"/>
    </row>
    <row r="104" spans="6:15" ht="15.75" thickBot="1">
      <c r="F104" s="57">
        <f t="shared" si="7"/>
        <v>100</v>
      </c>
      <c r="G104" s="62"/>
      <c r="H104" s="62"/>
      <c r="I104" s="62"/>
      <c r="J104" s="62"/>
      <c r="K104" s="62"/>
      <c r="L104" s="62"/>
      <c r="M104" s="62"/>
      <c r="N104" s="62"/>
      <c r="O104" s="54"/>
    </row>
  </sheetData>
  <mergeCells count="1">
    <mergeCell ref="F3:G3"/>
  </mergeCells>
  <phoneticPr fontId="1" type="noConversion"/>
  <dataValidations count="1">
    <dataValidation type="list" showInputMessage="1" showErrorMessage="1" sqref="C22">
      <formula1>Weighting_Scheme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Run">
                <anchor moveWithCells="1" sizeWithCells="1">
                  <from>
                    <xdr:col>3</xdr:col>
                    <xdr:colOff>66675</xdr:colOff>
                    <xdr:row>19</xdr:row>
                    <xdr:rowOff>28575</xdr:rowOff>
                  </from>
                  <to>
                    <xdr:col>4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OutputP">
                <anchor moveWithCells="1" sizeWithCells="1">
                  <from>
                    <xdr:col>3</xdr:col>
                    <xdr:colOff>114300</xdr:colOff>
                    <xdr:row>24</xdr:row>
                    <xdr:rowOff>66675</xdr:rowOff>
                  </from>
                  <to>
                    <xdr:col>4</xdr:col>
                    <xdr:colOff>381000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Run_recal">
                <anchor moveWithCells="1" sizeWithCells="1">
                  <from>
                    <xdr:col>3</xdr:col>
                    <xdr:colOff>95250</xdr:colOff>
                    <xdr:row>21</xdr:row>
                    <xdr:rowOff>85725</xdr:rowOff>
                  </from>
                  <to>
                    <xdr:col>4</xdr:col>
                    <xdr:colOff>333375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9"/>
  <sheetViews>
    <sheetView workbookViewId="0"/>
  </sheetViews>
  <sheetFormatPr defaultColWidth="8.7109375" defaultRowHeight="15"/>
  <cols>
    <col min="1" max="1" width="6.140625" style="12" bestFit="1" customWidth="1"/>
    <col min="2" max="2" width="17.5703125" style="12" bestFit="1" customWidth="1"/>
    <col min="3" max="3" width="4.5703125" style="12" bestFit="1" customWidth="1"/>
    <col min="4" max="4" width="4.42578125" style="12" bestFit="1" customWidth="1"/>
    <col min="5" max="5" width="12" style="12" bestFit="1" customWidth="1"/>
    <col min="6" max="6" width="5.7109375" style="12" bestFit="1" customWidth="1"/>
    <col min="7" max="7" width="12" style="12" bestFit="1" customWidth="1"/>
    <col min="8" max="8" width="3.140625" style="12" bestFit="1" customWidth="1"/>
    <col min="9" max="9" width="6.140625" style="12" bestFit="1" customWidth="1"/>
    <col min="10" max="11" width="12.7109375" style="12" bestFit="1" customWidth="1"/>
    <col min="12" max="12" width="12" style="12" bestFit="1" customWidth="1"/>
    <col min="13" max="13" width="8.7109375" style="12"/>
    <col min="14" max="14" width="4" style="12" bestFit="1" customWidth="1"/>
    <col min="15" max="15" width="12" style="12" bestFit="1" customWidth="1"/>
    <col min="16" max="16" width="63.5703125" style="12" bestFit="1" customWidth="1"/>
    <col min="17" max="16384" width="8.7109375" style="12"/>
  </cols>
  <sheetData>
    <row r="1" spans="1:16">
      <c r="A1" s="29" t="s">
        <v>54</v>
      </c>
      <c r="B1" s="29" t="s">
        <v>55</v>
      </c>
      <c r="C1" s="29" t="s">
        <v>56</v>
      </c>
      <c r="D1" s="29" t="s">
        <v>57</v>
      </c>
      <c r="E1" s="29" t="s">
        <v>58</v>
      </c>
      <c r="F1" s="29" t="s">
        <v>59</v>
      </c>
      <c r="G1" s="29" t="s">
        <v>60</v>
      </c>
      <c r="H1" s="29" t="s">
        <v>61</v>
      </c>
      <c r="I1" s="29" t="s">
        <v>54</v>
      </c>
      <c r="J1" s="29" t="s">
        <v>47</v>
      </c>
      <c r="K1" s="29" t="s">
        <v>48</v>
      </c>
      <c r="L1" s="29" t="s">
        <v>62</v>
      </c>
      <c r="N1" s="30" t="s">
        <v>63</v>
      </c>
      <c r="O1" s="31">
        <v>7000.89</v>
      </c>
      <c r="P1" s="32" t="s">
        <v>64</v>
      </c>
    </row>
    <row r="2" spans="1:16">
      <c r="A2" s="66" t="s">
        <v>65</v>
      </c>
      <c r="B2" s="66"/>
      <c r="C2" s="66"/>
      <c r="D2" s="66"/>
      <c r="E2" s="66"/>
      <c r="F2" s="66"/>
      <c r="G2" s="66"/>
      <c r="H2" s="66"/>
      <c r="N2" s="33" t="s">
        <v>66</v>
      </c>
      <c r="O2" s="34">
        <v>6.8700000000000002E-3</v>
      </c>
      <c r="P2" s="12" t="s">
        <v>67</v>
      </c>
    </row>
    <row r="3" spans="1:16" ht="15.75" thickBot="1">
      <c r="A3" s="12">
        <v>6300</v>
      </c>
      <c r="B3" s="12" t="s">
        <v>68</v>
      </c>
      <c r="D3" s="12">
        <v>0</v>
      </c>
      <c r="E3" s="12">
        <v>16.665227890014599</v>
      </c>
      <c r="F3" s="12">
        <v>0</v>
      </c>
      <c r="G3" s="12">
        <v>0.59484070539474498</v>
      </c>
      <c r="H3" s="12">
        <v>0</v>
      </c>
      <c r="I3" s="12">
        <f>VALUE(MID($B3,FIND("C",$B3)+1,LEN($B3)-FIND("C",$B3)))</f>
        <v>6300</v>
      </c>
      <c r="J3" s="12">
        <f>(LN($O$1/$I3)+($O$2-0.5*($E3/100)^2)*$O$3)/(($E3/100)*SQRT($O$3))</f>
        <v>0.44030431315469015</v>
      </c>
      <c r="K3" s="12">
        <f>J3+($E3/100)*SQRT($O$3)</f>
        <v>0.65374393588977753</v>
      </c>
      <c r="L3" s="12">
        <f>$O$1*_xlfn.NORM.S.DIST($K3,1)-$I3*EXP(-$O$2*$O$3)*_xlfn.NORM.S.DIST($J3,1)</f>
        <v>1029.6098032325817</v>
      </c>
      <c r="N3" s="35" t="s">
        <v>69</v>
      </c>
      <c r="O3" s="36">
        <f>NETWORKDAYS($O$4,$O$5)/$O$6</f>
        <v>1.6403162055335969</v>
      </c>
    </row>
    <row r="4" spans="1:16">
      <c r="A4" s="38">
        <v>6400</v>
      </c>
      <c r="B4" s="39" t="s">
        <v>70</v>
      </c>
      <c r="C4" s="39"/>
      <c r="D4" s="39">
        <v>0</v>
      </c>
      <c r="E4" s="39">
        <v>16.3257141113281</v>
      </c>
      <c r="F4" s="39">
        <v>0</v>
      </c>
      <c r="G4" s="39">
        <v>0.56880515813827504</v>
      </c>
      <c r="H4" s="39">
        <v>0</v>
      </c>
      <c r="I4" s="39">
        <f t="shared" ref="I4:I19" si="0">VALUE(MID($B4,FIND("C",$B4)+1,LEN($B4)-FIND("C",$B4)))</f>
        <v>6400</v>
      </c>
      <c r="J4" s="39">
        <f t="shared" ref="J4:J19" si="1">(LN($O$1/$I4)+($O$2-0.5*($E4/100)^2)*$O$3)/(($E4/100)*SQRT($O$3))</f>
        <v>0.37853644090864313</v>
      </c>
      <c r="K4" s="39">
        <f t="shared" ref="K4:K19" si="2">J4+($E4/100)*SQRT($O$3)</f>
        <v>0.5876277466981441</v>
      </c>
      <c r="L4" s="31">
        <f t="shared" ref="L4:L19" si="3">$O$1*_xlfn.NORM.S.DIST($K4,1)-$I4*EXP(-$O$2*$O$3)*_xlfn.NORM.S.DIST($J4,1)</f>
        <v>954.44273458865791</v>
      </c>
      <c r="O4" s="37">
        <v>43423</v>
      </c>
    </row>
    <row r="5" spans="1:16">
      <c r="A5" s="40">
        <v>6500</v>
      </c>
      <c r="B5" s="41" t="s">
        <v>71</v>
      </c>
      <c r="C5" s="41"/>
      <c r="D5" s="41">
        <v>0</v>
      </c>
      <c r="E5" s="41">
        <v>15.533057212829601</v>
      </c>
      <c r="F5" s="41">
        <v>0</v>
      </c>
      <c r="G5" s="41">
        <v>0.54163169860839799</v>
      </c>
      <c r="H5" s="41">
        <v>0</v>
      </c>
      <c r="I5" s="41">
        <f t="shared" si="0"/>
        <v>6500</v>
      </c>
      <c r="J5" s="41">
        <f t="shared" si="1"/>
        <v>0.3303300140458254</v>
      </c>
      <c r="K5" s="41">
        <f t="shared" si="2"/>
        <v>0.52926938009046065</v>
      </c>
      <c r="L5" s="42">
        <f t="shared" si="3"/>
        <v>867.04443184780075</v>
      </c>
      <c r="O5" s="37">
        <v>44001</v>
      </c>
    </row>
    <row r="6" spans="1:16">
      <c r="A6" s="40">
        <v>6600</v>
      </c>
      <c r="B6" s="41" t="s">
        <v>72</v>
      </c>
      <c r="C6" s="41"/>
      <c r="D6" s="41">
        <v>0</v>
      </c>
      <c r="E6" s="41">
        <v>15.217466354370099</v>
      </c>
      <c r="F6" s="41">
        <v>0</v>
      </c>
      <c r="G6" s="41">
        <v>0.51247173547744795</v>
      </c>
      <c r="H6" s="41">
        <v>0</v>
      </c>
      <c r="I6" s="41">
        <f t="shared" si="0"/>
        <v>6600</v>
      </c>
      <c r="J6" s="41">
        <f t="shared" si="1"/>
        <v>0.26292854532794524</v>
      </c>
      <c r="K6" s="41">
        <f t="shared" si="2"/>
        <v>0.45782598682088571</v>
      </c>
      <c r="L6" s="42">
        <f t="shared" si="3"/>
        <v>796.07765149646229</v>
      </c>
      <c r="O6" s="43">
        <v>253</v>
      </c>
    </row>
    <row r="7" spans="1:16">
      <c r="A7" s="40">
        <v>6700</v>
      </c>
      <c r="B7" s="41" t="s">
        <v>73</v>
      </c>
      <c r="C7" s="41"/>
      <c r="D7" s="41">
        <v>0</v>
      </c>
      <c r="E7" s="41">
        <v>14.920085906982401</v>
      </c>
      <c r="F7" s="41">
        <v>0</v>
      </c>
      <c r="G7" s="41">
        <v>0.48232010006904602</v>
      </c>
      <c r="H7" s="41">
        <v>0</v>
      </c>
      <c r="I7" s="41">
        <f t="shared" si="0"/>
        <v>6700</v>
      </c>
      <c r="J7" s="41">
        <f t="shared" si="1"/>
        <v>0.19331999363523975</v>
      </c>
      <c r="K7" s="41">
        <f t="shared" si="2"/>
        <v>0.38440874010653858</v>
      </c>
      <c r="L7" s="42">
        <f t="shared" si="3"/>
        <v>727.98048624480543</v>
      </c>
    </row>
    <row r="8" spans="1:16">
      <c r="A8" s="40">
        <v>6800</v>
      </c>
      <c r="B8" s="41" t="s">
        <v>74</v>
      </c>
      <c r="C8" s="41"/>
      <c r="D8" s="41">
        <v>0</v>
      </c>
      <c r="E8" s="41">
        <v>14.658659934997599</v>
      </c>
      <c r="F8" s="41">
        <v>0</v>
      </c>
      <c r="G8" s="41">
        <v>0.45151242613792397</v>
      </c>
      <c r="H8" s="41">
        <v>0</v>
      </c>
      <c r="I8" s="41">
        <f t="shared" si="0"/>
        <v>6800</v>
      </c>
      <c r="J8" s="41">
        <f t="shared" si="1"/>
        <v>0.12123321625717284</v>
      </c>
      <c r="K8" s="41">
        <f t="shared" si="2"/>
        <v>0.30897375403898697</v>
      </c>
      <c r="L8" s="42">
        <f t="shared" si="3"/>
        <v>663.55502028393767</v>
      </c>
    </row>
    <row r="9" spans="1:16">
      <c r="A9" s="40">
        <v>6900</v>
      </c>
      <c r="B9" s="41" t="s">
        <v>75</v>
      </c>
      <c r="C9" s="41"/>
      <c r="D9" s="41">
        <v>0</v>
      </c>
      <c r="E9" s="41">
        <v>14.420640945434601</v>
      </c>
      <c r="F9" s="41">
        <v>0</v>
      </c>
      <c r="G9" s="41">
        <v>0.42033866047859197</v>
      </c>
      <c r="H9" s="41">
        <v>0</v>
      </c>
      <c r="I9" s="41">
        <f t="shared" si="0"/>
        <v>6900</v>
      </c>
      <c r="J9" s="41">
        <f t="shared" si="1"/>
        <v>4.7263827193931768E-2</v>
      </c>
      <c r="K9" s="41">
        <f t="shared" si="2"/>
        <v>0.23195594081548865</v>
      </c>
      <c r="L9" s="42">
        <f t="shared" si="3"/>
        <v>602.58608242076298</v>
      </c>
    </row>
    <row r="10" spans="1:16">
      <c r="A10" s="40">
        <v>7000</v>
      </c>
      <c r="B10" s="41" t="s">
        <v>76</v>
      </c>
      <c r="C10" s="41"/>
      <c r="D10" s="41">
        <v>0</v>
      </c>
      <c r="E10" s="41">
        <v>14.2074899673462</v>
      </c>
      <c r="F10" s="41">
        <v>0</v>
      </c>
      <c r="G10" s="41">
        <v>0.389151722192764</v>
      </c>
      <c r="H10" s="41">
        <v>0</v>
      </c>
      <c r="I10" s="41">
        <f t="shared" si="0"/>
        <v>7000</v>
      </c>
      <c r="J10" s="41">
        <f t="shared" si="1"/>
        <v>-2.8352107587852792E-2</v>
      </c>
      <c r="K10" s="41">
        <f t="shared" si="2"/>
        <v>0.15361007850741673</v>
      </c>
      <c r="L10" s="42">
        <f t="shared" si="3"/>
        <v>545.28743654363825</v>
      </c>
    </row>
    <row r="11" spans="1:16">
      <c r="A11" s="40">
        <v>7100</v>
      </c>
      <c r="B11" s="41" t="s">
        <v>77</v>
      </c>
      <c r="C11" s="41"/>
      <c r="D11" s="41">
        <v>0</v>
      </c>
      <c r="E11" s="41">
        <v>13.9897899627685</v>
      </c>
      <c r="F11" s="41">
        <v>0</v>
      </c>
      <c r="G11" s="41">
        <v>0.35796204209327698</v>
      </c>
      <c r="H11" s="41">
        <v>0</v>
      </c>
      <c r="I11" s="41">
        <f t="shared" si="0"/>
        <v>7100</v>
      </c>
      <c r="J11" s="41">
        <f t="shared" si="1"/>
        <v>-0.10515023831540518</v>
      </c>
      <c r="K11" s="41">
        <f t="shared" si="2"/>
        <v>7.4023758674191642E-2</v>
      </c>
      <c r="L11" s="42">
        <f t="shared" si="3"/>
        <v>490.73911462269325</v>
      </c>
    </row>
    <row r="12" spans="1:16">
      <c r="A12" s="40">
        <v>7200</v>
      </c>
      <c r="B12" s="41" t="s">
        <v>78</v>
      </c>
      <c r="C12" s="41"/>
      <c r="D12" s="41">
        <v>0</v>
      </c>
      <c r="E12" s="41">
        <v>13.7837572097778</v>
      </c>
      <c r="F12" s="41">
        <v>0</v>
      </c>
      <c r="G12" s="41">
        <v>0.32718521356582603</v>
      </c>
      <c r="H12" s="41">
        <v>0</v>
      </c>
      <c r="I12" s="41">
        <f t="shared" si="0"/>
        <v>7200</v>
      </c>
      <c r="J12" s="41">
        <f t="shared" si="1"/>
        <v>-0.18328983701715393</v>
      </c>
      <c r="K12" s="41">
        <f t="shared" si="2"/>
        <v>-6.7546010069827467E-3</v>
      </c>
      <c r="L12" s="42">
        <f t="shared" si="3"/>
        <v>439.59955391426593</v>
      </c>
    </row>
    <row r="13" spans="1:16">
      <c r="A13" s="40">
        <v>7300</v>
      </c>
      <c r="B13" s="41" t="s">
        <v>79</v>
      </c>
      <c r="C13" s="41"/>
      <c r="D13" s="41">
        <v>0</v>
      </c>
      <c r="E13" s="41">
        <v>13.583014488220201</v>
      </c>
      <c r="F13" s="41">
        <v>0</v>
      </c>
      <c r="G13" s="41">
        <v>0.29700940847396901</v>
      </c>
      <c r="H13" s="41">
        <v>0</v>
      </c>
      <c r="I13" s="41">
        <f t="shared" si="0"/>
        <v>7300</v>
      </c>
      <c r="J13" s="41">
        <f t="shared" si="1"/>
        <v>-0.2626969286511272</v>
      </c>
      <c r="K13" s="41">
        <f t="shared" si="2"/>
        <v>-8.8732701632782712E-2</v>
      </c>
      <c r="L13" s="42">
        <f t="shared" si="3"/>
        <v>391.70701917227188</v>
      </c>
    </row>
    <row r="14" spans="1:16">
      <c r="A14" s="40">
        <v>7350</v>
      </c>
      <c r="B14" s="41" t="s">
        <v>80</v>
      </c>
      <c r="C14" s="41"/>
      <c r="D14" s="41">
        <v>0</v>
      </c>
      <c r="E14" s="41">
        <v>13.4864854812622</v>
      </c>
      <c r="F14" s="41">
        <v>0</v>
      </c>
      <c r="G14" s="41">
        <v>0.28225529193878202</v>
      </c>
      <c r="H14" s="41">
        <v>0</v>
      </c>
      <c r="I14" s="41">
        <f t="shared" si="0"/>
        <v>7350</v>
      </c>
      <c r="J14" s="41">
        <f t="shared" si="1"/>
        <v>-0.30285504793798296</v>
      </c>
      <c r="K14" s="41">
        <f t="shared" si="2"/>
        <v>-0.13012711453434825</v>
      </c>
      <c r="L14" s="42">
        <f t="shared" si="3"/>
        <v>369.05815685635753</v>
      </c>
    </row>
    <row r="15" spans="1:16">
      <c r="A15" s="40">
        <v>7400</v>
      </c>
      <c r="B15" s="41" t="s">
        <v>81</v>
      </c>
      <c r="C15" s="41"/>
      <c r="D15" s="41">
        <v>0</v>
      </c>
      <c r="E15" s="41">
        <v>13.3991432189941</v>
      </c>
      <c r="F15" s="41">
        <v>0</v>
      </c>
      <c r="G15" s="41">
        <v>0.26788231730461098</v>
      </c>
      <c r="H15" s="41">
        <v>0</v>
      </c>
      <c r="I15" s="41">
        <f t="shared" si="0"/>
        <v>7400</v>
      </c>
      <c r="J15" s="41">
        <f t="shared" si="1"/>
        <v>-0.34321345151799981</v>
      </c>
      <c r="K15" s="41">
        <f t="shared" si="2"/>
        <v>-0.17160415265272042</v>
      </c>
      <c r="L15" s="42">
        <f t="shared" si="3"/>
        <v>347.51104313808037</v>
      </c>
    </row>
    <row r="16" spans="1:16">
      <c r="A16" s="40">
        <v>7500</v>
      </c>
      <c r="B16" s="41" t="s">
        <v>82</v>
      </c>
      <c r="C16" s="41"/>
      <c r="D16" s="41">
        <v>0</v>
      </c>
      <c r="E16" s="41">
        <v>13.3227214813232</v>
      </c>
      <c r="F16" s="41">
        <v>0</v>
      </c>
      <c r="G16" s="41">
        <v>0.241761058568955</v>
      </c>
      <c r="H16" s="41">
        <v>0</v>
      </c>
      <c r="I16" s="41">
        <f t="shared" si="0"/>
        <v>7500</v>
      </c>
      <c r="J16" s="41">
        <f t="shared" si="1"/>
        <v>-0.42286778090994509</v>
      </c>
      <c r="K16" s="41">
        <f t="shared" si="2"/>
        <v>-0.25223725214999437</v>
      </c>
      <c r="L16" s="42">
        <f t="shared" si="3"/>
        <v>310.14415362245018</v>
      </c>
    </row>
    <row r="17" spans="1:12">
      <c r="A17" s="40">
        <v>7600</v>
      </c>
      <c r="B17" s="41" t="s">
        <v>83</v>
      </c>
      <c r="C17" s="41"/>
      <c r="D17" s="41">
        <v>0</v>
      </c>
      <c r="E17" s="41">
        <v>13.1581106185913</v>
      </c>
      <c r="F17" s="41">
        <v>0</v>
      </c>
      <c r="G17" s="41">
        <v>0.21534350514411901</v>
      </c>
      <c r="H17" s="41">
        <v>0</v>
      </c>
      <c r="I17" s="41">
        <f t="shared" si="0"/>
        <v>7600</v>
      </c>
      <c r="J17" s="41">
        <f t="shared" si="1"/>
        <v>-0.50463280731721127</v>
      </c>
      <c r="K17" s="41">
        <f t="shared" si="2"/>
        <v>-0.33611052938176</v>
      </c>
      <c r="L17" s="42">
        <f t="shared" si="3"/>
        <v>272.71785950608455</v>
      </c>
    </row>
    <row r="18" spans="1:12" ht="15.75" thickBot="1">
      <c r="A18" s="44">
        <v>7700</v>
      </c>
      <c r="B18" s="45" t="s">
        <v>84</v>
      </c>
      <c r="C18" s="45"/>
      <c r="D18" s="45">
        <v>0</v>
      </c>
      <c r="E18" s="45">
        <v>13.0217943191528</v>
      </c>
      <c r="F18" s="45">
        <v>0</v>
      </c>
      <c r="G18" s="45">
        <v>0.19087190926075001</v>
      </c>
      <c r="H18" s="45">
        <v>0</v>
      </c>
      <c r="I18" s="45">
        <f t="shared" si="0"/>
        <v>7700</v>
      </c>
      <c r="J18" s="45">
        <f t="shared" si="1"/>
        <v>-0.58654133686291532</v>
      </c>
      <c r="K18" s="45">
        <f t="shared" si="2"/>
        <v>-0.41976492761385809</v>
      </c>
      <c r="L18" s="46">
        <f t="shared" si="3"/>
        <v>239.2321611350917</v>
      </c>
    </row>
    <row r="19" spans="1:12">
      <c r="A19" s="12">
        <v>7800</v>
      </c>
      <c r="B19" s="12" t="s">
        <v>85</v>
      </c>
      <c r="D19" s="12">
        <v>0</v>
      </c>
      <c r="E19" s="12">
        <v>13.2473859786987</v>
      </c>
      <c r="F19" s="12">
        <v>0</v>
      </c>
      <c r="G19" s="12">
        <v>0.17524282634258301</v>
      </c>
      <c r="H19" s="12">
        <v>0</v>
      </c>
      <c r="I19" s="12">
        <f t="shared" si="0"/>
        <v>7800</v>
      </c>
      <c r="J19" s="12">
        <f t="shared" si="1"/>
        <v>-0.65546964824387999</v>
      </c>
      <c r="K19" s="12">
        <f t="shared" si="2"/>
        <v>-0.48580397765237748</v>
      </c>
      <c r="L19" s="12">
        <f t="shared" si="3"/>
        <v>220.08825696265853</v>
      </c>
    </row>
  </sheetData>
  <mergeCells count="1">
    <mergeCell ref="A2:H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5"/>
  <sheetViews>
    <sheetView topLeftCell="B15" workbookViewId="0">
      <selection activeCell="L17" sqref="L17:L35"/>
    </sheetView>
  </sheetViews>
  <sheetFormatPr defaultColWidth="9.140625" defaultRowHeight="15"/>
  <cols>
    <col min="1" max="1" width="6.140625" style="12" bestFit="1" customWidth="1"/>
    <col min="2" max="2" width="18.5703125" style="12" bestFit="1" customWidth="1"/>
    <col min="3" max="3" width="4.5703125" style="12" bestFit="1" customWidth="1"/>
    <col min="4" max="4" width="4.42578125" style="12" bestFit="1" customWidth="1"/>
    <col min="5" max="5" width="12" style="12" bestFit="1" customWidth="1"/>
    <col min="6" max="6" width="5.7109375" style="12" bestFit="1" customWidth="1"/>
    <col min="7" max="8" width="12" style="12" bestFit="1" customWidth="1"/>
    <col min="9" max="9" width="6.140625" style="12" bestFit="1" customWidth="1"/>
    <col min="10" max="11" width="12.7109375" style="12" bestFit="1" customWidth="1"/>
    <col min="12" max="12" width="12" style="12" bestFit="1" customWidth="1"/>
    <col min="13" max="13" width="9.140625" style="12"/>
    <col min="14" max="14" width="4" style="12" bestFit="1" customWidth="1"/>
    <col min="15" max="15" width="12" style="12" bestFit="1" customWidth="1"/>
    <col min="16" max="16" width="63.5703125" style="12" bestFit="1" customWidth="1"/>
    <col min="17" max="16384" width="9.140625" style="12"/>
  </cols>
  <sheetData>
    <row r="1" spans="1:16">
      <c r="A1" s="29" t="s">
        <v>54</v>
      </c>
      <c r="B1" s="29" t="s">
        <v>55</v>
      </c>
      <c r="C1" s="29" t="s">
        <v>56</v>
      </c>
      <c r="D1" s="29" t="s">
        <v>57</v>
      </c>
      <c r="E1" s="29" t="s">
        <v>58</v>
      </c>
      <c r="F1" s="29" t="s">
        <v>59</v>
      </c>
      <c r="G1" s="29" t="s">
        <v>60</v>
      </c>
      <c r="H1" s="29" t="s">
        <v>61</v>
      </c>
      <c r="I1" s="29" t="s">
        <v>54</v>
      </c>
      <c r="J1" s="29" t="s">
        <v>47</v>
      </c>
      <c r="K1" s="29" t="s">
        <v>48</v>
      </c>
      <c r="L1" s="29" t="s">
        <v>62</v>
      </c>
      <c r="N1" s="30" t="s">
        <v>63</v>
      </c>
      <c r="O1" s="31">
        <v>7000.89</v>
      </c>
      <c r="P1" s="32" t="s">
        <v>64</v>
      </c>
    </row>
    <row r="2" spans="1:16">
      <c r="A2" s="66" t="s">
        <v>86</v>
      </c>
      <c r="B2" s="66"/>
      <c r="C2" s="66"/>
      <c r="D2" s="66"/>
      <c r="E2" s="66"/>
      <c r="F2" s="66"/>
      <c r="G2" s="66"/>
      <c r="H2" s="66"/>
      <c r="N2" s="33" t="s">
        <v>66</v>
      </c>
      <c r="O2" s="47">
        <v>7.2500000000000004E-3</v>
      </c>
      <c r="P2" s="12" t="s">
        <v>87</v>
      </c>
    </row>
    <row r="3" spans="1:16" ht="15.75" thickBot="1">
      <c r="A3" s="12">
        <v>6200</v>
      </c>
      <c r="B3" s="12" t="s">
        <v>88</v>
      </c>
      <c r="D3" s="12">
        <v>0</v>
      </c>
      <c r="E3" s="12">
        <v>17.091884613037099</v>
      </c>
      <c r="F3" s="12">
        <v>0</v>
      </c>
      <c r="G3" s="12">
        <v>0.68517917394638095</v>
      </c>
      <c r="H3" s="12">
        <v>0</v>
      </c>
      <c r="I3" s="12">
        <f>VALUE(MID($B3,FIND("C",$B3)+1,LEN($B3)-FIND("C",$B3)))</f>
        <v>6200</v>
      </c>
      <c r="J3" s="12">
        <f>(LN($O$1/$I3)+($O$2-0.5*($E3/100)^2)*$O$3)/(($E3/100)*SQRT($O$3))</f>
        <v>0.62401882959898858</v>
      </c>
      <c r="K3" s="12">
        <f>J3+($E3/100)*SQRT($O$3)</f>
        <v>0.80542502776350178</v>
      </c>
      <c r="L3" s="12">
        <f>$O$1*_xlfn.NORM.S.DIST($K3,1)-$I3*EXP(-$O$2*$O$3)*_xlfn.NORM.S.DIST($J3,1)</f>
        <v>1016.7989315185814</v>
      </c>
      <c r="N3" s="35" t="s">
        <v>69</v>
      </c>
      <c r="O3" s="36">
        <f>NETWORKDAYS($O$4,$O$5)/$O$6</f>
        <v>1.1264822134387351</v>
      </c>
    </row>
    <row r="4" spans="1:16">
      <c r="A4" s="12">
        <v>6250</v>
      </c>
      <c r="B4" s="12" t="s">
        <v>89</v>
      </c>
      <c r="D4" s="12">
        <v>0</v>
      </c>
      <c r="E4" s="12">
        <v>17.036918640136701</v>
      </c>
      <c r="F4" s="12">
        <v>0</v>
      </c>
      <c r="G4" s="12">
        <v>0.67079693078994795</v>
      </c>
      <c r="H4" s="12">
        <v>0</v>
      </c>
      <c r="I4" s="12">
        <f t="shared" ref="I4:I35" si="0">VALUE(MID($B4,FIND("C",$B4)+1,LEN($B4)-FIND("C",$B4)))</f>
        <v>6250</v>
      </c>
      <c r="J4" s="12">
        <f t="shared" ref="J4:J35" si="1">(LN($O$1/$I4)+($O$2-0.5*($E4/100)^2)*$O$3)/(($E4/100)*SQRT($O$3))</f>
        <v>0.58219629624206481</v>
      </c>
      <c r="K4" s="12">
        <f t="shared" ref="K4:K35" si="2">J4+($E4/100)*SQRT($O$3)</f>
        <v>0.76301910829100195</v>
      </c>
      <c r="L4" s="12">
        <f t="shared" ref="L4:L35" si="3">$O$1*_xlfn.NORM.S.DIST($K4,1)-$I4*EXP(-$O$2*$O$3)*_xlfn.NORM.S.DIST($J4,1)</f>
        <v>979.55825749882933</v>
      </c>
      <c r="O4" s="37">
        <v>43423</v>
      </c>
    </row>
    <row r="5" spans="1:16">
      <c r="A5" s="12">
        <v>6275</v>
      </c>
      <c r="B5" s="12" t="s">
        <v>90</v>
      </c>
      <c r="D5" s="12">
        <v>0</v>
      </c>
      <c r="E5" s="12">
        <v>16.940723419189499</v>
      </c>
      <c r="F5" s="12">
        <v>0</v>
      </c>
      <c r="G5" s="12">
        <v>0.66393846273422197</v>
      </c>
      <c r="H5" s="12">
        <v>0</v>
      </c>
      <c r="I5" s="12">
        <f t="shared" si="0"/>
        <v>6275</v>
      </c>
      <c r="J5" s="12">
        <f t="shared" si="1"/>
        <v>0.56432374217344317</v>
      </c>
      <c r="K5" s="12">
        <f t="shared" si="2"/>
        <v>0.74412557791059797</v>
      </c>
      <c r="L5" s="12">
        <f t="shared" si="3"/>
        <v>959.63819544481248</v>
      </c>
      <c r="O5" s="37">
        <v>43819</v>
      </c>
    </row>
    <row r="6" spans="1:16">
      <c r="A6" s="12">
        <v>6300</v>
      </c>
      <c r="B6" s="12" t="s">
        <v>91</v>
      </c>
      <c r="D6" s="12">
        <v>0</v>
      </c>
      <c r="E6" s="12">
        <v>16.853443145751999</v>
      </c>
      <c r="F6" s="12">
        <v>0</v>
      </c>
      <c r="G6" s="12">
        <v>0.65690410137176503</v>
      </c>
      <c r="H6" s="12">
        <v>0</v>
      </c>
      <c r="I6" s="12">
        <f t="shared" si="0"/>
        <v>6300</v>
      </c>
      <c r="J6" s="12">
        <f t="shared" si="1"/>
        <v>0.54594642338684163</v>
      </c>
      <c r="K6" s="12">
        <f t="shared" si="2"/>
        <v>0.72482190237999067</v>
      </c>
      <c r="L6" s="12">
        <f t="shared" si="3"/>
        <v>940.04212771925813</v>
      </c>
      <c r="O6" s="43">
        <v>253</v>
      </c>
    </row>
    <row r="7" spans="1:16">
      <c r="A7" s="12">
        <v>6350</v>
      </c>
      <c r="B7" s="12" t="s">
        <v>92</v>
      </c>
      <c r="D7" s="12">
        <v>0</v>
      </c>
      <c r="E7" s="12">
        <v>16.669326782226602</v>
      </c>
      <c r="F7" s="12">
        <v>0</v>
      </c>
      <c r="G7" s="12">
        <v>0.64254629611969005</v>
      </c>
      <c r="H7" s="12">
        <v>0</v>
      </c>
      <c r="I7" s="12">
        <f t="shared" si="0"/>
        <v>6350</v>
      </c>
      <c r="J7" s="12">
        <f t="shared" si="1"/>
        <v>0.50925956101783387</v>
      </c>
      <c r="K7" s="12">
        <f t="shared" si="2"/>
        <v>0.68618090503504581</v>
      </c>
      <c r="L7" s="12">
        <f t="shared" si="3"/>
        <v>901.01634837408074</v>
      </c>
    </row>
    <row r="8" spans="1:16">
      <c r="A8" s="12">
        <v>6400</v>
      </c>
      <c r="B8" s="12" t="s">
        <v>93</v>
      </c>
      <c r="D8" s="12">
        <v>0</v>
      </c>
      <c r="E8" s="12">
        <v>16.478513717651399</v>
      </c>
      <c r="F8" s="12">
        <v>0</v>
      </c>
      <c r="G8" s="12">
        <v>0.62775331735610995</v>
      </c>
      <c r="H8" s="12">
        <v>0</v>
      </c>
      <c r="I8" s="12">
        <f t="shared" si="0"/>
        <v>6400</v>
      </c>
      <c r="J8" s="12">
        <f t="shared" si="1"/>
        <v>0.4723486986831596</v>
      </c>
      <c r="K8" s="12">
        <f t="shared" si="2"/>
        <v>0.64724483170764668</v>
      </c>
      <c r="L8" s="12">
        <f t="shared" si="3"/>
        <v>862.35629265244188</v>
      </c>
    </row>
    <row r="9" spans="1:16">
      <c r="A9" s="12">
        <v>6430</v>
      </c>
      <c r="B9" s="12" t="s">
        <v>94</v>
      </c>
      <c r="D9" s="12">
        <v>0</v>
      </c>
      <c r="E9" s="12">
        <v>16.358966827392599</v>
      </c>
      <c r="F9" s="12">
        <v>0</v>
      </c>
      <c r="G9" s="12">
        <v>0.618671774864197</v>
      </c>
      <c r="H9" s="12">
        <v>0</v>
      </c>
      <c r="I9" s="12">
        <f t="shared" si="0"/>
        <v>6430</v>
      </c>
      <c r="J9" s="12">
        <f t="shared" si="1"/>
        <v>0.45013954976071868</v>
      </c>
      <c r="K9" s="12">
        <f t="shared" si="2"/>
        <v>0.62376686150801919</v>
      </c>
      <c r="L9" s="12">
        <f t="shared" si="3"/>
        <v>839.29522078398622</v>
      </c>
    </row>
    <row r="10" spans="1:16">
      <c r="A10" s="12">
        <v>6490</v>
      </c>
      <c r="B10" s="12" t="s">
        <v>95</v>
      </c>
      <c r="D10" s="12">
        <v>0</v>
      </c>
      <c r="E10" s="12">
        <v>16.128808975219702</v>
      </c>
      <c r="F10" s="12">
        <v>0</v>
      </c>
      <c r="G10" s="12">
        <v>0.59995085000991799</v>
      </c>
      <c r="H10" s="12">
        <v>0</v>
      </c>
      <c r="I10" s="12">
        <f t="shared" si="0"/>
        <v>6490</v>
      </c>
      <c r="J10" s="12">
        <f t="shared" si="1"/>
        <v>0.40476606264828596</v>
      </c>
      <c r="K10" s="12">
        <f t="shared" si="2"/>
        <v>0.57595057409089989</v>
      </c>
      <c r="L10" s="12">
        <f t="shared" si="3"/>
        <v>793.99215466041915</v>
      </c>
    </row>
    <row r="11" spans="1:16">
      <c r="A11" s="41">
        <v>6500</v>
      </c>
      <c r="B11" s="41" t="s">
        <v>96</v>
      </c>
      <c r="C11" s="41"/>
      <c r="D11" s="41">
        <v>0</v>
      </c>
      <c r="E11" s="41">
        <v>16.0928764343262</v>
      </c>
      <c r="F11" s="41">
        <v>0</v>
      </c>
      <c r="G11" s="41">
        <v>0.59675633907318104</v>
      </c>
      <c r="H11" s="41">
        <v>0</v>
      </c>
      <c r="I11" s="41">
        <f t="shared" si="0"/>
        <v>6500</v>
      </c>
      <c r="J11" s="41">
        <f t="shared" si="1"/>
        <v>0.39703747613148865</v>
      </c>
      <c r="K11" s="41">
        <f t="shared" si="2"/>
        <v>0.56784061443816936</v>
      </c>
      <c r="L11" s="41">
        <f t="shared" si="3"/>
        <v>786.58348788219064</v>
      </c>
    </row>
    <row r="12" spans="1:16">
      <c r="A12" s="41">
        <v>6550</v>
      </c>
      <c r="B12" s="41" t="s">
        <v>97</v>
      </c>
      <c r="C12" s="41"/>
      <c r="D12" s="41">
        <v>0</v>
      </c>
      <c r="E12" s="41">
        <v>15.7184038162231</v>
      </c>
      <c r="F12" s="41">
        <v>0</v>
      </c>
      <c r="G12" s="41">
        <v>0.58101373910903897</v>
      </c>
      <c r="H12" s="41">
        <v>0</v>
      </c>
      <c r="I12" s="41">
        <f t="shared" si="0"/>
        <v>6550</v>
      </c>
      <c r="J12" s="41">
        <f t="shared" si="1"/>
        <v>0.36458567474045822</v>
      </c>
      <c r="K12" s="41">
        <f t="shared" si="2"/>
        <v>0.53141431547096296</v>
      </c>
      <c r="L12" s="41">
        <f t="shared" si="3"/>
        <v>744.88563609830726</v>
      </c>
    </row>
    <row r="13" spans="1:16">
      <c r="A13" s="41">
        <v>6600</v>
      </c>
      <c r="B13" s="41" t="s">
        <v>98</v>
      </c>
      <c r="C13" s="41"/>
      <c r="D13" s="41">
        <v>516</v>
      </c>
      <c r="E13" s="41">
        <v>15.5320692062378</v>
      </c>
      <c r="F13" s="41">
        <v>41</v>
      </c>
      <c r="G13" s="41">
        <v>0.56415808200836204</v>
      </c>
      <c r="H13" s="41">
        <v>27.0225715637207</v>
      </c>
      <c r="I13" s="41">
        <f t="shared" si="0"/>
        <v>6600</v>
      </c>
      <c r="J13" s="41">
        <f t="shared" si="1"/>
        <v>0.32481891679643421</v>
      </c>
      <c r="K13" s="41">
        <f t="shared" si="2"/>
        <v>0.48966987900001296</v>
      </c>
      <c r="L13" s="41">
        <f t="shared" si="3"/>
        <v>708.55298795724411</v>
      </c>
    </row>
    <row r="14" spans="1:16">
      <c r="A14" s="41">
        <v>6700</v>
      </c>
      <c r="B14" s="41" t="s">
        <v>99</v>
      </c>
      <c r="C14" s="41"/>
      <c r="D14" s="41">
        <v>0</v>
      </c>
      <c r="E14" s="41">
        <v>15.1681356430054</v>
      </c>
      <c r="F14" s="41">
        <v>0</v>
      </c>
      <c r="G14" s="41">
        <v>0.52911770343780495</v>
      </c>
      <c r="H14" s="41">
        <v>0</v>
      </c>
      <c r="I14" s="41">
        <f t="shared" si="0"/>
        <v>6700</v>
      </c>
      <c r="J14" s="41">
        <f t="shared" si="1"/>
        <v>0.24311163173616307</v>
      </c>
      <c r="K14" s="41">
        <f t="shared" si="2"/>
        <v>0.40409995353552935</v>
      </c>
      <c r="L14" s="41">
        <f t="shared" si="3"/>
        <v>638.1076320954844</v>
      </c>
    </row>
    <row r="15" spans="1:16">
      <c r="A15" s="41">
        <v>6800</v>
      </c>
      <c r="B15" s="41" t="s">
        <v>100</v>
      </c>
      <c r="C15" s="41"/>
      <c r="D15" s="41">
        <v>0</v>
      </c>
      <c r="E15" s="41">
        <v>14.8065586090088</v>
      </c>
      <c r="F15" s="41">
        <v>0</v>
      </c>
      <c r="G15" s="41">
        <v>0.492470413446426</v>
      </c>
      <c r="H15" s="41">
        <v>0</v>
      </c>
      <c r="I15" s="41">
        <f t="shared" si="0"/>
        <v>6800</v>
      </c>
      <c r="J15" s="41">
        <f t="shared" si="1"/>
        <v>0.15865980088251258</v>
      </c>
      <c r="K15" s="41">
        <f t="shared" si="2"/>
        <v>0.315810493504878</v>
      </c>
      <c r="L15" s="41">
        <f t="shared" si="3"/>
        <v>570.56950052266166</v>
      </c>
    </row>
    <row r="16" spans="1:16" ht="15.75" thickBot="1">
      <c r="A16" s="41">
        <v>6900</v>
      </c>
      <c r="B16" s="41" t="s">
        <v>101</v>
      </c>
      <c r="C16" s="41"/>
      <c r="D16" s="41">
        <v>0</v>
      </c>
      <c r="E16" s="41">
        <v>14.4876260757446</v>
      </c>
      <c r="F16" s="41">
        <v>0</v>
      </c>
      <c r="G16" s="41">
        <v>0.45466315746307401</v>
      </c>
      <c r="H16" s="41">
        <v>0</v>
      </c>
      <c r="I16" s="41">
        <f t="shared" si="0"/>
        <v>6900</v>
      </c>
      <c r="J16" s="41">
        <f t="shared" si="1"/>
        <v>7.0632974309148347E-2</v>
      </c>
      <c r="K16" s="41">
        <f t="shared" si="2"/>
        <v>0.22439864885771371</v>
      </c>
      <c r="L16" s="41">
        <f t="shared" si="3"/>
        <v>507.3306552429417</v>
      </c>
    </row>
    <row r="17" spans="1:12">
      <c r="A17" s="38">
        <v>7000</v>
      </c>
      <c r="B17" s="39" t="s">
        <v>102</v>
      </c>
      <c r="C17" s="39"/>
      <c r="D17" s="39">
        <v>0</v>
      </c>
      <c r="E17" s="39">
        <v>14.1711616516113</v>
      </c>
      <c r="F17" s="39">
        <v>0</v>
      </c>
      <c r="G17" s="39">
        <v>0.41598266363143899</v>
      </c>
      <c r="H17" s="39">
        <v>0</v>
      </c>
      <c r="I17" s="39">
        <f t="shared" si="0"/>
        <v>7000</v>
      </c>
      <c r="J17" s="39">
        <f t="shared" si="1"/>
        <v>-2.0058791850046862E-2</v>
      </c>
      <c r="K17" s="39">
        <f t="shared" si="2"/>
        <v>0.13034806011481379</v>
      </c>
      <c r="L17" s="31">
        <f t="shared" si="3"/>
        <v>447.49728167819694</v>
      </c>
    </row>
    <row r="18" spans="1:12">
      <c r="A18" s="40">
        <v>7049</v>
      </c>
      <c r="B18" s="41" t="s">
        <v>103</v>
      </c>
      <c r="C18" s="41"/>
      <c r="D18" s="41">
        <v>0</v>
      </c>
      <c r="E18" s="41">
        <v>14.0294599533081</v>
      </c>
      <c r="F18" s="41">
        <v>0</v>
      </c>
      <c r="G18" s="41">
        <v>0.39693811535835299</v>
      </c>
      <c r="H18" s="41">
        <v>0</v>
      </c>
      <c r="I18" s="41">
        <f t="shared" si="0"/>
        <v>7049</v>
      </c>
      <c r="J18" s="41">
        <f t="shared" si="1"/>
        <v>-6.5596565196164844E-2</v>
      </c>
      <c r="K18" s="41">
        <f t="shared" si="2"/>
        <v>8.3306323516859224E-2</v>
      </c>
      <c r="L18" s="42">
        <f t="shared" si="3"/>
        <v>419.8494563691529</v>
      </c>
    </row>
    <row r="19" spans="1:12">
      <c r="A19" s="40">
        <v>7050</v>
      </c>
      <c r="B19" s="41" t="s">
        <v>104</v>
      </c>
      <c r="C19" s="41"/>
      <c r="D19" s="41">
        <v>0</v>
      </c>
      <c r="E19" s="41">
        <v>14.024138450622599</v>
      </c>
      <c r="F19" s="41">
        <v>0</v>
      </c>
      <c r="G19" s="41">
        <v>0.39652559161186202</v>
      </c>
      <c r="H19" s="41">
        <v>0</v>
      </c>
      <c r="I19" s="41">
        <f t="shared" si="0"/>
        <v>7050</v>
      </c>
      <c r="J19" s="41">
        <f t="shared" si="1"/>
        <v>-6.6517987946960913E-2</v>
      </c>
      <c r="K19" s="41">
        <f t="shared" si="2"/>
        <v>8.2328420536260868E-2</v>
      </c>
      <c r="L19" s="42">
        <f t="shared" si="3"/>
        <v>419.2224364461631</v>
      </c>
    </row>
    <row r="20" spans="1:12">
      <c r="A20" s="40">
        <v>7100</v>
      </c>
      <c r="B20" s="41" t="s">
        <v>105</v>
      </c>
      <c r="C20" s="41"/>
      <c r="D20" s="41">
        <v>0</v>
      </c>
      <c r="E20" s="41">
        <v>13.8963708877563</v>
      </c>
      <c r="F20" s="41">
        <v>0</v>
      </c>
      <c r="G20" s="41">
        <v>0.377222269773483</v>
      </c>
      <c r="H20" s="41">
        <v>0</v>
      </c>
      <c r="I20" s="41">
        <f t="shared" si="0"/>
        <v>7100</v>
      </c>
      <c r="J20" s="41">
        <f t="shared" si="1"/>
        <v>-0.11368340627460312</v>
      </c>
      <c r="K20" s="41">
        <f t="shared" si="2"/>
        <v>3.3806930110481401E-2</v>
      </c>
      <c r="L20" s="42">
        <f t="shared" si="3"/>
        <v>392.42426886281783</v>
      </c>
    </row>
    <row r="21" spans="1:12">
      <c r="A21" s="40">
        <v>7150</v>
      </c>
      <c r="B21" s="41" t="s">
        <v>106</v>
      </c>
      <c r="C21" s="41"/>
      <c r="D21" s="41">
        <v>0</v>
      </c>
      <c r="E21" s="41">
        <v>13.741135597229</v>
      </c>
      <c r="F21" s="41">
        <v>0</v>
      </c>
      <c r="G21" s="41">
        <v>0.357629895210266</v>
      </c>
      <c r="H21" s="41">
        <v>0</v>
      </c>
      <c r="I21" s="41">
        <f t="shared" si="0"/>
        <v>7150</v>
      </c>
      <c r="J21" s="41">
        <f t="shared" si="1"/>
        <v>-0.16142818860677954</v>
      </c>
      <c r="K21" s="41">
        <f t="shared" si="2"/>
        <v>-1.5585455427139128E-2</v>
      </c>
      <c r="L21" s="42">
        <f t="shared" si="3"/>
        <v>365.73807393801599</v>
      </c>
    </row>
    <row r="22" spans="1:12">
      <c r="A22" s="40">
        <v>7200</v>
      </c>
      <c r="B22" s="41" t="s">
        <v>107</v>
      </c>
      <c r="C22" s="41"/>
      <c r="D22" s="41">
        <v>0</v>
      </c>
      <c r="E22" s="41">
        <v>13.6051750183106</v>
      </c>
      <c r="F22" s="41">
        <v>0</v>
      </c>
      <c r="G22" s="41">
        <v>0.33832427859306302</v>
      </c>
      <c r="H22" s="41">
        <v>0</v>
      </c>
      <c r="I22" s="41">
        <f t="shared" si="0"/>
        <v>7200</v>
      </c>
      <c r="J22" s="41">
        <f t="shared" si="1"/>
        <v>-0.20985073082351738</v>
      </c>
      <c r="K22" s="41">
        <f t="shared" si="2"/>
        <v>-6.5451027027718017E-2</v>
      </c>
      <c r="L22" s="42">
        <f t="shared" si="3"/>
        <v>340.56529297378438</v>
      </c>
    </row>
    <row r="23" spans="1:12">
      <c r="A23" s="40">
        <v>7250</v>
      </c>
      <c r="B23" s="41" t="s">
        <v>108</v>
      </c>
      <c r="C23" s="41"/>
      <c r="D23" s="41">
        <v>0</v>
      </c>
      <c r="E23" s="41">
        <v>13.469901084899901</v>
      </c>
      <c r="F23" s="41">
        <v>0</v>
      </c>
      <c r="G23" s="41">
        <v>0.31915989518165599</v>
      </c>
      <c r="H23" s="41">
        <v>0</v>
      </c>
      <c r="I23" s="41">
        <f t="shared" si="0"/>
        <v>7250</v>
      </c>
      <c r="J23" s="41">
        <f t="shared" si="1"/>
        <v>-0.25892214838554634</v>
      </c>
      <c r="K23" s="41">
        <f t="shared" si="2"/>
        <v>-0.11595818620200174</v>
      </c>
      <c r="L23" s="42">
        <f t="shared" si="3"/>
        <v>316.36922185192543</v>
      </c>
    </row>
    <row r="24" spans="1:12">
      <c r="A24" s="40">
        <v>7270</v>
      </c>
      <c r="B24" s="41" t="s">
        <v>109</v>
      </c>
      <c r="C24" s="41"/>
      <c r="D24" s="41">
        <v>0</v>
      </c>
      <c r="E24" s="41">
        <v>13.4228019714356</v>
      </c>
      <c r="F24" s="41">
        <v>0</v>
      </c>
      <c r="G24" s="41">
        <v>0.31164979934692399</v>
      </c>
      <c r="H24" s="41">
        <v>0</v>
      </c>
      <c r="I24" s="41">
        <f t="shared" si="0"/>
        <v>7270</v>
      </c>
      <c r="J24" s="41">
        <f t="shared" si="1"/>
        <v>-0.27866687412200936</v>
      </c>
      <c r="K24" s="41">
        <f t="shared" si="2"/>
        <v>-0.13620280245983893</v>
      </c>
      <c r="L24" s="42">
        <f t="shared" si="3"/>
        <v>307.16726131220867</v>
      </c>
    </row>
    <row r="25" spans="1:12">
      <c r="A25" s="40">
        <v>7300</v>
      </c>
      <c r="B25" s="41" t="s">
        <v>110</v>
      </c>
      <c r="C25" s="41"/>
      <c r="D25" s="41">
        <v>0</v>
      </c>
      <c r="E25" s="41">
        <v>13.3557596206665</v>
      </c>
      <c r="F25" s="41">
        <v>0</v>
      </c>
      <c r="G25" s="41">
        <v>0.300517588853836</v>
      </c>
      <c r="H25" s="41">
        <v>0</v>
      </c>
      <c r="I25" s="41">
        <f t="shared" si="0"/>
        <v>7300</v>
      </c>
      <c r="J25" s="41">
        <f t="shared" si="1"/>
        <v>-0.30840339272632777</v>
      </c>
      <c r="K25" s="41">
        <f t="shared" si="2"/>
        <v>-0.16665088086252841</v>
      </c>
      <c r="L25" s="42">
        <f t="shared" si="3"/>
        <v>293.75947803127519</v>
      </c>
    </row>
    <row r="26" spans="1:12">
      <c r="A26" s="40">
        <v>7337</v>
      </c>
      <c r="B26" s="41" t="s">
        <v>111</v>
      </c>
      <c r="C26" s="41"/>
      <c r="D26" s="41">
        <v>0</v>
      </c>
      <c r="E26" s="41">
        <v>13.2652091979981</v>
      </c>
      <c r="F26" s="41">
        <v>0</v>
      </c>
      <c r="G26" s="41">
        <v>0.28680464625358598</v>
      </c>
      <c r="H26" s="41">
        <v>0</v>
      </c>
      <c r="I26" s="41">
        <f t="shared" si="0"/>
        <v>7337</v>
      </c>
      <c r="J26" s="41">
        <f t="shared" si="1"/>
        <v>-0.345453339975202</v>
      </c>
      <c r="K26" s="41">
        <f t="shared" si="2"/>
        <v>-0.20466189286759309</v>
      </c>
      <c r="L26" s="42">
        <f t="shared" si="3"/>
        <v>277.47368668577701</v>
      </c>
    </row>
    <row r="27" spans="1:12">
      <c r="A27" s="40">
        <v>7350</v>
      </c>
      <c r="B27" s="41" t="s">
        <v>112</v>
      </c>
      <c r="C27" s="41"/>
      <c r="D27" s="41">
        <v>0</v>
      </c>
      <c r="E27" s="41">
        <v>13.244021415710399</v>
      </c>
      <c r="F27" s="41">
        <v>0</v>
      </c>
      <c r="G27" s="41">
        <v>0.28220459818839999</v>
      </c>
      <c r="H27" s="41">
        <v>0</v>
      </c>
      <c r="I27" s="41">
        <f t="shared" si="0"/>
        <v>7350</v>
      </c>
      <c r="J27" s="41">
        <f t="shared" si="1"/>
        <v>-0.35837478229029135</v>
      </c>
      <c r="K27" s="41">
        <f t="shared" si="2"/>
        <v>-0.21780821354568153</v>
      </c>
      <c r="L27" s="42">
        <f t="shared" si="3"/>
        <v>272.18591150972179</v>
      </c>
    </row>
    <row r="28" spans="1:12">
      <c r="A28" s="40">
        <v>7400</v>
      </c>
      <c r="B28" s="41" t="s">
        <v>113</v>
      </c>
      <c r="C28" s="41"/>
      <c r="D28" s="41">
        <v>0</v>
      </c>
      <c r="E28" s="41">
        <v>13.135490417480501</v>
      </c>
      <c r="F28" s="41">
        <v>0</v>
      </c>
      <c r="G28" s="41">
        <v>0.26429277658462502</v>
      </c>
      <c r="H28" s="41">
        <v>0</v>
      </c>
      <c r="I28" s="41">
        <f t="shared" si="0"/>
        <v>7400</v>
      </c>
      <c r="J28" s="41">
        <f t="shared" si="1"/>
        <v>-0.40880881922491963</v>
      </c>
      <c r="K28" s="41">
        <f t="shared" si="2"/>
        <v>-0.26939415363304164</v>
      </c>
      <c r="L28" s="42">
        <f t="shared" si="3"/>
        <v>251.67209587107118</v>
      </c>
    </row>
    <row r="29" spans="1:12">
      <c r="A29" s="40">
        <v>7500</v>
      </c>
      <c r="B29" s="41" t="s">
        <v>114</v>
      </c>
      <c r="C29" s="41"/>
      <c r="D29" s="41">
        <v>132</v>
      </c>
      <c r="E29" s="41">
        <v>12.921067237854</v>
      </c>
      <c r="F29" s="41">
        <v>25</v>
      </c>
      <c r="G29" s="41">
        <v>0.22976279258728</v>
      </c>
      <c r="H29" s="41">
        <v>22.6965942382813</v>
      </c>
      <c r="I29" s="41">
        <f t="shared" si="0"/>
        <v>7500</v>
      </c>
      <c r="J29" s="41">
        <f t="shared" si="1"/>
        <v>-0.51117729619217545</v>
      </c>
      <c r="K29" s="41">
        <f t="shared" si="2"/>
        <v>-0.37403842959467631</v>
      </c>
      <c r="L29" s="42">
        <f t="shared" si="3"/>
        <v>213.61167683413987</v>
      </c>
    </row>
    <row r="30" spans="1:12">
      <c r="A30" s="40">
        <v>7600</v>
      </c>
      <c r="B30" s="41" t="s">
        <v>115</v>
      </c>
      <c r="C30" s="41"/>
      <c r="D30" s="41">
        <v>0</v>
      </c>
      <c r="E30" s="41">
        <v>12.971843719482401</v>
      </c>
      <c r="F30" s="41">
        <v>0</v>
      </c>
      <c r="G30" s="41">
        <v>0.20254075527191201</v>
      </c>
      <c r="H30" s="41">
        <v>0</v>
      </c>
      <c r="I30" s="41">
        <f t="shared" si="0"/>
        <v>7600</v>
      </c>
      <c r="J30" s="41">
        <f t="shared" si="1"/>
        <v>-0.60591875902676207</v>
      </c>
      <c r="K30" s="41">
        <f t="shared" si="2"/>
        <v>-0.46824097184227553</v>
      </c>
      <c r="L30" s="42">
        <f t="shared" si="3"/>
        <v>186.39816184539222</v>
      </c>
    </row>
    <row r="31" spans="1:12">
      <c r="A31" s="40">
        <v>7700</v>
      </c>
      <c r="B31" s="41" t="s">
        <v>116</v>
      </c>
      <c r="C31" s="41"/>
      <c r="D31" s="41">
        <v>0</v>
      </c>
      <c r="E31" s="41">
        <v>12.788519859314</v>
      </c>
      <c r="F31" s="41">
        <v>0</v>
      </c>
      <c r="G31" s="41">
        <v>0.173052027821541</v>
      </c>
      <c r="H31" s="41">
        <v>0</v>
      </c>
      <c r="I31" s="41">
        <f t="shared" si="0"/>
        <v>7700</v>
      </c>
      <c r="J31" s="41">
        <f t="shared" si="1"/>
        <v>-0.70895294026130562</v>
      </c>
      <c r="K31" s="41">
        <f t="shared" si="2"/>
        <v>-0.57322087674971511</v>
      </c>
      <c r="L31" s="42">
        <f t="shared" si="3"/>
        <v>156.30303815435423</v>
      </c>
    </row>
    <row r="32" spans="1:12">
      <c r="A32" s="40">
        <v>7800</v>
      </c>
      <c r="B32" s="41" t="s">
        <v>117</v>
      </c>
      <c r="C32" s="41"/>
      <c r="D32" s="41">
        <v>0</v>
      </c>
      <c r="E32" s="41">
        <v>12.626995086669901</v>
      </c>
      <c r="F32" s="41">
        <v>0</v>
      </c>
      <c r="G32" s="41">
        <v>0.14642383158206901</v>
      </c>
      <c r="H32" s="41">
        <v>0</v>
      </c>
      <c r="I32" s="41">
        <f t="shared" si="0"/>
        <v>7800</v>
      </c>
      <c r="J32" s="41">
        <f t="shared" si="1"/>
        <v>-0.81257790180185452</v>
      </c>
      <c r="K32" s="41">
        <f t="shared" si="2"/>
        <v>-0.67856019545906932</v>
      </c>
      <c r="L32" s="42">
        <f t="shared" si="3"/>
        <v>130.19570625684378</v>
      </c>
    </row>
    <row r="33" spans="1:12">
      <c r="A33" s="40">
        <v>7900</v>
      </c>
      <c r="B33" s="41" t="s">
        <v>118</v>
      </c>
      <c r="C33" s="41"/>
      <c r="D33" s="41">
        <v>0</v>
      </c>
      <c r="E33" s="41">
        <v>12.482587814331</v>
      </c>
      <c r="F33" s="41">
        <v>0</v>
      </c>
      <c r="G33" s="41">
        <v>0.12268827110529</v>
      </c>
      <c r="H33" s="41">
        <v>0</v>
      </c>
      <c r="I33" s="41">
        <f t="shared" si="0"/>
        <v>7900</v>
      </c>
      <c r="J33" s="41">
        <f t="shared" si="1"/>
        <v>-0.91659128084987407</v>
      </c>
      <c r="K33" s="41">
        <f t="shared" si="2"/>
        <v>-0.78410625360336161</v>
      </c>
      <c r="L33" s="42">
        <f t="shared" si="3"/>
        <v>107.70079025287441</v>
      </c>
    </row>
    <row r="34" spans="1:12">
      <c r="A34" s="40">
        <v>8000</v>
      </c>
      <c r="B34" s="41" t="s">
        <v>119</v>
      </c>
      <c r="C34" s="41"/>
      <c r="D34" s="41">
        <v>0</v>
      </c>
      <c r="E34" s="41">
        <v>12.356122016906699</v>
      </c>
      <c r="F34" s="41">
        <v>0</v>
      </c>
      <c r="G34" s="41">
        <v>0.101880192756653</v>
      </c>
      <c r="H34" s="41">
        <v>0</v>
      </c>
      <c r="I34" s="41">
        <f t="shared" si="0"/>
        <v>8000</v>
      </c>
      <c r="J34" s="41">
        <f t="shared" si="1"/>
        <v>-1.0205402363101181</v>
      </c>
      <c r="K34" s="41">
        <f t="shared" si="2"/>
        <v>-0.88939746476144055</v>
      </c>
      <c r="L34" s="42">
        <f t="shared" si="3"/>
        <v>88.543939357893578</v>
      </c>
    </row>
    <row r="35" spans="1:12" ht="15.75" thickBot="1">
      <c r="A35" s="44">
        <v>8100</v>
      </c>
      <c r="B35" s="45" t="s">
        <v>120</v>
      </c>
      <c r="C35" s="45"/>
      <c r="D35" s="45">
        <v>0</v>
      </c>
      <c r="E35" s="45">
        <v>12.1474266052246</v>
      </c>
      <c r="F35" s="45">
        <v>0</v>
      </c>
      <c r="G35" s="45">
        <v>8.2073755562305506E-2</v>
      </c>
      <c r="H35" s="45">
        <v>0</v>
      </c>
      <c r="I35" s="45">
        <f t="shared" si="0"/>
        <v>8100</v>
      </c>
      <c r="J35" s="45">
        <f t="shared" si="1"/>
        <v>-1.1321918624721774</v>
      </c>
      <c r="K35" s="45">
        <f t="shared" si="2"/>
        <v>-1.0032640977565526</v>
      </c>
      <c r="L35" s="46">
        <f t="shared" si="3"/>
        <v>70.599020466102274</v>
      </c>
    </row>
  </sheetData>
  <mergeCells count="1">
    <mergeCell ref="A2:H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1"/>
  <sheetViews>
    <sheetView workbookViewId="0"/>
  </sheetViews>
  <sheetFormatPr defaultRowHeight="15"/>
  <cols>
    <col min="10" max="10" width="19" bestFit="1" customWidth="1"/>
  </cols>
  <sheetData>
    <row r="1" spans="1:11" ht="18.75">
      <c r="A1" s="25">
        <v>100</v>
      </c>
      <c r="B1" s="22" t="s">
        <v>5</v>
      </c>
      <c r="C1" s="22" t="s">
        <v>6</v>
      </c>
      <c r="D1" s="22" t="s">
        <v>42</v>
      </c>
      <c r="E1" s="22" t="s">
        <v>7</v>
      </c>
      <c r="F1" s="22" t="s">
        <v>8</v>
      </c>
      <c r="G1" s="23" t="s">
        <v>49</v>
      </c>
      <c r="H1" s="22" t="s">
        <v>50</v>
      </c>
      <c r="I1" s="24" t="s">
        <v>51</v>
      </c>
      <c r="J1" s="28" t="s">
        <v>52</v>
      </c>
      <c r="K1">
        <v>40</v>
      </c>
    </row>
    <row r="2" spans="1:11">
      <c r="A2" s="26">
        <v>1</v>
      </c>
      <c r="B2" s="18"/>
      <c r="C2" s="18"/>
      <c r="D2" s="18"/>
      <c r="E2" s="18"/>
      <c r="F2" s="18"/>
      <c r="G2" s="18"/>
      <c r="H2" s="18"/>
      <c r="I2" s="19"/>
    </row>
    <row r="3" spans="1:11">
      <c r="A3" s="26">
        <f>A2+1</f>
        <v>2</v>
      </c>
      <c r="B3" s="18"/>
      <c r="C3" s="18"/>
      <c r="D3" s="18"/>
      <c r="E3" s="18"/>
      <c r="F3" s="18"/>
      <c r="G3" s="18"/>
      <c r="H3" s="18"/>
      <c r="I3" s="19"/>
    </row>
    <row r="4" spans="1:11">
      <c r="A4" s="26">
        <f t="shared" ref="A4:A67" si="0">A3+1</f>
        <v>3</v>
      </c>
      <c r="B4" s="18"/>
      <c r="C4" s="18"/>
      <c r="D4" s="18"/>
      <c r="E4" s="18"/>
      <c r="F4" s="18"/>
      <c r="G4" s="18"/>
      <c r="H4" s="18"/>
      <c r="I4" s="19"/>
    </row>
    <row r="5" spans="1:11">
      <c r="A5" s="26">
        <f t="shared" si="0"/>
        <v>4</v>
      </c>
      <c r="B5" s="18"/>
      <c r="C5" s="18"/>
      <c r="D5" s="18"/>
      <c r="E5" s="18"/>
      <c r="F5" s="18"/>
      <c r="G5" s="18"/>
      <c r="H5" s="18"/>
      <c r="I5" s="19"/>
    </row>
    <row r="6" spans="1:11">
      <c r="A6" s="26">
        <f t="shared" si="0"/>
        <v>5</v>
      </c>
      <c r="B6" s="18"/>
      <c r="C6" s="18"/>
      <c r="D6" s="18"/>
      <c r="E6" s="18"/>
      <c r="F6" s="18"/>
      <c r="G6" s="18"/>
      <c r="H6" s="18"/>
      <c r="I6" s="19"/>
    </row>
    <row r="7" spans="1:11">
      <c r="A7" s="26">
        <f t="shared" si="0"/>
        <v>6</v>
      </c>
      <c r="B7" s="18"/>
      <c r="C7" s="18"/>
      <c r="D7" s="18"/>
      <c r="E7" s="18"/>
      <c r="F7" s="18"/>
      <c r="G7" s="18"/>
      <c r="H7" s="18"/>
      <c r="I7" s="19"/>
    </row>
    <row r="8" spans="1:11">
      <c r="A8" s="26">
        <f t="shared" si="0"/>
        <v>7</v>
      </c>
      <c r="B8" s="18"/>
      <c r="C8" s="18"/>
      <c r="D8" s="18"/>
      <c r="E8" s="18"/>
      <c r="F8" s="18"/>
      <c r="G8" s="18"/>
      <c r="H8" s="18"/>
      <c r="I8" s="19"/>
    </row>
    <row r="9" spans="1:11">
      <c r="A9" s="26">
        <f t="shared" si="0"/>
        <v>8</v>
      </c>
      <c r="B9" s="18"/>
      <c r="C9" s="18"/>
      <c r="D9" s="18"/>
      <c r="E9" s="18"/>
      <c r="F9" s="18"/>
      <c r="G9" s="18"/>
      <c r="H9" s="18"/>
      <c r="I9" s="19"/>
    </row>
    <row r="10" spans="1:11">
      <c r="A10" s="26">
        <f t="shared" si="0"/>
        <v>9</v>
      </c>
      <c r="B10" s="18"/>
      <c r="C10" s="18"/>
      <c r="D10" s="18"/>
      <c r="E10" s="18"/>
      <c r="F10" s="18"/>
      <c r="G10" s="18"/>
      <c r="H10" s="18"/>
      <c r="I10" s="19"/>
    </row>
    <row r="11" spans="1:11">
      <c r="A11" s="26">
        <f t="shared" si="0"/>
        <v>10</v>
      </c>
      <c r="B11" s="18"/>
      <c r="C11" s="18"/>
      <c r="D11" s="18"/>
      <c r="E11" s="18"/>
      <c r="F11" s="18"/>
      <c r="G11" s="18"/>
      <c r="H11" s="18"/>
      <c r="I11" s="19"/>
    </row>
    <row r="12" spans="1:11">
      <c r="A12" s="26">
        <f t="shared" si="0"/>
        <v>11</v>
      </c>
      <c r="B12" s="18"/>
      <c r="C12" s="18"/>
      <c r="D12" s="18"/>
      <c r="E12" s="18"/>
      <c r="F12" s="18"/>
      <c r="G12" s="18"/>
      <c r="H12" s="18"/>
      <c r="I12" s="19"/>
    </row>
    <row r="13" spans="1:11">
      <c r="A13" s="26">
        <f t="shared" si="0"/>
        <v>12</v>
      </c>
      <c r="B13" s="18"/>
      <c r="C13" s="18"/>
      <c r="D13" s="18"/>
      <c r="E13" s="18"/>
      <c r="F13" s="18"/>
      <c r="G13" s="18"/>
      <c r="H13" s="18"/>
      <c r="I13" s="19"/>
    </row>
    <row r="14" spans="1:11">
      <c r="A14" s="26">
        <f t="shared" si="0"/>
        <v>13</v>
      </c>
      <c r="B14" s="18"/>
      <c r="C14" s="18"/>
      <c r="D14" s="18"/>
      <c r="E14" s="18"/>
      <c r="F14" s="18"/>
      <c r="G14" s="18"/>
      <c r="H14" s="18"/>
      <c r="I14" s="19"/>
    </row>
    <row r="15" spans="1:11">
      <c r="A15" s="26">
        <f t="shared" si="0"/>
        <v>14</v>
      </c>
      <c r="B15" s="18"/>
      <c r="C15" s="18"/>
      <c r="D15" s="18"/>
      <c r="E15" s="18"/>
      <c r="F15" s="18"/>
      <c r="G15" s="18"/>
      <c r="H15" s="18"/>
      <c r="I15" s="19"/>
    </row>
    <row r="16" spans="1:11">
      <c r="A16" s="26">
        <f t="shared" si="0"/>
        <v>15</v>
      </c>
      <c r="B16" s="18"/>
      <c r="C16" s="18"/>
      <c r="D16" s="18"/>
      <c r="E16" s="18"/>
      <c r="F16" s="18"/>
      <c r="G16" s="18"/>
      <c r="H16" s="18"/>
      <c r="I16" s="19"/>
    </row>
    <row r="17" spans="1:9">
      <c r="A17" s="26">
        <f t="shared" si="0"/>
        <v>16</v>
      </c>
      <c r="B17" s="18"/>
      <c r="C17" s="18"/>
      <c r="D17" s="18"/>
      <c r="E17" s="18"/>
      <c r="F17" s="18"/>
      <c r="G17" s="18"/>
      <c r="H17" s="18"/>
      <c r="I17" s="19"/>
    </row>
    <row r="18" spans="1:9">
      <c r="A18" s="26">
        <f t="shared" si="0"/>
        <v>17</v>
      </c>
      <c r="B18" s="18"/>
      <c r="C18" s="18"/>
      <c r="D18" s="18"/>
      <c r="E18" s="18"/>
      <c r="F18" s="18"/>
      <c r="G18" s="18"/>
      <c r="H18" s="18"/>
      <c r="I18" s="19"/>
    </row>
    <row r="19" spans="1:9">
      <c r="A19" s="26">
        <f t="shared" si="0"/>
        <v>18</v>
      </c>
      <c r="B19" s="18"/>
      <c r="C19" s="18"/>
      <c r="D19" s="18"/>
      <c r="E19" s="18"/>
      <c r="F19" s="18"/>
      <c r="G19" s="18"/>
      <c r="H19" s="18"/>
      <c r="I19" s="19"/>
    </row>
    <row r="20" spans="1:9">
      <c r="A20" s="26">
        <f t="shared" si="0"/>
        <v>19</v>
      </c>
      <c r="B20" s="18"/>
      <c r="C20" s="18"/>
      <c r="D20" s="18"/>
      <c r="E20" s="18"/>
      <c r="F20" s="18"/>
      <c r="G20" s="18"/>
      <c r="H20" s="18"/>
      <c r="I20" s="19"/>
    </row>
    <row r="21" spans="1:9">
      <c r="A21" s="26">
        <f t="shared" si="0"/>
        <v>20</v>
      </c>
      <c r="B21" s="18"/>
      <c r="C21" s="18"/>
      <c r="D21" s="18"/>
      <c r="E21" s="18"/>
      <c r="F21" s="18"/>
      <c r="G21" s="18"/>
      <c r="H21" s="18"/>
      <c r="I21" s="19"/>
    </row>
    <row r="22" spans="1:9">
      <c r="A22" s="26">
        <f t="shared" si="0"/>
        <v>21</v>
      </c>
      <c r="B22" s="18"/>
      <c r="C22" s="18"/>
      <c r="D22" s="18"/>
      <c r="E22" s="18"/>
      <c r="F22" s="18"/>
      <c r="G22" s="18"/>
      <c r="H22" s="18"/>
      <c r="I22" s="19"/>
    </row>
    <row r="23" spans="1:9">
      <c r="A23" s="26">
        <f t="shared" si="0"/>
        <v>22</v>
      </c>
      <c r="B23" s="18"/>
      <c r="C23" s="18"/>
      <c r="D23" s="18"/>
      <c r="E23" s="18"/>
      <c r="F23" s="18"/>
      <c r="G23" s="18"/>
      <c r="H23" s="18"/>
      <c r="I23" s="19"/>
    </row>
    <row r="24" spans="1:9">
      <c r="A24" s="26">
        <f t="shared" si="0"/>
        <v>23</v>
      </c>
      <c r="B24" s="18"/>
      <c r="C24" s="18"/>
      <c r="D24" s="18"/>
      <c r="E24" s="18"/>
      <c r="F24" s="18"/>
      <c r="G24" s="18"/>
      <c r="H24" s="18"/>
      <c r="I24" s="19"/>
    </row>
    <row r="25" spans="1:9">
      <c r="A25" s="26">
        <f t="shared" si="0"/>
        <v>24</v>
      </c>
      <c r="B25" s="18"/>
      <c r="C25" s="18"/>
      <c r="D25" s="18"/>
      <c r="E25" s="18"/>
      <c r="F25" s="18"/>
      <c r="G25" s="18"/>
      <c r="H25" s="18"/>
      <c r="I25" s="19"/>
    </row>
    <row r="26" spans="1:9">
      <c r="A26" s="26">
        <f t="shared" si="0"/>
        <v>25</v>
      </c>
      <c r="B26" s="18"/>
      <c r="C26" s="18"/>
      <c r="D26" s="18"/>
      <c r="E26" s="18"/>
      <c r="F26" s="18"/>
      <c r="G26" s="18"/>
      <c r="H26" s="18"/>
      <c r="I26" s="19"/>
    </row>
    <row r="27" spans="1:9">
      <c r="A27" s="26">
        <f t="shared" si="0"/>
        <v>26</v>
      </c>
      <c r="B27" s="18"/>
      <c r="C27" s="18"/>
      <c r="D27" s="18"/>
      <c r="E27" s="18"/>
      <c r="F27" s="18"/>
      <c r="G27" s="18"/>
      <c r="H27" s="18"/>
      <c r="I27" s="19"/>
    </row>
    <row r="28" spans="1:9">
      <c r="A28" s="26">
        <f t="shared" si="0"/>
        <v>27</v>
      </c>
      <c r="B28" s="18"/>
      <c r="C28" s="18"/>
      <c r="D28" s="18"/>
      <c r="E28" s="18"/>
      <c r="F28" s="18"/>
      <c r="G28" s="18"/>
      <c r="H28" s="18"/>
      <c r="I28" s="19"/>
    </row>
    <row r="29" spans="1:9">
      <c r="A29" s="26">
        <f t="shared" si="0"/>
        <v>28</v>
      </c>
      <c r="B29" s="18"/>
      <c r="C29" s="18"/>
      <c r="D29" s="18"/>
      <c r="E29" s="18"/>
      <c r="F29" s="18"/>
      <c r="G29" s="18"/>
      <c r="H29" s="18"/>
      <c r="I29" s="19"/>
    </row>
    <row r="30" spans="1:9">
      <c r="A30" s="26">
        <f t="shared" si="0"/>
        <v>29</v>
      </c>
      <c r="B30" s="18"/>
      <c r="C30" s="18"/>
      <c r="D30" s="18"/>
      <c r="E30" s="18"/>
      <c r="F30" s="18"/>
      <c r="G30" s="18"/>
      <c r="H30" s="18"/>
      <c r="I30" s="19"/>
    </row>
    <row r="31" spans="1:9">
      <c r="A31" s="26">
        <f t="shared" si="0"/>
        <v>30</v>
      </c>
      <c r="B31" s="18"/>
      <c r="C31" s="18"/>
      <c r="D31" s="18"/>
      <c r="E31" s="18"/>
      <c r="F31" s="18"/>
      <c r="G31" s="18"/>
      <c r="H31" s="18"/>
      <c r="I31" s="19"/>
    </row>
    <row r="32" spans="1:9">
      <c r="A32" s="26">
        <f t="shared" si="0"/>
        <v>31</v>
      </c>
      <c r="B32" s="18"/>
      <c r="C32" s="18"/>
      <c r="D32" s="18"/>
      <c r="E32" s="18"/>
      <c r="F32" s="18"/>
      <c r="G32" s="18"/>
      <c r="H32" s="18"/>
      <c r="I32" s="19"/>
    </row>
    <row r="33" spans="1:9">
      <c r="A33" s="26">
        <f t="shared" si="0"/>
        <v>32</v>
      </c>
      <c r="B33" s="18"/>
      <c r="C33" s="18"/>
      <c r="D33" s="18"/>
      <c r="E33" s="18"/>
      <c r="F33" s="18"/>
      <c r="G33" s="18"/>
      <c r="H33" s="18"/>
      <c r="I33" s="19"/>
    </row>
    <row r="34" spans="1:9">
      <c r="A34" s="26">
        <f t="shared" si="0"/>
        <v>33</v>
      </c>
      <c r="B34" s="18"/>
      <c r="C34" s="18"/>
      <c r="D34" s="18"/>
      <c r="E34" s="18"/>
      <c r="F34" s="18"/>
      <c r="G34" s="18"/>
      <c r="H34" s="18"/>
      <c r="I34" s="19"/>
    </row>
    <row r="35" spans="1:9">
      <c r="A35" s="26">
        <f t="shared" si="0"/>
        <v>34</v>
      </c>
      <c r="B35" s="18"/>
      <c r="C35" s="18"/>
      <c r="D35" s="18"/>
      <c r="E35" s="18"/>
      <c r="F35" s="18"/>
      <c r="G35" s="18"/>
      <c r="H35" s="18"/>
      <c r="I35" s="19"/>
    </row>
    <row r="36" spans="1:9">
      <c r="A36" s="26">
        <f t="shared" si="0"/>
        <v>35</v>
      </c>
      <c r="B36" s="18"/>
      <c r="C36" s="18"/>
      <c r="D36" s="18"/>
      <c r="E36" s="18"/>
      <c r="F36" s="18"/>
      <c r="G36" s="18"/>
      <c r="H36" s="18"/>
      <c r="I36" s="19"/>
    </row>
    <row r="37" spans="1:9">
      <c r="A37" s="26">
        <f t="shared" si="0"/>
        <v>36</v>
      </c>
      <c r="B37" s="18"/>
      <c r="C37" s="18"/>
      <c r="D37" s="18"/>
      <c r="E37" s="18"/>
      <c r="F37" s="18"/>
      <c r="G37" s="18"/>
      <c r="H37" s="18"/>
      <c r="I37" s="19"/>
    </row>
    <row r="38" spans="1:9">
      <c r="A38" s="26">
        <f t="shared" si="0"/>
        <v>37</v>
      </c>
      <c r="B38" s="18"/>
      <c r="C38" s="18"/>
      <c r="D38" s="18"/>
      <c r="E38" s="18"/>
      <c r="F38" s="18"/>
      <c r="G38" s="18"/>
      <c r="H38" s="18"/>
      <c r="I38" s="19"/>
    </row>
    <row r="39" spans="1:9">
      <c r="A39" s="26">
        <f t="shared" si="0"/>
        <v>38</v>
      </c>
      <c r="B39" s="18"/>
      <c r="C39" s="18"/>
      <c r="D39" s="18"/>
      <c r="E39" s="18"/>
      <c r="F39" s="18"/>
      <c r="G39" s="18"/>
      <c r="H39" s="18"/>
      <c r="I39" s="19"/>
    </row>
    <row r="40" spans="1:9">
      <c r="A40" s="26">
        <f t="shared" si="0"/>
        <v>39</v>
      </c>
      <c r="B40" s="18"/>
      <c r="C40" s="18"/>
      <c r="D40" s="18"/>
      <c r="E40" s="18"/>
      <c r="F40" s="18"/>
      <c r="G40" s="18"/>
      <c r="H40" s="18"/>
      <c r="I40" s="19"/>
    </row>
    <row r="41" spans="1:9">
      <c r="A41" s="26">
        <f t="shared" si="0"/>
        <v>40</v>
      </c>
      <c r="B41" s="18"/>
      <c r="C41" s="18"/>
      <c r="D41" s="18"/>
      <c r="E41" s="18"/>
      <c r="F41" s="18"/>
      <c r="G41" s="18"/>
      <c r="H41" s="18"/>
      <c r="I41" s="19"/>
    </row>
    <row r="42" spans="1:9">
      <c r="A42" s="26">
        <f t="shared" si="0"/>
        <v>41</v>
      </c>
      <c r="B42" s="18"/>
      <c r="C42" s="18"/>
      <c r="D42" s="18"/>
      <c r="E42" s="18"/>
      <c r="F42" s="18"/>
      <c r="G42" s="18"/>
      <c r="H42" s="18"/>
      <c r="I42" s="19"/>
    </row>
    <row r="43" spans="1:9">
      <c r="A43" s="26">
        <f t="shared" si="0"/>
        <v>42</v>
      </c>
      <c r="B43" s="18"/>
      <c r="C43" s="18"/>
      <c r="D43" s="18"/>
      <c r="E43" s="18"/>
      <c r="F43" s="18"/>
      <c r="G43" s="18"/>
      <c r="H43" s="18"/>
      <c r="I43" s="19"/>
    </row>
    <row r="44" spans="1:9">
      <c r="A44" s="26">
        <f t="shared" si="0"/>
        <v>43</v>
      </c>
      <c r="B44" s="18"/>
      <c r="C44" s="18"/>
      <c r="D44" s="18"/>
      <c r="E44" s="18"/>
      <c r="F44" s="18"/>
      <c r="G44" s="18"/>
      <c r="H44" s="18"/>
      <c r="I44" s="19"/>
    </row>
    <row r="45" spans="1:9">
      <c r="A45" s="26">
        <f t="shared" si="0"/>
        <v>44</v>
      </c>
      <c r="B45" s="18"/>
      <c r="C45" s="18"/>
      <c r="D45" s="18"/>
      <c r="E45" s="18"/>
      <c r="F45" s="18"/>
      <c r="G45" s="18"/>
      <c r="H45" s="18"/>
      <c r="I45" s="19"/>
    </row>
    <row r="46" spans="1:9">
      <c r="A46" s="26">
        <f t="shared" si="0"/>
        <v>45</v>
      </c>
      <c r="B46" s="18"/>
      <c r="C46" s="18"/>
      <c r="D46" s="18"/>
      <c r="E46" s="18"/>
      <c r="F46" s="18"/>
      <c r="G46" s="18"/>
      <c r="H46" s="18"/>
      <c r="I46" s="19"/>
    </row>
    <row r="47" spans="1:9">
      <c r="A47" s="26">
        <f t="shared" si="0"/>
        <v>46</v>
      </c>
      <c r="B47" s="18"/>
      <c r="C47" s="18"/>
      <c r="D47" s="18"/>
      <c r="E47" s="18"/>
      <c r="F47" s="18"/>
      <c r="G47" s="18"/>
      <c r="H47" s="18"/>
      <c r="I47" s="19"/>
    </row>
    <row r="48" spans="1:9">
      <c r="A48" s="26">
        <f t="shared" si="0"/>
        <v>47</v>
      </c>
      <c r="B48" s="18"/>
      <c r="C48" s="18"/>
      <c r="D48" s="18"/>
      <c r="E48" s="18"/>
      <c r="F48" s="18"/>
      <c r="G48" s="18"/>
      <c r="H48" s="18"/>
      <c r="I48" s="19"/>
    </row>
    <row r="49" spans="1:9">
      <c r="A49" s="26">
        <f t="shared" si="0"/>
        <v>48</v>
      </c>
      <c r="B49" s="18"/>
      <c r="C49" s="18"/>
      <c r="D49" s="18"/>
      <c r="E49" s="18"/>
      <c r="F49" s="18"/>
      <c r="G49" s="18"/>
      <c r="H49" s="18"/>
      <c r="I49" s="19"/>
    </row>
    <row r="50" spans="1:9">
      <c r="A50" s="26">
        <f t="shared" si="0"/>
        <v>49</v>
      </c>
      <c r="B50" s="18"/>
      <c r="C50" s="18"/>
      <c r="D50" s="18"/>
      <c r="E50" s="18"/>
      <c r="F50" s="18"/>
      <c r="G50" s="18"/>
      <c r="H50" s="18"/>
      <c r="I50" s="19"/>
    </row>
    <row r="51" spans="1:9">
      <c r="A51" s="26">
        <f t="shared" si="0"/>
        <v>50</v>
      </c>
      <c r="B51" s="18"/>
      <c r="C51" s="18"/>
      <c r="D51" s="18"/>
      <c r="E51" s="18"/>
      <c r="F51" s="18"/>
      <c r="G51" s="18"/>
      <c r="H51" s="18"/>
      <c r="I51" s="19"/>
    </row>
    <row r="52" spans="1:9">
      <c r="A52" s="26">
        <f t="shared" si="0"/>
        <v>51</v>
      </c>
      <c r="B52" s="18"/>
      <c r="C52" s="18"/>
      <c r="D52" s="18"/>
      <c r="E52" s="18"/>
      <c r="F52" s="18"/>
      <c r="G52" s="18"/>
      <c r="H52" s="18"/>
      <c r="I52" s="19"/>
    </row>
    <row r="53" spans="1:9">
      <c r="A53" s="26">
        <f t="shared" si="0"/>
        <v>52</v>
      </c>
      <c r="B53" s="18"/>
      <c r="C53" s="18"/>
      <c r="D53" s="18"/>
      <c r="E53" s="18"/>
      <c r="F53" s="18"/>
      <c r="G53" s="18"/>
      <c r="H53" s="18"/>
      <c r="I53" s="19"/>
    </row>
    <row r="54" spans="1:9">
      <c r="A54" s="26">
        <f t="shared" si="0"/>
        <v>53</v>
      </c>
      <c r="B54" s="18"/>
      <c r="C54" s="18"/>
      <c r="D54" s="18"/>
      <c r="E54" s="18"/>
      <c r="F54" s="18"/>
      <c r="G54" s="18"/>
      <c r="H54" s="18"/>
      <c r="I54" s="19"/>
    </row>
    <row r="55" spans="1:9">
      <c r="A55" s="26">
        <f t="shared" si="0"/>
        <v>54</v>
      </c>
      <c r="B55" s="18"/>
      <c r="C55" s="18"/>
      <c r="D55" s="18"/>
      <c r="E55" s="18"/>
      <c r="F55" s="18"/>
      <c r="G55" s="18"/>
      <c r="H55" s="18"/>
      <c r="I55" s="19"/>
    </row>
    <row r="56" spans="1:9">
      <c r="A56" s="26">
        <f t="shared" si="0"/>
        <v>55</v>
      </c>
      <c r="B56" s="18"/>
      <c r="C56" s="18"/>
      <c r="D56" s="18"/>
      <c r="E56" s="18"/>
      <c r="F56" s="18"/>
      <c r="G56" s="18"/>
      <c r="H56" s="18"/>
      <c r="I56" s="19"/>
    </row>
    <row r="57" spans="1:9">
      <c r="A57" s="26">
        <f t="shared" si="0"/>
        <v>56</v>
      </c>
      <c r="B57" s="18"/>
      <c r="C57" s="18"/>
      <c r="D57" s="18"/>
      <c r="E57" s="18"/>
      <c r="F57" s="18"/>
      <c r="G57" s="18"/>
      <c r="H57" s="18"/>
      <c r="I57" s="19"/>
    </row>
    <row r="58" spans="1:9">
      <c r="A58" s="26">
        <f t="shared" si="0"/>
        <v>57</v>
      </c>
      <c r="B58" s="18"/>
      <c r="C58" s="18"/>
      <c r="D58" s="18"/>
      <c r="E58" s="18"/>
      <c r="F58" s="18"/>
      <c r="G58" s="18"/>
      <c r="H58" s="18"/>
      <c r="I58" s="19"/>
    </row>
    <row r="59" spans="1:9">
      <c r="A59" s="26">
        <f t="shared" si="0"/>
        <v>58</v>
      </c>
      <c r="B59" s="18"/>
      <c r="C59" s="18"/>
      <c r="D59" s="18"/>
      <c r="E59" s="18"/>
      <c r="F59" s="18"/>
      <c r="G59" s="18"/>
      <c r="H59" s="18"/>
      <c r="I59" s="19"/>
    </row>
    <row r="60" spans="1:9">
      <c r="A60" s="26">
        <f t="shared" si="0"/>
        <v>59</v>
      </c>
      <c r="B60" s="18"/>
      <c r="C60" s="18"/>
      <c r="D60" s="18"/>
      <c r="E60" s="18"/>
      <c r="F60" s="18"/>
      <c r="G60" s="18"/>
      <c r="H60" s="18"/>
      <c r="I60" s="19"/>
    </row>
    <row r="61" spans="1:9">
      <c r="A61" s="26">
        <f t="shared" si="0"/>
        <v>60</v>
      </c>
      <c r="B61" s="18"/>
      <c r="C61" s="18"/>
      <c r="D61" s="18"/>
      <c r="E61" s="18"/>
      <c r="F61" s="18"/>
      <c r="G61" s="18"/>
      <c r="H61" s="18"/>
      <c r="I61" s="19"/>
    </row>
    <row r="62" spans="1:9">
      <c r="A62" s="26">
        <f t="shared" si="0"/>
        <v>61</v>
      </c>
      <c r="B62" s="18"/>
      <c r="C62" s="18"/>
      <c r="D62" s="18"/>
      <c r="E62" s="18"/>
      <c r="F62" s="18"/>
      <c r="G62" s="18"/>
      <c r="H62" s="18"/>
      <c r="I62" s="19"/>
    </row>
    <row r="63" spans="1:9">
      <c r="A63" s="26">
        <f t="shared" si="0"/>
        <v>62</v>
      </c>
      <c r="B63" s="18"/>
      <c r="C63" s="18"/>
      <c r="D63" s="18"/>
      <c r="E63" s="18"/>
      <c r="F63" s="18"/>
      <c r="G63" s="18"/>
      <c r="H63" s="18"/>
      <c r="I63" s="19"/>
    </row>
    <row r="64" spans="1:9">
      <c r="A64" s="26">
        <f t="shared" si="0"/>
        <v>63</v>
      </c>
      <c r="B64" s="18"/>
      <c r="C64" s="18"/>
      <c r="D64" s="18"/>
      <c r="E64" s="18"/>
      <c r="F64" s="18"/>
      <c r="G64" s="18"/>
      <c r="H64" s="18"/>
      <c r="I64" s="19"/>
    </row>
    <row r="65" spans="1:9">
      <c r="A65" s="26">
        <f t="shared" si="0"/>
        <v>64</v>
      </c>
      <c r="B65" s="18"/>
      <c r="C65" s="18"/>
      <c r="D65" s="18"/>
      <c r="E65" s="18"/>
      <c r="F65" s="18"/>
      <c r="G65" s="18"/>
      <c r="H65" s="18"/>
      <c r="I65" s="19"/>
    </row>
    <row r="66" spans="1:9">
      <c r="A66" s="26">
        <f t="shared" si="0"/>
        <v>65</v>
      </c>
      <c r="B66" s="18"/>
      <c r="C66" s="18"/>
      <c r="D66" s="18"/>
      <c r="E66" s="18"/>
      <c r="F66" s="18"/>
      <c r="G66" s="18"/>
      <c r="H66" s="18"/>
      <c r="I66" s="19"/>
    </row>
    <row r="67" spans="1:9">
      <c r="A67" s="26">
        <f t="shared" si="0"/>
        <v>66</v>
      </c>
      <c r="B67" s="18"/>
      <c r="C67" s="18"/>
      <c r="D67" s="18"/>
      <c r="E67" s="18"/>
      <c r="F67" s="18"/>
      <c r="G67" s="18"/>
      <c r="H67" s="18"/>
      <c r="I67" s="19"/>
    </row>
    <row r="68" spans="1:9">
      <c r="A68" s="26">
        <f t="shared" ref="A68:A101" si="1">A67+1</f>
        <v>67</v>
      </c>
      <c r="B68" s="18"/>
      <c r="C68" s="18"/>
      <c r="D68" s="18"/>
      <c r="E68" s="18"/>
      <c r="F68" s="18"/>
      <c r="G68" s="18"/>
      <c r="H68" s="18"/>
      <c r="I68" s="19"/>
    </row>
    <row r="69" spans="1:9">
      <c r="A69" s="26">
        <f t="shared" si="1"/>
        <v>68</v>
      </c>
      <c r="B69" s="18"/>
      <c r="C69" s="18"/>
      <c r="D69" s="18"/>
      <c r="E69" s="18"/>
      <c r="F69" s="18"/>
      <c r="G69" s="18"/>
      <c r="H69" s="18"/>
      <c r="I69" s="19"/>
    </row>
    <row r="70" spans="1:9">
      <c r="A70" s="26">
        <f t="shared" si="1"/>
        <v>69</v>
      </c>
      <c r="B70" s="18"/>
      <c r="C70" s="18"/>
      <c r="D70" s="18"/>
      <c r="E70" s="18"/>
      <c r="F70" s="18"/>
      <c r="G70" s="18"/>
      <c r="H70" s="18"/>
      <c r="I70" s="19"/>
    </row>
    <row r="71" spans="1:9">
      <c r="A71" s="26">
        <f t="shared" si="1"/>
        <v>70</v>
      </c>
      <c r="B71" s="18"/>
      <c r="C71" s="18"/>
      <c r="D71" s="18"/>
      <c r="E71" s="18"/>
      <c r="F71" s="18"/>
      <c r="G71" s="18"/>
      <c r="H71" s="18"/>
      <c r="I71" s="19"/>
    </row>
    <row r="72" spans="1:9">
      <c r="A72" s="26">
        <f t="shared" si="1"/>
        <v>71</v>
      </c>
      <c r="B72" s="18"/>
      <c r="C72" s="18"/>
      <c r="D72" s="18"/>
      <c r="E72" s="18"/>
      <c r="F72" s="18"/>
      <c r="G72" s="18"/>
      <c r="H72" s="18"/>
      <c r="I72" s="19"/>
    </row>
    <row r="73" spans="1:9">
      <c r="A73" s="26">
        <f t="shared" si="1"/>
        <v>72</v>
      </c>
      <c r="B73" s="18"/>
      <c r="C73" s="18"/>
      <c r="D73" s="18"/>
      <c r="E73" s="18"/>
      <c r="F73" s="18"/>
      <c r="G73" s="18"/>
      <c r="H73" s="18"/>
      <c r="I73" s="19"/>
    </row>
    <row r="74" spans="1:9">
      <c r="A74" s="26">
        <f t="shared" si="1"/>
        <v>73</v>
      </c>
      <c r="B74" s="18"/>
      <c r="C74" s="18"/>
      <c r="D74" s="18"/>
      <c r="E74" s="18"/>
      <c r="F74" s="18"/>
      <c r="G74" s="18"/>
      <c r="H74" s="18"/>
      <c r="I74" s="19"/>
    </row>
    <row r="75" spans="1:9">
      <c r="A75" s="26">
        <f t="shared" si="1"/>
        <v>74</v>
      </c>
      <c r="B75" s="18"/>
      <c r="C75" s="18"/>
      <c r="D75" s="18"/>
      <c r="E75" s="18"/>
      <c r="F75" s="18"/>
      <c r="G75" s="18"/>
      <c r="H75" s="18"/>
      <c r="I75" s="19"/>
    </row>
    <row r="76" spans="1:9">
      <c r="A76" s="26">
        <f t="shared" si="1"/>
        <v>75</v>
      </c>
      <c r="B76" s="18"/>
      <c r="C76" s="18"/>
      <c r="D76" s="18"/>
      <c r="E76" s="18"/>
      <c r="F76" s="18"/>
      <c r="G76" s="18"/>
      <c r="H76" s="18"/>
      <c r="I76" s="19"/>
    </row>
    <row r="77" spans="1:9">
      <c r="A77" s="26">
        <f t="shared" si="1"/>
        <v>76</v>
      </c>
      <c r="B77" s="18"/>
      <c r="C77" s="18"/>
      <c r="D77" s="18"/>
      <c r="E77" s="18"/>
      <c r="F77" s="18"/>
      <c r="G77" s="18"/>
      <c r="H77" s="18"/>
      <c r="I77" s="19"/>
    </row>
    <row r="78" spans="1:9">
      <c r="A78" s="26">
        <f t="shared" si="1"/>
        <v>77</v>
      </c>
      <c r="B78" s="18"/>
      <c r="C78" s="18"/>
      <c r="D78" s="18"/>
      <c r="E78" s="18"/>
      <c r="F78" s="18"/>
      <c r="G78" s="18"/>
      <c r="H78" s="18"/>
      <c r="I78" s="19"/>
    </row>
    <row r="79" spans="1:9">
      <c r="A79" s="26">
        <f t="shared" si="1"/>
        <v>78</v>
      </c>
      <c r="B79" s="18"/>
      <c r="C79" s="18"/>
      <c r="D79" s="18"/>
      <c r="E79" s="18"/>
      <c r="F79" s="18"/>
      <c r="G79" s="18"/>
      <c r="H79" s="18"/>
      <c r="I79" s="19"/>
    </row>
    <row r="80" spans="1:9">
      <c r="A80" s="26">
        <f t="shared" si="1"/>
        <v>79</v>
      </c>
      <c r="B80" s="18"/>
      <c r="C80" s="18"/>
      <c r="D80" s="18"/>
      <c r="E80" s="18"/>
      <c r="F80" s="18"/>
      <c r="G80" s="18"/>
      <c r="H80" s="18"/>
      <c r="I80" s="19"/>
    </row>
    <row r="81" spans="1:9">
      <c r="A81" s="26">
        <f t="shared" si="1"/>
        <v>80</v>
      </c>
      <c r="B81" s="18"/>
      <c r="C81" s="18"/>
      <c r="D81" s="18"/>
      <c r="E81" s="18"/>
      <c r="F81" s="18"/>
      <c r="G81" s="18"/>
      <c r="H81" s="18"/>
      <c r="I81" s="19"/>
    </row>
    <row r="82" spans="1:9">
      <c r="A82" s="26">
        <f t="shared" si="1"/>
        <v>81</v>
      </c>
      <c r="B82" s="18"/>
      <c r="C82" s="18"/>
      <c r="D82" s="18"/>
      <c r="E82" s="18"/>
      <c r="F82" s="18"/>
      <c r="G82" s="18"/>
      <c r="H82" s="18"/>
      <c r="I82" s="19"/>
    </row>
    <row r="83" spans="1:9">
      <c r="A83" s="26">
        <f t="shared" si="1"/>
        <v>82</v>
      </c>
      <c r="B83" s="18"/>
      <c r="C83" s="18"/>
      <c r="D83" s="18"/>
      <c r="E83" s="18"/>
      <c r="F83" s="18"/>
      <c r="G83" s="18"/>
      <c r="H83" s="18"/>
      <c r="I83" s="19"/>
    </row>
    <row r="84" spans="1:9">
      <c r="A84" s="26">
        <f t="shared" si="1"/>
        <v>83</v>
      </c>
      <c r="B84" s="18"/>
      <c r="C84" s="18"/>
      <c r="D84" s="18"/>
      <c r="E84" s="18"/>
      <c r="F84" s="18"/>
      <c r="G84" s="18"/>
      <c r="H84" s="18"/>
      <c r="I84" s="19"/>
    </row>
    <row r="85" spans="1:9">
      <c r="A85" s="26">
        <f t="shared" si="1"/>
        <v>84</v>
      </c>
      <c r="B85" s="18"/>
      <c r="C85" s="18"/>
      <c r="D85" s="18"/>
      <c r="E85" s="18"/>
      <c r="F85" s="18"/>
      <c r="G85" s="18"/>
      <c r="H85" s="18"/>
      <c r="I85" s="19"/>
    </row>
    <row r="86" spans="1:9">
      <c r="A86" s="26">
        <f t="shared" si="1"/>
        <v>85</v>
      </c>
      <c r="B86" s="18"/>
      <c r="C86" s="18"/>
      <c r="D86" s="18"/>
      <c r="E86" s="18"/>
      <c r="F86" s="18"/>
      <c r="G86" s="18"/>
      <c r="H86" s="18"/>
      <c r="I86" s="19"/>
    </row>
    <row r="87" spans="1:9">
      <c r="A87" s="26">
        <f t="shared" si="1"/>
        <v>86</v>
      </c>
      <c r="B87" s="18"/>
      <c r="C87" s="18"/>
      <c r="D87" s="18"/>
      <c r="E87" s="18"/>
      <c r="F87" s="18"/>
      <c r="G87" s="18"/>
      <c r="H87" s="18"/>
      <c r="I87" s="19"/>
    </row>
    <row r="88" spans="1:9">
      <c r="A88" s="26">
        <f t="shared" si="1"/>
        <v>87</v>
      </c>
      <c r="B88" s="18"/>
      <c r="C88" s="18"/>
      <c r="D88" s="18"/>
      <c r="E88" s="18"/>
      <c r="F88" s="18"/>
      <c r="G88" s="18"/>
      <c r="H88" s="18"/>
      <c r="I88" s="19"/>
    </row>
    <row r="89" spans="1:9">
      <c r="A89" s="26">
        <f t="shared" si="1"/>
        <v>88</v>
      </c>
      <c r="B89" s="18"/>
      <c r="C89" s="18"/>
      <c r="D89" s="18"/>
      <c r="E89" s="18"/>
      <c r="F89" s="18"/>
      <c r="G89" s="18"/>
      <c r="H89" s="18"/>
      <c r="I89" s="19"/>
    </row>
    <row r="90" spans="1:9">
      <c r="A90" s="26">
        <f t="shared" si="1"/>
        <v>89</v>
      </c>
      <c r="B90" s="18"/>
      <c r="C90" s="18"/>
      <c r="D90" s="18"/>
      <c r="E90" s="18"/>
      <c r="F90" s="18"/>
      <c r="G90" s="18"/>
      <c r="H90" s="18"/>
      <c r="I90" s="19"/>
    </row>
    <row r="91" spans="1:9">
      <c r="A91" s="26">
        <f t="shared" si="1"/>
        <v>90</v>
      </c>
      <c r="B91" s="18"/>
      <c r="C91" s="18"/>
      <c r="D91" s="18"/>
      <c r="E91" s="18"/>
      <c r="F91" s="18"/>
      <c r="G91" s="18"/>
      <c r="H91" s="18"/>
      <c r="I91" s="19"/>
    </row>
    <row r="92" spans="1:9">
      <c r="A92" s="26">
        <f t="shared" si="1"/>
        <v>91</v>
      </c>
      <c r="B92" s="18"/>
      <c r="C92" s="18"/>
      <c r="D92" s="18"/>
      <c r="E92" s="18"/>
      <c r="F92" s="18"/>
      <c r="G92" s="18"/>
      <c r="H92" s="18"/>
      <c r="I92" s="19"/>
    </row>
    <row r="93" spans="1:9">
      <c r="A93" s="26">
        <f t="shared" si="1"/>
        <v>92</v>
      </c>
      <c r="B93" s="18"/>
      <c r="C93" s="18"/>
      <c r="D93" s="18"/>
      <c r="E93" s="18"/>
      <c r="F93" s="18"/>
      <c r="G93" s="18"/>
      <c r="H93" s="18"/>
      <c r="I93" s="19"/>
    </row>
    <row r="94" spans="1:9">
      <c r="A94" s="26">
        <f t="shared" si="1"/>
        <v>93</v>
      </c>
      <c r="B94" s="18"/>
      <c r="C94" s="18"/>
      <c r="D94" s="18"/>
      <c r="E94" s="18"/>
      <c r="F94" s="18"/>
      <c r="G94" s="18"/>
      <c r="H94" s="18"/>
      <c r="I94" s="19"/>
    </row>
    <row r="95" spans="1:9">
      <c r="A95" s="26">
        <f t="shared" si="1"/>
        <v>94</v>
      </c>
      <c r="B95" s="18"/>
      <c r="C95" s="18"/>
      <c r="D95" s="18"/>
      <c r="E95" s="18"/>
      <c r="F95" s="18"/>
      <c r="G95" s="18"/>
      <c r="H95" s="18"/>
      <c r="I95" s="19"/>
    </row>
    <row r="96" spans="1:9">
      <c r="A96" s="26">
        <f t="shared" si="1"/>
        <v>95</v>
      </c>
      <c r="B96" s="18"/>
      <c r="C96" s="18"/>
      <c r="D96" s="18"/>
      <c r="E96" s="18"/>
      <c r="F96" s="18"/>
      <c r="G96" s="18"/>
      <c r="H96" s="18"/>
      <c r="I96" s="19"/>
    </row>
    <row r="97" spans="1:9">
      <c r="A97" s="26">
        <f t="shared" si="1"/>
        <v>96</v>
      </c>
      <c r="B97" s="18"/>
      <c r="C97" s="18"/>
      <c r="D97" s="18"/>
      <c r="E97" s="18"/>
      <c r="F97" s="18"/>
      <c r="G97" s="18"/>
      <c r="H97" s="18"/>
      <c r="I97" s="19"/>
    </row>
    <row r="98" spans="1:9">
      <c r="A98" s="26">
        <f t="shared" si="1"/>
        <v>97</v>
      </c>
      <c r="B98" s="18"/>
      <c r="C98" s="18"/>
      <c r="D98" s="18"/>
      <c r="E98" s="18"/>
      <c r="F98" s="18"/>
      <c r="G98" s="18"/>
      <c r="H98" s="18"/>
      <c r="I98" s="19"/>
    </row>
    <row r="99" spans="1:9">
      <c r="A99" s="26">
        <f t="shared" si="1"/>
        <v>98</v>
      </c>
      <c r="B99" s="18"/>
      <c r="C99" s="18"/>
      <c r="D99" s="18"/>
      <c r="E99" s="18"/>
      <c r="F99" s="18"/>
      <c r="G99" s="18"/>
      <c r="H99" s="18"/>
      <c r="I99" s="19"/>
    </row>
    <row r="100" spans="1:9">
      <c r="A100" s="26">
        <f t="shared" si="1"/>
        <v>99</v>
      </c>
      <c r="B100" s="18"/>
      <c r="C100" s="18"/>
      <c r="D100" s="18"/>
      <c r="E100" s="18"/>
      <c r="F100" s="18"/>
      <c r="G100" s="18"/>
      <c r="H100" s="18"/>
      <c r="I100" s="19"/>
    </row>
    <row r="101" spans="1:9" ht="15.75" thickBot="1">
      <c r="A101" s="27">
        <f t="shared" si="1"/>
        <v>100</v>
      </c>
      <c r="B101" s="20"/>
      <c r="C101" s="20"/>
      <c r="D101" s="20"/>
      <c r="E101" s="20"/>
      <c r="F101" s="20"/>
      <c r="G101" s="20"/>
      <c r="H101" s="20"/>
      <c r="I101" s="2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Calibration</vt:lpstr>
      <vt:lpstr>06_19_20 (1.5year) call</vt:lpstr>
      <vt:lpstr>12_20_19 (1year) call</vt:lpstr>
      <vt:lpstr>Parameter_dist</vt:lpstr>
      <vt:lpstr>test</vt:lpstr>
      <vt:lpstr>texst</vt:lpstr>
      <vt:lpstr>Weighting_Scheme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hmc</dc:creator>
  <cp:lastModifiedBy>admin_bdda</cp:lastModifiedBy>
  <dcterms:created xsi:type="dcterms:W3CDTF">2010-06-14T13:59:12Z</dcterms:created>
  <dcterms:modified xsi:type="dcterms:W3CDTF">2018-12-05T12:14:49Z</dcterms:modified>
</cp:coreProperties>
</file>