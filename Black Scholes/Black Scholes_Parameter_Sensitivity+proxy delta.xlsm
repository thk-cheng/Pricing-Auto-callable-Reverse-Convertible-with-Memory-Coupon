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trlProps/ctrlProp9.xml" ContentType="application/vnd.ms-excel.controlproperties+xml"/>
  <Override PartName="/xl/charts/chart17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harts/chart1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+xml"/>
  <Override PartName="/xl/ctrlProps/ctrlProp11.xml" ContentType="application/vnd.ms-excel.controlproperties+xml"/>
  <Override PartName="/xl/charts/chart19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1155063970\Desktop\"/>
    </mc:Choice>
  </mc:AlternateContent>
  <bookViews>
    <workbookView xWindow="0" yWindow="0" windowWidth="28800" windowHeight="12300" tabRatio="801"/>
  </bookViews>
  <sheets>
    <sheet name="Read me" sheetId="8" r:id="rId1"/>
    <sheet name="Parameter Page" sheetId="1" r:id="rId2"/>
    <sheet name="Changes in S1" sheetId="5" r:id="rId3"/>
    <sheet name="Proxy Delta_S1" sheetId="15" r:id="rId4"/>
    <sheet name="Proxy Delta_S2" sheetId="16" r:id="rId5"/>
    <sheet name="Proxy Delta_S3" sheetId="17" r:id="rId6"/>
    <sheet name="Changes in S2" sheetId="6" r:id="rId7"/>
    <sheet name="Changes in S3" sheetId="7" r:id="rId8"/>
    <sheet name="Changes in sigma_S1" sheetId="9" r:id="rId9"/>
    <sheet name="Proxy Vega 1" sheetId="18" r:id="rId10"/>
    <sheet name="Changes_in_sigma_S2" sheetId="10" r:id="rId11"/>
    <sheet name="Proxy vega 2" sheetId="19" r:id="rId12"/>
    <sheet name="Changes_in_sigma_S3" sheetId="11" r:id="rId13"/>
    <sheet name="Changes in r(1)" sheetId="12" r:id="rId14"/>
    <sheet name="Changes in r(2)" sheetId="13" r:id="rId15"/>
    <sheet name="changes in r(3)" sheetId="14" r:id="rId1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14" l="1"/>
  <c r="N4" i="14"/>
  <c r="N6" i="14" s="1"/>
  <c r="N5" i="13"/>
  <c r="N6" i="13" s="1"/>
  <c r="N4" i="13"/>
  <c r="N5" i="12"/>
  <c r="N4" i="12"/>
  <c r="N5" i="11"/>
  <c r="N4" i="11"/>
  <c r="N6" i="11" s="1"/>
  <c r="N5" i="10"/>
  <c r="N4" i="10"/>
  <c r="N6" i="10" s="1"/>
  <c r="N5" i="9"/>
  <c r="N4" i="9"/>
  <c r="N6" i="9" s="1"/>
  <c r="N5" i="7"/>
  <c r="N4" i="7"/>
  <c r="N6" i="7" s="1"/>
  <c r="N5" i="6"/>
  <c r="N6" i="6" s="1"/>
  <c r="N4" i="6"/>
  <c r="N6" i="5"/>
  <c r="N5" i="5"/>
  <c r="N4" i="5"/>
  <c r="N6" i="12" l="1"/>
  <c r="P104" i="19"/>
  <c r="P103" i="19"/>
  <c r="P102" i="19"/>
  <c r="P101" i="19"/>
  <c r="P100" i="19"/>
  <c r="P99" i="19"/>
  <c r="P98" i="19"/>
  <c r="P97" i="19"/>
  <c r="P96" i="19"/>
  <c r="P95" i="19"/>
  <c r="P94" i="19"/>
  <c r="P93" i="19"/>
  <c r="P92" i="19"/>
  <c r="P91" i="19"/>
  <c r="P90" i="19"/>
  <c r="P89" i="19"/>
  <c r="P88" i="19"/>
  <c r="P87" i="19"/>
  <c r="P86" i="19"/>
  <c r="P85" i="19"/>
  <c r="P84" i="19"/>
  <c r="P83" i="19"/>
  <c r="P82" i="19"/>
  <c r="P81" i="19"/>
  <c r="P80" i="19"/>
  <c r="P79" i="19"/>
  <c r="P78" i="19"/>
  <c r="P77" i="19"/>
  <c r="P76" i="19"/>
  <c r="P75" i="19"/>
  <c r="P74" i="19"/>
  <c r="P73" i="19"/>
  <c r="P72" i="19"/>
  <c r="P71" i="19"/>
  <c r="P70" i="19"/>
  <c r="P69" i="19"/>
  <c r="P68" i="19"/>
  <c r="P67" i="19"/>
  <c r="P66" i="19"/>
  <c r="P65" i="19"/>
  <c r="P64" i="19"/>
  <c r="P63" i="19"/>
  <c r="P62" i="19"/>
  <c r="P61" i="19"/>
  <c r="P60" i="19"/>
  <c r="P59" i="19"/>
  <c r="P58" i="19"/>
  <c r="P57" i="19"/>
  <c r="P56" i="19"/>
  <c r="P55" i="19"/>
  <c r="P54" i="19"/>
  <c r="P53" i="19"/>
  <c r="P52" i="19"/>
  <c r="P51" i="19"/>
  <c r="P50" i="19"/>
  <c r="P49" i="19"/>
  <c r="P48" i="19"/>
  <c r="P47" i="19"/>
  <c r="P46" i="19"/>
  <c r="P45" i="19"/>
  <c r="P44" i="19"/>
  <c r="P43" i="19"/>
  <c r="P42" i="19"/>
  <c r="P41" i="19"/>
  <c r="P40" i="19"/>
  <c r="P39" i="19"/>
  <c r="P38" i="19"/>
  <c r="P37" i="19"/>
  <c r="P36" i="19"/>
  <c r="P35" i="19"/>
  <c r="P34" i="19"/>
  <c r="P33" i="19"/>
  <c r="P32" i="19"/>
  <c r="P31" i="19"/>
  <c r="P30" i="19"/>
  <c r="P29" i="19"/>
  <c r="P28" i="19"/>
  <c r="P27" i="19"/>
  <c r="P26" i="19"/>
  <c r="P25" i="19"/>
  <c r="P24" i="19"/>
  <c r="P23" i="19"/>
  <c r="P22" i="19"/>
  <c r="P21" i="19"/>
  <c r="P20" i="19"/>
  <c r="P19" i="19"/>
  <c r="P18" i="19"/>
  <c r="P17" i="19"/>
  <c r="P16" i="19"/>
  <c r="P15" i="19"/>
  <c r="P14" i="19"/>
  <c r="P13" i="19"/>
  <c r="P12" i="19"/>
  <c r="P11" i="19"/>
  <c r="P10" i="19"/>
  <c r="P9" i="19"/>
  <c r="P8" i="19"/>
  <c r="P7" i="19"/>
  <c r="P6" i="19"/>
  <c r="P5" i="19"/>
  <c r="P4" i="19"/>
  <c r="O104" i="19"/>
  <c r="N104" i="19"/>
  <c r="O103" i="19"/>
  <c r="N103" i="19"/>
  <c r="O102" i="19"/>
  <c r="N102" i="19"/>
  <c r="O101" i="19"/>
  <c r="N101" i="19"/>
  <c r="O100" i="19"/>
  <c r="N100" i="19"/>
  <c r="O99" i="19"/>
  <c r="N99" i="19"/>
  <c r="O98" i="19"/>
  <c r="N98" i="19"/>
  <c r="O97" i="19"/>
  <c r="N97" i="19"/>
  <c r="O96" i="19"/>
  <c r="N96" i="19"/>
  <c r="O95" i="19"/>
  <c r="N95" i="19"/>
  <c r="O94" i="19"/>
  <c r="N94" i="19"/>
  <c r="O93" i="19"/>
  <c r="N93" i="19"/>
  <c r="O92" i="19"/>
  <c r="N92" i="19"/>
  <c r="O91" i="19"/>
  <c r="N91" i="19"/>
  <c r="O90" i="19"/>
  <c r="N90" i="19"/>
  <c r="O89" i="19"/>
  <c r="N89" i="19"/>
  <c r="O88" i="19"/>
  <c r="N88" i="19"/>
  <c r="O87" i="19"/>
  <c r="N87" i="19"/>
  <c r="O86" i="19"/>
  <c r="N86" i="19"/>
  <c r="O85" i="19"/>
  <c r="N85" i="19"/>
  <c r="O84" i="19"/>
  <c r="N84" i="19"/>
  <c r="O83" i="19"/>
  <c r="N83" i="19"/>
  <c r="O82" i="19"/>
  <c r="N82" i="19"/>
  <c r="O81" i="19"/>
  <c r="N81" i="19"/>
  <c r="O80" i="19"/>
  <c r="N80" i="19"/>
  <c r="O79" i="19"/>
  <c r="N79" i="19"/>
  <c r="O78" i="19"/>
  <c r="N78" i="19"/>
  <c r="O77" i="19"/>
  <c r="N77" i="19"/>
  <c r="O76" i="19"/>
  <c r="N76" i="19"/>
  <c r="O75" i="19"/>
  <c r="N75" i="19"/>
  <c r="O74" i="19"/>
  <c r="N74" i="19"/>
  <c r="O73" i="19"/>
  <c r="N73" i="19"/>
  <c r="O72" i="19"/>
  <c r="N72" i="19"/>
  <c r="O71" i="19"/>
  <c r="N71" i="19"/>
  <c r="O70" i="19"/>
  <c r="N70" i="19"/>
  <c r="O69" i="19"/>
  <c r="N69" i="19"/>
  <c r="O68" i="19"/>
  <c r="N68" i="19"/>
  <c r="O67" i="19"/>
  <c r="N67" i="19"/>
  <c r="O66" i="19"/>
  <c r="N66" i="19"/>
  <c r="O65" i="19"/>
  <c r="N65" i="19"/>
  <c r="O64" i="19"/>
  <c r="N64" i="19"/>
  <c r="O63" i="19"/>
  <c r="N63" i="19"/>
  <c r="O62" i="19"/>
  <c r="N62" i="19"/>
  <c r="O61" i="19"/>
  <c r="N61" i="19"/>
  <c r="O60" i="19"/>
  <c r="N60" i="19"/>
  <c r="O59" i="19"/>
  <c r="N59" i="19"/>
  <c r="O58" i="19"/>
  <c r="N58" i="19"/>
  <c r="O57" i="19"/>
  <c r="N57" i="19"/>
  <c r="O56" i="19"/>
  <c r="N56" i="19"/>
  <c r="O55" i="19"/>
  <c r="N55" i="19"/>
  <c r="O54" i="19"/>
  <c r="N54" i="19"/>
  <c r="O53" i="19"/>
  <c r="N53" i="19"/>
  <c r="O52" i="19"/>
  <c r="N52" i="19"/>
  <c r="O51" i="19"/>
  <c r="N51" i="19"/>
  <c r="O50" i="19"/>
  <c r="N50" i="19"/>
  <c r="O49" i="19"/>
  <c r="N49" i="19"/>
  <c r="O48" i="19"/>
  <c r="N48" i="19"/>
  <c r="O47" i="19"/>
  <c r="N47" i="19"/>
  <c r="O46" i="19"/>
  <c r="N46" i="19"/>
  <c r="O45" i="19"/>
  <c r="N45" i="19"/>
  <c r="O44" i="19"/>
  <c r="N44" i="19"/>
  <c r="O43" i="19"/>
  <c r="N43" i="19"/>
  <c r="O42" i="19"/>
  <c r="N42" i="19"/>
  <c r="O41" i="19"/>
  <c r="N41" i="19"/>
  <c r="O40" i="19"/>
  <c r="N40" i="19"/>
  <c r="O39" i="19"/>
  <c r="N39" i="19"/>
  <c r="O38" i="19"/>
  <c r="N38" i="19"/>
  <c r="O37" i="19"/>
  <c r="N37" i="19"/>
  <c r="O36" i="19"/>
  <c r="N36" i="19"/>
  <c r="O35" i="19"/>
  <c r="N35" i="19"/>
  <c r="O34" i="19"/>
  <c r="N34" i="19"/>
  <c r="O33" i="19"/>
  <c r="N33" i="19"/>
  <c r="O32" i="19"/>
  <c r="N32" i="19"/>
  <c r="O31" i="19"/>
  <c r="N31" i="19"/>
  <c r="O30" i="19"/>
  <c r="N30" i="19"/>
  <c r="O29" i="19"/>
  <c r="N29" i="19"/>
  <c r="O28" i="19"/>
  <c r="N28" i="19"/>
  <c r="O27" i="19"/>
  <c r="N27" i="19"/>
  <c r="O26" i="19"/>
  <c r="N26" i="19"/>
  <c r="O25" i="19"/>
  <c r="N25" i="19"/>
  <c r="O24" i="19"/>
  <c r="N24" i="19"/>
  <c r="O23" i="19"/>
  <c r="N23" i="19"/>
  <c r="O22" i="19"/>
  <c r="N22" i="19"/>
  <c r="O21" i="19"/>
  <c r="N21" i="19"/>
  <c r="O20" i="19"/>
  <c r="N20" i="19"/>
  <c r="O19" i="19"/>
  <c r="N19" i="19"/>
  <c r="O18" i="19"/>
  <c r="N18" i="19"/>
  <c r="O17" i="19"/>
  <c r="N17" i="19"/>
  <c r="O16" i="19"/>
  <c r="N16" i="19"/>
  <c r="O15" i="19"/>
  <c r="N15" i="19"/>
  <c r="O14" i="19"/>
  <c r="N14" i="19"/>
  <c r="O13" i="19"/>
  <c r="N13" i="19"/>
  <c r="O12" i="19"/>
  <c r="N12" i="19"/>
  <c r="O11" i="19"/>
  <c r="N11" i="19"/>
  <c r="O10" i="19"/>
  <c r="N10" i="19"/>
  <c r="O9" i="19"/>
  <c r="N9" i="19"/>
  <c r="O8" i="19"/>
  <c r="N8" i="19"/>
  <c r="O7" i="19"/>
  <c r="N7" i="19"/>
  <c r="O6" i="19"/>
  <c r="N6" i="19"/>
  <c r="O5" i="19"/>
  <c r="N5" i="19"/>
  <c r="O4" i="19"/>
  <c r="N4" i="19"/>
  <c r="F3" i="19"/>
  <c r="B1" i="19"/>
  <c r="E1" i="19"/>
  <c r="E1" i="18"/>
  <c r="A6" i="18"/>
  <c r="A7" i="18"/>
  <c r="A8" i="18"/>
  <c r="A5" i="18"/>
  <c r="A4" i="18"/>
  <c r="D1" i="18"/>
  <c r="B1" i="18"/>
  <c r="D1" i="19" l="1"/>
  <c r="A4" i="19" s="1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O104" i="17"/>
  <c r="N104" i="17"/>
  <c r="O103" i="17"/>
  <c r="N103" i="17"/>
  <c r="O102" i="17"/>
  <c r="N102" i="17"/>
  <c r="O101" i="17"/>
  <c r="N101" i="17"/>
  <c r="O100" i="17"/>
  <c r="N100" i="17"/>
  <c r="O99" i="17"/>
  <c r="N99" i="17"/>
  <c r="O98" i="17"/>
  <c r="N98" i="17"/>
  <c r="O97" i="17"/>
  <c r="N97" i="17"/>
  <c r="O96" i="17"/>
  <c r="N96" i="17"/>
  <c r="O95" i="17"/>
  <c r="N95" i="17"/>
  <c r="O94" i="17"/>
  <c r="N94" i="17"/>
  <c r="O93" i="17"/>
  <c r="N93" i="17"/>
  <c r="O92" i="17"/>
  <c r="N92" i="17"/>
  <c r="O91" i="17"/>
  <c r="N91" i="17"/>
  <c r="O90" i="17"/>
  <c r="N90" i="17"/>
  <c r="O89" i="17"/>
  <c r="N89" i="17"/>
  <c r="O88" i="17"/>
  <c r="N88" i="17"/>
  <c r="O87" i="17"/>
  <c r="N87" i="17"/>
  <c r="O86" i="17"/>
  <c r="N86" i="17"/>
  <c r="O85" i="17"/>
  <c r="N85" i="17"/>
  <c r="O84" i="17"/>
  <c r="N84" i="17"/>
  <c r="O83" i="17"/>
  <c r="N83" i="17"/>
  <c r="O82" i="17"/>
  <c r="N82" i="17"/>
  <c r="O81" i="17"/>
  <c r="N81" i="17"/>
  <c r="O80" i="17"/>
  <c r="N80" i="17"/>
  <c r="O79" i="17"/>
  <c r="N79" i="17"/>
  <c r="O78" i="17"/>
  <c r="N78" i="17"/>
  <c r="O77" i="17"/>
  <c r="N77" i="17"/>
  <c r="O76" i="17"/>
  <c r="N76" i="17"/>
  <c r="O75" i="17"/>
  <c r="N75" i="17"/>
  <c r="O74" i="17"/>
  <c r="N74" i="17"/>
  <c r="O73" i="17"/>
  <c r="N73" i="17"/>
  <c r="O72" i="17"/>
  <c r="N72" i="17"/>
  <c r="O71" i="17"/>
  <c r="N71" i="17"/>
  <c r="O70" i="17"/>
  <c r="N70" i="17"/>
  <c r="O69" i="17"/>
  <c r="N69" i="17"/>
  <c r="O68" i="17"/>
  <c r="N68" i="17"/>
  <c r="O67" i="17"/>
  <c r="N67" i="17"/>
  <c r="O66" i="17"/>
  <c r="N66" i="17"/>
  <c r="O65" i="17"/>
  <c r="N65" i="17"/>
  <c r="O64" i="17"/>
  <c r="N64" i="17"/>
  <c r="O63" i="17"/>
  <c r="N63" i="17"/>
  <c r="O62" i="17"/>
  <c r="N62" i="17"/>
  <c r="O61" i="17"/>
  <c r="N61" i="17"/>
  <c r="O60" i="17"/>
  <c r="N60" i="17"/>
  <c r="O59" i="17"/>
  <c r="N59" i="17"/>
  <c r="O58" i="17"/>
  <c r="N58" i="17"/>
  <c r="O57" i="17"/>
  <c r="N57" i="17"/>
  <c r="O56" i="17"/>
  <c r="N56" i="17"/>
  <c r="O55" i="17"/>
  <c r="N55" i="17"/>
  <c r="O54" i="17"/>
  <c r="N54" i="17"/>
  <c r="O53" i="17"/>
  <c r="N53" i="17"/>
  <c r="O52" i="17"/>
  <c r="N52" i="17"/>
  <c r="O51" i="17"/>
  <c r="N51" i="17"/>
  <c r="O50" i="17"/>
  <c r="N50" i="17"/>
  <c r="O49" i="17"/>
  <c r="N49" i="17"/>
  <c r="O48" i="17"/>
  <c r="N48" i="17"/>
  <c r="O47" i="17"/>
  <c r="N47" i="17"/>
  <c r="O46" i="17"/>
  <c r="N46" i="17"/>
  <c r="O45" i="17"/>
  <c r="N45" i="17"/>
  <c r="O44" i="17"/>
  <c r="N44" i="17"/>
  <c r="O43" i="17"/>
  <c r="N43" i="17"/>
  <c r="O42" i="17"/>
  <c r="N42" i="17"/>
  <c r="O41" i="17"/>
  <c r="N41" i="17"/>
  <c r="O40" i="17"/>
  <c r="N40" i="17"/>
  <c r="O39" i="17"/>
  <c r="N39" i="17"/>
  <c r="O38" i="17"/>
  <c r="N38" i="17"/>
  <c r="O37" i="17"/>
  <c r="N37" i="17"/>
  <c r="O36" i="17"/>
  <c r="N36" i="17"/>
  <c r="O35" i="17"/>
  <c r="N35" i="17"/>
  <c r="O34" i="17"/>
  <c r="N34" i="17"/>
  <c r="O33" i="17"/>
  <c r="N33" i="17"/>
  <c r="O32" i="17"/>
  <c r="N32" i="17"/>
  <c r="O31" i="17"/>
  <c r="N31" i="17"/>
  <c r="O30" i="17"/>
  <c r="N30" i="17"/>
  <c r="O29" i="17"/>
  <c r="N29" i="17"/>
  <c r="O28" i="17"/>
  <c r="N28" i="17"/>
  <c r="O27" i="17"/>
  <c r="N27" i="17"/>
  <c r="O26" i="17"/>
  <c r="N26" i="17"/>
  <c r="O25" i="17"/>
  <c r="N25" i="17"/>
  <c r="O24" i="17"/>
  <c r="N24" i="17"/>
  <c r="O23" i="17"/>
  <c r="N23" i="17"/>
  <c r="O22" i="17"/>
  <c r="N22" i="17"/>
  <c r="O21" i="17"/>
  <c r="N21" i="17"/>
  <c r="O20" i="17"/>
  <c r="N20" i="17"/>
  <c r="O19" i="17"/>
  <c r="N19" i="17"/>
  <c r="O18" i="17"/>
  <c r="N18" i="17"/>
  <c r="O17" i="17"/>
  <c r="N17" i="17"/>
  <c r="O16" i="17"/>
  <c r="N16" i="17"/>
  <c r="O15" i="17"/>
  <c r="N15" i="17"/>
  <c r="O14" i="17"/>
  <c r="N14" i="17"/>
  <c r="O13" i="17"/>
  <c r="N13" i="17"/>
  <c r="O12" i="17"/>
  <c r="N12" i="17"/>
  <c r="O11" i="17"/>
  <c r="N11" i="17"/>
  <c r="O10" i="17"/>
  <c r="N10" i="17"/>
  <c r="O9" i="17"/>
  <c r="N9" i="17"/>
  <c r="O8" i="17"/>
  <c r="N8" i="17"/>
  <c r="O7" i="17"/>
  <c r="N7" i="17"/>
  <c r="O6" i="17"/>
  <c r="N6" i="17"/>
  <c r="O5" i="17"/>
  <c r="N5" i="17"/>
  <c r="O4" i="17"/>
  <c r="N4" i="17"/>
  <c r="F3" i="17"/>
  <c r="A6" i="17"/>
  <c r="A7" i="17"/>
  <c r="A5" i="17"/>
  <c r="A4" i="17"/>
  <c r="E1" i="17"/>
  <c r="D1" i="17"/>
  <c r="B1" i="17"/>
  <c r="F3" i="16"/>
  <c r="O104" i="16"/>
  <c r="N104" i="16"/>
  <c r="O103" i="16"/>
  <c r="N103" i="16"/>
  <c r="N102" i="16"/>
  <c r="O101" i="16"/>
  <c r="N101" i="16"/>
  <c r="N100" i="16"/>
  <c r="O99" i="16"/>
  <c r="N99" i="16"/>
  <c r="N98" i="16"/>
  <c r="O97" i="16"/>
  <c r="N97" i="16"/>
  <c r="N96" i="16"/>
  <c r="O95" i="16"/>
  <c r="N95" i="16"/>
  <c r="N94" i="16"/>
  <c r="O93" i="16"/>
  <c r="N93" i="16"/>
  <c r="N92" i="16"/>
  <c r="O91" i="16"/>
  <c r="N91" i="16"/>
  <c r="N90" i="16"/>
  <c r="O89" i="16"/>
  <c r="N89" i="16"/>
  <c r="N88" i="16"/>
  <c r="O87" i="16"/>
  <c r="N87" i="16"/>
  <c r="N86" i="16"/>
  <c r="O85" i="16"/>
  <c r="N85" i="16"/>
  <c r="N84" i="16"/>
  <c r="O83" i="16"/>
  <c r="N83" i="16"/>
  <c r="N82" i="16"/>
  <c r="O81" i="16"/>
  <c r="N81" i="16"/>
  <c r="N80" i="16"/>
  <c r="O79" i="16"/>
  <c r="N79" i="16"/>
  <c r="N78" i="16"/>
  <c r="O77" i="16"/>
  <c r="N77" i="16"/>
  <c r="N76" i="16"/>
  <c r="O75" i="16"/>
  <c r="N75" i="16"/>
  <c r="N74" i="16"/>
  <c r="O73" i="16"/>
  <c r="N73" i="16"/>
  <c r="N72" i="16"/>
  <c r="O71" i="16"/>
  <c r="N71" i="16"/>
  <c r="N70" i="16"/>
  <c r="O69" i="16"/>
  <c r="N69" i="16"/>
  <c r="O68" i="16"/>
  <c r="N68" i="16"/>
  <c r="O67" i="16"/>
  <c r="N67" i="16"/>
  <c r="O66" i="16"/>
  <c r="N66" i="16"/>
  <c r="O65" i="16"/>
  <c r="N65" i="16"/>
  <c r="O64" i="16"/>
  <c r="N64" i="16"/>
  <c r="O63" i="16"/>
  <c r="N63" i="16"/>
  <c r="O62" i="16"/>
  <c r="N62" i="16"/>
  <c r="O61" i="16"/>
  <c r="N61" i="16"/>
  <c r="O60" i="16"/>
  <c r="N60" i="16"/>
  <c r="O59" i="16"/>
  <c r="N59" i="16"/>
  <c r="O58" i="16"/>
  <c r="N58" i="16"/>
  <c r="O57" i="16"/>
  <c r="N57" i="16"/>
  <c r="O56" i="16"/>
  <c r="N56" i="16"/>
  <c r="O55" i="16"/>
  <c r="N55" i="16"/>
  <c r="O54" i="16"/>
  <c r="N54" i="16"/>
  <c r="O53" i="16"/>
  <c r="N53" i="16"/>
  <c r="O52" i="16"/>
  <c r="N52" i="16"/>
  <c r="O51" i="16"/>
  <c r="N51" i="16"/>
  <c r="O50" i="16"/>
  <c r="N50" i="16"/>
  <c r="O49" i="16"/>
  <c r="N49" i="16"/>
  <c r="O48" i="16"/>
  <c r="N48" i="16"/>
  <c r="O47" i="16"/>
  <c r="N47" i="16"/>
  <c r="O46" i="16"/>
  <c r="N46" i="16"/>
  <c r="O45" i="16"/>
  <c r="N45" i="16"/>
  <c r="O44" i="16"/>
  <c r="N44" i="16"/>
  <c r="O43" i="16"/>
  <c r="N43" i="16"/>
  <c r="O42" i="16"/>
  <c r="N42" i="16"/>
  <c r="O41" i="16"/>
  <c r="N41" i="16"/>
  <c r="O40" i="16"/>
  <c r="N40" i="16"/>
  <c r="O39" i="16"/>
  <c r="N39" i="16"/>
  <c r="O38" i="16"/>
  <c r="N38" i="16"/>
  <c r="O37" i="16"/>
  <c r="N37" i="16"/>
  <c r="O36" i="16"/>
  <c r="N36" i="16"/>
  <c r="O35" i="16"/>
  <c r="N35" i="16"/>
  <c r="O34" i="16"/>
  <c r="N34" i="16"/>
  <c r="O33" i="16"/>
  <c r="N33" i="16"/>
  <c r="O32" i="16"/>
  <c r="N32" i="16"/>
  <c r="O31" i="16"/>
  <c r="N31" i="16"/>
  <c r="O30" i="16"/>
  <c r="N30" i="16"/>
  <c r="O29" i="16"/>
  <c r="N29" i="16"/>
  <c r="O28" i="16"/>
  <c r="N28" i="16"/>
  <c r="O27" i="16"/>
  <c r="N27" i="16"/>
  <c r="O26" i="16"/>
  <c r="N26" i="16"/>
  <c r="O25" i="16"/>
  <c r="N25" i="16"/>
  <c r="O24" i="16"/>
  <c r="N24" i="16"/>
  <c r="O23" i="16"/>
  <c r="N23" i="16"/>
  <c r="O22" i="16"/>
  <c r="N22" i="16"/>
  <c r="O21" i="16"/>
  <c r="N21" i="16"/>
  <c r="O20" i="16"/>
  <c r="N20" i="16"/>
  <c r="O19" i="16"/>
  <c r="N19" i="16"/>
  <c r="O18" i="16"/>
  <c r="N18" i="16"/>
  <c r="O17" i="16"/>
  <c r="N17" i="16"/>
  <c r="O16" i="16"/>
  <c r="N16" i="16"/>
  <c r="O15" i="16"/>
  <c r="N15" i="16"/>
  <c r="O14" i="16"/>
  <c r="N14" i="16"/>
  <c r="O13" i="16"/>
  <c r="N13" i="16"/>
  <c r="O12" i="16"/>
  <c r="N12" i="16"/>
  <c r="O11" i="16"/>
  <c r="N11" i="16"/>
  <c r="O10" i="16"/>
  <c r="N10" i="16"/>
  <c r="O9" i="16"/>
  <c r="N9" i="16"/>
  <c r="O8" i="16"/>
  <c r="N8" i="16"/>
  <c r="O7" i="16"/>
  <c r="N7" i="16"/>
  <c r="O6" i="16"/>
  <c r="N6" i="16"/>
  <c r="O5" i="16"/>
  <c r="N5" i="16"/>
  <c r="O4" i="16"/>
  <c r="N4" i="16"/>
  <c r="A6" i="16"/>
  <c r="A7" i="16" s="1"/>
  <c r="A5" i="16"/>
  <c r="A4" i="16"/>
  <c r="E1" i="16"/>
  <c r="D1" i="16"/>
  <c r="B1" i="16"/>
  <c r="O104" i="15"/>
  <c r="N104" i="15"/>
  <c r="O103" i="15"/>
  <c r="N103" i="15"/>
  <c r="O102" i="15"/>
  <c r="N102" i="15"/>
  <c r="O101" i="15"/>
  <c r="N101" i="15"/>
  <c r="O100" i="15"/>
  <c r="N100" i="15"/>
  <c r="O99" i="15"/>
  <c r="N99" i="15"/>
  <c r="O98" i="15"/>
  <c r="N98" i="15"/>
  <c r="O97" i="15"/>
  <c r="N97" i="15"/>
  <c r="O96" i="15"/>
  <c r="N96" i="15"/>
  <c r="O95" i="15"/>
  <c r="N95" i="15"/>
  <c r="O94" i="15"/>
  <c r="N94" i="15"/>
  <c r="O93" i="15"/>
  <c r="N93" i="15"/>
  <c r="O92" i="15"/>
  <c r="N92" i="15"/>
  <c r="O91" i="15"/>
  <c r="N91" i="15"/>
  <c r="O90" i="15"/>
  <c r="N90" i="15"/>
  <c r="O89" i="15"/>
  <c r="N89" i="15"/>
  <c r="O88" i="15"/>
  <c r="N88" i="15"/>
  <c r="O87" i="15"/>
  <c r="N87" i="15"/>
  <c r="O86" i="15"/>
  <c r="N86" i="15"/>
  <c r="O85" i="15"/>
  <c r="N85" i="15"/>
  <c r="O84" i="15"/>
  <c r="N84" i="15"/>
  <c r="O83" i="15"/>
  <c r="N83" i="15"/>
  <c r="O82" i="15"/>
  <c r="N82" i="15"/>
  <c r="O81" i="15"/>
  <c r="N81" i="15"/>
  <c r="O80" i="15"/>
  <c r="N80" i="15"/>
  <c r="O79" i="15"/>
  <c r="N79" i="15"/>
  <c r="O78" i="15"/>
  <c r="N78" i="15"/>
  <c r="O77" i="15"/>
  <c r="N77" i="15"/>
  <c r="O76" i="15"/>
  <c r="N76" i="15"/>
  <c r="O75" i="15"/>
  <c r="N75" i="15"/>
  <c r="O74" i="15"/>
  <c r="N74" i="15"/>
  <c r="O73" i="15"/>
  <c r="N73" i="15"/>
  <c r="O72" i="15"/>
  <c r="N72" i="15"/>
  <c r="O71" i="15"/>
  <c r="N71" i="15"/>
  <c r="O70" i="15"/>
  <c r="N70" i="15"/>
  <c r="O69" i="15"/>
  <c r="N69" i="15"/>
  <c r="O68" i="15"/>
  <c r="N68" i="15"/>
  <c r="O67" i="15"/>
  <c r="N67" i="15"/>
  <c r="O66" i="15"/>
  <c r="N66" i="15"/>
  <c r="O65" i="15"/>
  <c r="N65" i="15"/>
  <c r="O64" i="15"/>
  <c r="N64" i="15"/>
  <c r="O63" i="15"/>
  <c r="N63" i="15"/>
  <c r="O62" i="15"/>
  <c r="N62" i="15"/>
  <c r="O61" i="15"/>
  <c r="N61" i="15"/>
  <c r="O60" i="15"/>
  <c r="N60" i="15"/>
  <c r="O59" i="15"/>
  <c r="N59" i="15"/>
  <c r="O58" i="15"/>
  <c r="N58" i="15"/>
  <c r="O57" i="15"/>
  <c r="N57" i="15"/>
  <c r="O56" i="15"/>
  <c r="N56" i="15"/>
  <c r="O55" i="15"/>
  <c r="N55" i="15"/>
  <c r="O54" i="15"/>
  <c r="N54" i="15"/>
  <c r="O53" i="15"/>
  <c r="N53" i="15"/>
  <c r="O52" i="15"/>
  <c r="N52" i="15"/>
  <c r="O51" i="15"/>
  <c r="N51" i="15"/>
  <c r="O50" i="15"/>
  <c r="N50" i="15"/>
  <c r="O49" i="15"/>
  <c r="N49" i="15"/>
  <c r="O48" i="15"/>
  <c r="N48" i="15"/>
  <c r="O47" i="15"/>
  <c r="N47" i="15"/>
  <c r="O46" i="15"/>
  <c r="N46" i="15"/>
  <c r="O45" i="15"/>
  <c r="N45" i="15"/>
  <c r="O44" i="15"/>
  <c r="N44" i="15"/>
  <c r="O43" i="15"/>
  <c r="N43" i="15"/>
  <c r="O42" i="15"/>
  <c r="N42" i="15"/>
  <c r="O41" i="15"/>
  <c r="N41" i="15"/>
  <c r="O40" i="15"/>
  <c r="N40" i="15"/>
  <c r="O39" i="15"/>
  <c r="N39" i="15"/>
  <c r="O38" i="15"/>
  <c r="N38" i="15"/>
  <c r="O37" i="15"/>
  <c r="N37" i="15"/>
  <c r="O36" i="15"/>
  <c r="N36" i="15"/>
  <c r="O35" i="15"/>
  <c r="N35" i="15"/>
  <c r="O34" i="15"/>
  <c r="N34" i="15"/>
  <c r="O33" i="15"/>
  <c r="N33" i="15"/>
  <c r="O32" i="15"/>
  <c r="N32" i="15"/>
  <c r="O31" i="15"/>
  <c r="N31" i="15"/>
  <c r="O30" i="15"/>
  <c r="N30" i="15"/>
  <c r="O29" i="15"/>
  <c r="N29" i="15"/>
  <c r="O28" i="15"/>
  <c r="N28" i="15"/>
  <c r="O27" i="15"/>
  <c r="N27" i="15"/>
  <c r="O26" i="15"/>
  <c r="N26" i="15"/>
  <c r="O25" i="15"/>
  <c r="N25" i="15"/>
  <c r="O24" i="15"/>
  <c r="N24" i="15"/>
  <c r="O23" i="15"/>
  <c r="N23" i="15"/>
  <c r="O22" i="15"/>
  <c r="N22" i="15"/>
  <c r="O21" i="15"/>
  <c r="N21" i="15"/>
  <c r="O20" i="15"/>
  <c r="N20" i="15"/>
  <c r="O19" i="15"/>
  <c r="N19" i="15"/>
  <c r="O18" i="15"/>
  <c r="N18" i="15"/>
  <c r="O17" i="15"/>
  <c r="N17" i="15"/>
  <c r="O16" i="15"/>
  <c r="N16" i="15"/>
  <c r="O15" i="15"/>
  <c r="N15" i="15"/>
  <c r="O14" i="15"/>
  <c r="N14" i="15"/>
  <c r="O13" i="15"/>
  <c r="N13" i="15"/>
  <c r="O12" i="15"/>
  <c r="N12" i="15"/>
  <c r="O11" i="15"/>
  <c r="N11" i="15"/>
  <c r="O10" i="15"/>
  <c r="N10" i="15"/>
  <c r="O9" i="15"/>
  <c r="N9" i="15"/>
  <c r="O8" i="15"/>
  <c r="N8" i="15"/>
  <c r="O7" i="15"/>
  <c r="N7" i="15"/>
  <c r="O6" i="15"/>
  <c r="N6" i="15"/>
  <c r="O5" i="15"/>
  <c r="N5" i="15"/>
  <c r="O4" i="15"/>
  <c r="F3" i="15"/>
  <c r="N4" i="15"/>
  <c r="A6" i="15"/>
  <c r="A7" i="15"/>
  <c r="A8" i="15"/>
  <c r="A9" i="15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5" i="15"/>
  <c r="F1" i="15"/>
  <c r="B1" i="15"/>
  <c r="E1" i="15" s="1"/>
  <c r="A4" i="15" s="1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Q104" i="5"/>
  <c r="Q103" i="5"/>
  <c r="Q102" i="5"/>
  <c r="Q101" i="5"/>
  <c r="Q100" i="5"/>
  <c r="Q99" i="5"/>
  <c r="Q98" i="5"/>
  <c r="Q97" i="5"/>
  <c r="Q96" i="5"/>
  <c r="Q95" i="5"/>
  <c r="Q94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9" i="5"/>
  <c r="Q68" i="5"/>
  <c r="Q67" i="5"/>
  <c r="Q66" i="5"/>
  <c r="Q65" i="5"/>
  <c r="Q64" i="5"/>
  <c r="Q63" i="5"/>
  <c r="Q62" i="5"/>
  <c r="Q61" i="5"/>
  <c r="Q60" i="5"/>
  <c r="Q59" i="5"/>
  <c r="Q58" i="5"/>
  <c r="Q57" i="5"/>
  <c r="Q56" i="5"/>
  <c r="Q55" i="5"/>
  <c r="Q54" i="5"/>
  <c r="Q53" i="5"/>
  <c r="Q52" i="5"/>
  <c r="Q51" i="5"/>
  <c r="Q50" i="5"/>
  <c r="Q49" i="5"/>
  <c r="Q48" i="5"/>
  <c r="Q47" i="5"/>
  <c r="Q46" i="5"/>
  <c r="Q45" i="5"/>
  <c r="Q44" i="5"/>
  <c r="Q43" i="5"/>
  <c r="Q42" i="5"/>
  <c r="Q41" i="5"/>
  <c r="Q40" i="5"/>
  <c r="Q39" i="5"/>
  <c r="Q38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A5" i="19" l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C2" i="18"/>
  <c r="A8" i="17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O70" i="16"/>
  <c r="O72" i="16"/>
  <c r="O74" i="16"/>
  <c r="O76" i="16"/>
  <c r="O78" i="16"/>
  <c r="O80" i="16"/>
  <c r="O82" i="16"/>
  <c r="O84" i="16"/>
  <c r="O86" i="16"/>
  <c r="O88" i="16"/>
  <c r="O90" i="16"/>
  <c r="O92" i="16"/>
  <c r="O94" i="16"/>
  <c r="O96" i="16"/>
  <c r="O98" i="16"/>
  <c r="O100" i="16"/>
  <c r="O102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C2" i="15"/>
  <c r="C2" i="19" l="1"/>
  <c r="C2" i="17"/>
  <c r="C2" i="16"/>
  <c r="C1" i="14" l="1"/>
  <c r="C1" i="13"/>
  <c r="F1" i="13" s="1"/>
  <c r="C1" i="12"/>
  <c r="D1" i="12" s="1"/>
  <c r="F1" i="14"/>
  <c r="E1" i="14"/>
  <c r="B4" i="14" s="1"/>
  <c r="A4" i="14" s="1"/>
  <c r="F1" i="12"/>
  <c r="E1" i="12"/>
  <c r="B4" i="12"/>
  <c r="A4" i="12" s="1"/>
  <c r="C1" i="11"/>
  <c r="C1" i="10"/>
  <c r="A4" i="5"/>
  <c r="A4" i="6"/>
  <c r="C1" i="9"/>
  <c r="F1" i="9" s="1"/>
  <c r="F1" i="10" l="1"/>
  <c r="E1" i="10"/>
  <c r="B4" i="10" s="1"/>
  <c r="E1" i="13"/>
  <c r="B4" i="13" s="1"/>
  <c r="B5" i="14"/>
  <c r="A5" i="14" s="1"/>
  <c r="B5" i="12"/>
  <c r="A5" i="12" s="1"/>
  <c r="E1" i="11"/>
  <c r="B4" i="11" s="1"/>
  <c r="F1" i="11"/>
  <c r="E1" i="9"/>
  <c r="B4" i="9" s="1"/>
  <c r="B4" i="7"/>
  <c r="A4" i="7" s="1"/>
  <c r="F1" i="7"/>
  <c r="E1" i="7"/>
  <c r="C1" i="7"/>
  <c r="F1" i="5"/>
  <c r="E1" i="5"/>
  <c r="B5" i="6"/>
  <c r="A5" i="6" s="1"/>
  <c r="F1" i="6"/>
  <c r="E1" i="6"/>
  <c r="C1" i="6"/>
  <c r="B5" i="10" l="1"/>
  <c r="A4" i="10"/>
  <c r="B5" i="7"/>
  <c r="B5" i="13"/>
  <c r="A5" i="13" s="1"/>
  <c r="A4" i="13"/>
  <c r="B6" i="6"/>
  <c r="B5" i="9"/>
  <c r="A4" i="9"/>
  <c r="B6" i="14"/>
  <c r="A6" i="14" s="1"/>
  <c r="B6" i="12"/>
  <c r="A6" i="12" s="1"/>
  <c r="B5" i="11"/>
  <c r="A4" i="11"/>
  <c r="B5" i="5"/>
  <c r="A5" i="5" s="1"/>
  <c r="C1" i="5"/>
  <c r="A6" i="6" l="1"/>
  <c r="B7" i="6"/>
  <c r="B6" i="5"/>
  <c r="B6" i="13"/>
  <c r="A5" i="7"/>
  <c r="B6" i="7"/>
  <c r="B6" i="9"/>
  <c r="A5" i="9"/>
  <c r="A5" i="10"/>
  <c r="B6" i="10"/>
  <c r="B7" i="14"/>
  <c r="A7" i="14" s="1"/>
  <c r="B7" i="12"/>
  <c r="A7" i="12" s="1"/>
  <c r="A5" i="11"/>
  <c r="B6" i="11"/>
  <c r="P2" i="1"/>
  <c r="A6" i="10" l="1"/>
  <c r="B7" i="10"/>
  <c r="A6" i="13"/>
  <c r="B7" i="13"/>
  <c r="A6" i="5"/>
  <c r="B7" i="5"/>
  <c r="B8" i="6"/>
  <c r="A7" i="6"/>
  <c r="B7" i="9"/>
  <c r="A6" i="9"/>
  <c r="A6" i="7"/>
  <c r="B7" i="7"/>
  <c r="B8" i="14"/>
  <c r="A8" i="14" s="1"/>
  <c r="B8" i="12"/>
  <c r="A8" i="12" s="1"/>
  <c r="B7" i="11"/>
  <c r="A6" i="11"/>
  <c r="B20" i="1"/>
  <c r="C20" i="1" s="1"/>
  <c r="D20" i="1" s="1"/>
  <c r="E20" i="1" s="1"/>
  <c r="F20" i="1" s="1"/>
  <c r="G20" i="1" s="1"/>
  <c r="H20" i="1" s="1"/>
  <c r="I20" i="1" s="1"/>
  <c r="J20" i="1" s="1"/>
  <c r="K20" i="1" s="1"/>
  <c r="L20" i="1" s="1"/>
  <c r="M20" i="1" s="1"/>
  <c r="N20" i="1" s="1"/>
  <c r="O20" i="1" s="1"/>
  <c r="P20" i="1" s="1"/>
  <c r="Q20" i="1" s="1"/>
  <c r="R20" i="1" s="1"/>
  <c r="S20" i="1" s="1"/>
  <c r="T20" i="1" s="1"/>
  <c r="U20" i="1" s="1"/>
  <c r="V20" i="1" s="1"/>
  <c r="W20" i="1" s="1"/>
  <c r="X20" i="1" s="1"/>
  <c r="Y20" i="1" s="1"/>
  <c r="Z20" i="1" s="1"/>
  <c r="AA20" i="1" s="1"/>
  <c r="AB20" i="1" s="1"/>
  <c r="AC20" i="1" s="1"/>
  <c r="AD20" i="1" s="1"/>
  <c r="AE20" i="1" s="1"/>
  <c r="AF20" i="1" s="1"/>
  <c r="P9" i="1"/>
  <c r="P8" i="1"/>
  <c r="P7" i="1"/>
  <c r="P6" i="1"/>
  <c r="P5" i="1"/>
  <c r="P4" i="1"/>
  <c r="P3" i="1"/>
  <c r="B9" i="6" l="1"/>
  <c r="A8" i="6"/>
  <c r="A7" i="13"/>
  <c r="B8" i="13"/>
  <c r="B8" i="10"/>
  <c r="A7" i="10"/>
  <c r="B8" i="7"/>
  <c r="A7" i="7"/>
  <c r="B8" i="9"/>
  <c r="A7" i="9"/>
  <c r="A7" i="5"/>
  <c r="B8" i="5"/>
  <c r="B9" i="14"/>
  <c r="A9" i="14" s="1"/>
  <c r="B9" i="12"/>
  <c r="A9" i="12" s="1"/>
  <c r="B8" i="11"/>
  <c r="A7" i="11"/>
  <c r="R2" i="1"/>
  <c r="T8" i="1"/>
  <c r="T7" i="1"/>
  <c r="T6" i="1"/>
  <c r="T5" i="1"/>
  <c r="T4" i="1"/>
  <c r="T3" i="1"/>
  <c r="T2" i="1"/>
  <c r="G2" i="1"/>
  <c r="R8" i="1"/>
  <c r="R7" i="1"/>
  <c r="R6" i="1"/>
  <c r="R5" i="1"/>
  <c r="R4" i="1"/>
  <c r="R3" i="1"/>
  <c r="O9" i="1"/>
  <c r="O8" i="1"/>
  <c r="O7" i="1"/>
  <c r="O6" i="1"/>
  <c r="O5" i="1"/>
  <c r="O4" i="1"/>
  <c r="O3" i="1"/>
  <c r="O2" i="1"/>
  <c r="L9" i="1"/>
  <c r="L8" i="1"/>
  <c r="L7" i="1"/>
  <c r="L6" i="1"/>
  <c r="L5" i="1"/>
  <c r="L4" i="1"/>
  <c r="L3" i="1"/>
  <c r="L2" i="1"/>
  <c r="M9" i="1"/>
  <c r="M8" i="1"/>
  <c r="M7" i="1"/>
  <c r="M6" i="1"/>
  <c r="M5" i="1"/>
  <c r="M4" i="1"/>
  <c r="M3" i="1"/>
  <c r="B9" i="9" l="1"/>
  <c r="A8" i="9"/>
  <c r="A8" i="5"/>
  <c r="B9" i="5"/>
  <c r="B9" i="10"/>
  <c r="A8" i="10"/>
  <c r="B9" i="7"/>
  <c r="A8" i="7"/>
  <c r="A8" i="13"/>
  <c r="B9" i="13"/>
  <c r="B10" i="6"/>
  <c r="A9" i="6"/>
  <c r="B10" i="14"/>
  <c r="A10" i="14" s="1"/>
  <c r="B10" i="12"/>
  <c r="A10" i="12" s="1"/>
  <c r="A8" i="11"/>
  <c r="B9" i="11"/>
  <c r="B10" i="7" l="1"/>
  <c r="A9" i="7"/>
  <c r="B11" i="6"/>
  <c r="A10" i="6"/>
  <c r="B10" i="5"/>
  <c r="A9" i="5"/>
  <c r="A9" i="13"/>
  <c r="B10" i="13"/>
  <c r="B10" i="9"/>
  <c r="A9" i="9"/>
  <c r="B10" i="10"/>
  <c r="A9" i="10"/>
  <c r="B11" i="14"/>
  <c r="A11" i="14" s="1"/>
  <c r="B11" i="12"/>
  <c r="A11" i="12" s="1"/>
  <c r="A9" i="11"/>
  <c r="B10" i="11"/>
  <c r="B11" i="10" l="1"/>
  <c r="A10" i="10"/>
  <c r="A10" i="13"/>
  <c r="B11" i="13"/>
  <c r="B11" i="7"/>
  <c r="A10" i="7"/>
  <c r="A11" i="6"/>
  <c r="B12" i="6"/>
  <c r="B11" i="9"/>
  <c r="A10" i="9"/>
  <c r="B11" i="5"/>
  <c r="A10" i="5"/>
  <c r="B12" i="14"/>
  <c r="A12" i="14" s="1"/>
  <c r="B12" i="12"/>
  <c r="A12" i="12" s="1"/>
  <c r="B11" i="11"/>
  <c r="A10" i="11"/>
  <c r="B13" i="6" l="1"/>
  <c r="A12" i="6"/>
  <c r="B12" i="5"/>
  <c r="A11" i="5"/>
  <c r="B12" i="7"/>
  <c r="A11" i="7"/>
  <c r="B12" i="10"/>
  <c r="A11" i="10"/>
  <c r="A11" i="13"/>
  <c r="B12" i="13"/>
  <c r="B12" i="9"/>
  <c r="A11" i="9"/>
  <c r="B13" i="14"/>
  <c r="A13" i="14" s="1"/>
  <c r="B13" i="12"/>
  <c r="A13" i="12" s="1"/>
  <c r="B12" i="11"/>
  <c r="A11" i="11"/>
  <c r="B13" i="7" l="1"/>
  <c r="A12" i="7"/>
  <c r="B13" i="9"/>
  <c r="A12" i="9"/>
  <c r="B13" i="10"/>
  <c r="A12" i="10"/>
  <c r="B13" i="5"/>
  <c r="A12" i="5"/>
  <c r="A12" i="13"/>
  <c r="B13" i="13"/>
  <c r="B14" i="6"/>
  <c r="A13" i="6"/>
  <c r="B14" i="14"/>
  <c r="A14" i="14" s="1"/>
  <c r="B14" i="12"/>
  <c r="A14" i="12" s="1"/>
  <c r="B13" i="11"/>
  <c r="A12" i="11"/>
  <c r="B15" i="6" l="1"/>
  <c r="A14" i="6"/>
  <c r="B14" i="5"/>
  <c r="A13" i="5"/>
  <c r="B14" i="9"/>
  <c r="A13" i="9"/>
  <c r="A13" i="13"/>
  <c r="B14" i="13"/>
  <c r="A13" i="10"/>
  <c r="B14" i="10"/>
  <c r="B14" i="7"/>
  <c r="A13" i="7"/>
  <c r="B15" i="14"/>
  <c r="A15" i="14" s="1"/>
  <c r="B15" i="12"/>
  <c r="A15" i="12" s="1"/>
  <c r="A13" i="11"/>
  <c r="B14" i="11"/>
  <c r="A14" i="13" l="1"/>
  <c r="B15" i="13"/>
  <c r="B15" i="5"/>
  <c r="A14" i="5"/>
  <c r="A14" i="10"/>
  <c r="B15" i="10"/>
  <c r="B15" i="7"/>
  <c r="A14" i="7"/>
  <c r="B15" i="9"/>
  <c r="A14" i="9"/>
  <c r="B16" i="6"/>
  <c r="A15" i="6"/>
  <c r="B16" i="14"/>
  <c r="A16" i="14" s="1"/>
  <c r="B16" i="12"/>
  <c r="A16" i="12" s="1"/>
  <c r="B15" i="11"/>
  <c r="A14" i="11"/>
  <c r="B17" i="6" l="1"/>
  <c r="A16" i="6"/>
  <c r="B16" i="5"/>
  <c r="A15" i="5"/>
  <c r="B16" i="7"/>
  <c r="A15" i="7"/>
  <c r="B16" i="9"/>
  <c r="A15" i="9"/>
  <c r="B16" i="10"/>
  <c r="A15" i="10"/>
  <c r="A15" i="13"/>
  <c r="B16" i="13"/>
  <c r="B17" i="14"/>
  <c r="A17" i="14" s="1"/>
  <c r="B17" i="12"/>
  <c r="A17" i="12" s="1"/>
  <c r="A15" i="11"/>
  <c r="B16" i="11"/>
  <c r="A16" i="13" l="1"/>
  <c r="B17" i="13"/>
  <c r="B17" i="9"/>
  <c r="A16" i="9"/>
  <c r="B17" i="5"/>
  <c r="A16" i="5"/>
  <c r="B17" i="10"/>
  <c r="A16" i="10"/>
  <c r="B17" i="7"/>
  <c r="A16" i="7"/>
  <c r="B18" i="6"/>
  <c r="A17" i="6"/>
  <c r="B18" i="14"/>
  <c r="A18" i="14" s="1"/>
  <c r="B18" i="12"/>
  <c r="A18" i="12" s="1"/>
  <c r="B17" i="11"/>
  <c r="A16" i="11"/>
  <c r="B19" i="6" l="1"/>
  <c r="A18" i="6"/>
  <c r="A17" i="10"/>
  <c r="B18" i="10"/>
  <c r="B18" i="9"/>
  <c r="A17" i="9"/>
  <c r="A17" i="13"/>
  <c r="B18" i="13"/>
  <c r="B18" i="7"/>
  <c r="A17" i="7"/>
  <c r="B18" i="5"/>
  <c r="A17" i="5"/>
  <c r="B19" i="14"/>
  <c r="A19" i="14" s="1"/>
  <c r="B19" i="12"/>
  <c r="A19" i="12" s="1"/>
  <c r="B18" i="11"/>
  <c r="A17" i="11"/>
  <c r="A18" i="13" l="1"/>
  <c r="B19" i="13"/>
  <c r="A18" i="10"/>
  <c r="B19" i="10"/>
  <c r="B19" i="5"/>
  <c r="A18" i="5"/>
  <c r="B19" i="7"/>
  <c r="A18" i="7"/>
  <c r="B19" i="9"/>
  <c r="A18" i="9"/>
  <c r="B20" i="6"/>
  <c r="A19" i="6"/>
  <c r="B20" i="14"/>
  <c r="A20" i="14" s="1"/>
  <c r="B20" i="12"/>
  <c r="A20" i="12" s="1"/>
  <c r="B19" i="11"/>
  <c r="A18" i="11"/>
  <c r="B20" i="10" l="1"/>
  <c r="A19" i="10"/>
  <c r="B21" i="6"/>
  <c r="A20" i="6"/>
  <c r="A19" i="13"/>
  <c r="B20" i="13"/>
  <c r="B20" i="7"/>
  <c r="A19" i="7"/>
  <c r="B20" i="9"/>
  <c r="A19" i="9"/>
  <c r="B20" i="5"/>
  <c r="A19" i="5"/>
  <c r="B21" i="14"/>
  <c r="A21" i="14" s="1"/>
  <c r="B21" i="12"/>
  <c r="A21" i="12" s="1"/>
  <c r="A19" i="11"/>
  <c r="B20" i="11"/>
  <c r="B21" i="5" l="1"/>
  <c r="A20" i="5"/>
  <c r="B21" i="7"/>
  <c r="A20" i="7"/>
  <c r="B22" i="6"/>
  <c r="A21" i="6"/>
  <c r="A20" i="13"/>
  <c r="B21" i="13"/>
  <c r="B21" i="9"/>
  <c r="A20" i="9"/>
  <c r="A20" i="10"/>
  <c r="B21" i="10"/>
  <c r="B22" i="14"/>
  <c r="A22" i="14" s="1"/>
  <c r="B22" i="12"/>
  <c r="A22" i="12" s="1"/>
  <c r="A20" i="11"/>
  <c r="B21" i="11"/>
  <c r="A21" i="10" l="1"/>
  <c r="B22" i="10"/>
  <c r="A21" i="13"/>
  <c r="B22" i="13"/>
  <c r="B22" i="7"/>
  <c r="A21" i="7"/>
  <c r="B22" i="9"/>
  <c r="A21" i="9"/>
  <c r="B23" i="6"/>
  <c r="A22" i="6"/>
  <c r="B22" i="5"/>
  <c r="A21" i="5"/>
  <c r="B23" i="14"/>
  <c r="A23" i="14" s="1"/>
  <c r="B23" i="12"/>
  <c r="A23" i="12" s="1"/>
  <c r="A21" i="11"/>
  <c r="B22" i="11"/>
  <c r="A22" i="13" l="1"/>
  <c r="B23" i="13"/>
  <c r="B23" i="9"/>
  <c r="A22" i="9"/>
  <c r="B23" i="10"/>
  <c r="A22" i="10"/>
  <c r="B23" i="5"/>
  <c r="A22" i="5"/>
  <c r="B24" i="6"/>
  <c r="A23" i="6"/>
  <c r="B23" i="7"/>
  <c r="A22" i="7"/>
  <c r="B24" i="14"/>
  <c r="A24" i="14" s="1"/>
  <c r="B24" i="12"/>
  <c r="A24" i="12" s="1"/>
  <c r="A22" i="11"/>
  <c r="B23" i="11"/>
  <c r="B24" i="7" l="1"/>
  <c r="A23" i="7"/>
  <c r="B24" i="9"/>
  <c r="A23" i="9"/>
  <c r="B24" i="5"/>
  <c r="A23" i="5"/>
  <c r="A23" i="13"/>
  <c r="B24" i="13"/>
  <c r="B25" i="6"/>
  <c r="A24" i="6"/>
  <c r="A23" i="10"/>
  <c r="B24" i="10"/>
  <c r="B25" i="14"/>
  <c r="A25" i="14" s="1"/>
  <c r="B25" i="12"/>
  <c r="A25" i="12" s="1"/>
  <c r="B24" i="11"/>
  <c r="A23" i="11"/>
  <c r="A24" i="10" l="1"/>
  <c r="B25" i="10"/>
  <c r="A24" i="13"/>
  <c r="B25" i="13"/>
  <c r="B25" i="9"/>
  <c r="A24" i="9"/>
  <c r="B26" i="6"/>
  <c r="A25" i="6"/>
  <c r="B25" i="5"/>
  <c r="A24" i="5"/>
  <c r="B25" i="7"/>
  <c r="A24" i="7"/>
  <c r="B26" i="14"/>
  <c r="A26" i="14" s="1"/>
  <c r="B26" i="12"/>
  <c r="A26" i="12" s="1"/>
  <c r="A24" i="11"/>
  <c r="B25" i="11"/>
  <c r="A25" i="13" l="1"/>
  <c r="B26" i="13"/>
  <c r="B26" i="7"/>
  <c r="A25" i="7"/>
  <c r="B26" i="10"/>
  <c r="A25" i="10"/>
  <c r="B27" i="6"/>
  <c r="A26" i="6"/>
  <c r="B26" i="5"/>
  <c r="A25" i="5"/>
  <c r="B26" i="9"/>
  <c r="A25" i="9"/>
  <c r="B27" i="14"/>
  <c r="A27" i="14" s="1"/>
  <c r="B27" i="12"/>
  <c r="A27" i="12" s="1"/>
  <c r="A25" i="11"/>
  <c r="B26" i="11"/>
  <c r="B27" i="9" l="1"/>
  <c r="A26" i="9"/>
  <c r="B28" i="6"/>
  <c r="A27" i="6"/>
  <c r="B27" i="7"/>
  <c r="A26" i="7"/>
  <c r="A26" i="13"/>
  <c r="B27" i="13"/>
  <c r="B27" i="5"/>
  <c r="A26" i="5"/>
  <c r="A26" i="10"/>
  <c r="B27" i="10"/>
  <c r="B28" i="14"/>
  <c r="A28" i="14" s="1"/>
  <c r="B28" i="12"/>
  <c r="A28" i="12" s="1"/>
  <c r="A26" i="11"/>
  <c r="B27" i="11"/>
  <c r="B28" i="10" l="1"/>
  <c r="A27" i="10"/>
  <c r="A27" i="13"/>
  <c r="B28" i="13"/>
  <c r="B29" i="6"/>
  <c r="A28" i="6"/>
  <c r="B28" i="5"/>
  <c r="A27" i="5"/>
  <c r="B28" i="7"/>
  <c r="A27" i="7"/>
  <c r="B28" i="9"/>
  <c r="A27" i="9"/>
  <c r="B29" i="14"/>
  <c r="A29" i="14" s="1"/>
  <c r="B29" i="12"/>
  <c r="A29" i="12" s="1"/>
  <c r="B28" i="11"/>
  <c r="A27" i="11"/>
  <c r="A28" i="13" l="1"/>
  <c r="B29" i="13"/>
  <c r="B29" i="9"/>
  <c r="A28" i="9"/>
  <c r="A28" i="5"/>
  <c r="B29" i="5"/>
  <c r="B29" i="7"/>
  <c r="A28" i="7"/>
  <c r="B30" i="6"/>
  <c r="A29" i="6"/>
  <c r="A28" i="10"/>
  <c r="B29" i="10"/>
  <c r="B30" i="14"/>
  <c r="A30" i="14" s="1"/>
  <c r="B30" i="12"/>
  <c r="A30" i="12" s="1"/>
  <c r="A28" i="11"/>
  <c r="B29" i="11"/>
  <c r="A29" i="5" l="1"/>
  <c r="B30" i="5"/>
  <c r="A29" i="13"/>
  <c r="B30" i="13"/>
  <c r="B30" i="10"/>
  <c r="A29" i="10"/>
  <c r="B30" i="7"/>
  <c r="A29" i="7"/>
  <c r="B30" i="9"/>
  <c r="A29" i="9"/>
  <c r="B31" i="6"/>
  <c r="A30" i="6"/>
  <c r="B31" i="14"/>
  <c r="A31" i="14" s="1"/>
  <c r="B31" i="12"/>
  <c r="A31" i="12" s="1"/>
  <c r="A29" i="11"/>
  <c r="B30" i="11"/>
  <c r="B32" i="6" l="1"/>
  <c r="A31" i="6"/>
  <c r="B31" i="7"/>
  <c r="A30" i="7"/>
  <c r="A30" i="13"/>
  <c r="B31" i="13"/>
  <c r="B31" i="5"/>
  <c r="A30" i="5"/>
  <c r="B31" i="9"/>
  <c r="A30" i="9"/>
  <c r="B31" i="10"/>
  <c r="A30" i="10"/>
  <c r="B32" i="14"/>
  <c r="A32" i="14" s="1"/>
  <c r="B32" i="12"/>
  <c r="A32" i="12" s="1"/>
  <c r="A30" i="11"/>
  <c r="B31" i="11"/>
  <c r="B32" i="9" l="1"/>
  <c r="A31" i="9"/>
  <c r="B33" i="6"/>
  <c r="A32" i="6"/>
  <c r="B32" i="10"/>
  <c r="A31" i="10"/>
  <c r="B32" i="5"/>
  <c r="A31" i="5"/>
  <c r="B32" i="7"/>
  <c r="A31" i="7"/>
  <c r="A31" i="13"/>
  <c r="B32" i="13"/>
  <c r="B33" i="14"/>
  <c r="A33" i="14" s="1"/>
  <c r="B33" i="12"/>
  <c r="A33" i="12" s="1"/>
  <c r="B32" i="11"/>
  <c r="A31" i="11"/>
  <c r="B33" i="7" l="1"/>
  <c r="A32" i="7"/>
  <c r="A32" i="10"/>
  <c r="B33" i="10"/>
  <c r="B33" i="9"/>
  <c r="A32" i="9"/>
  <c r="A32" i="13"/>
  <c r="B33" i="13"/>
  <c r="B33" i="5"/>
  <c r="A32" i="5"/>
  <c r="B34" i="6"/>
  <c r="A33" i="6"/>
  <c r="B34" i="14"/>
  <c r="A34" i="14" s="1"/>
  <c r="B34" i="12"/>
  <c r="A34" i="12" s="1"/>
  <c r="A32" i="11"/>
  <c r="B33" i="11"/>
  <c r="B34" i="5" l="1"/>
  <c r="A33" i="5"/>
  <c r="B34" i="9"/>
  <c r="A33" i="9"/>
  <c r="B34" i="7"/>
  <c r="A33" i="7"/>
  <c r="A33" i="13"/>
  <c r="B34" i="13"/>
  <c r="B34" i="10"/>
  <c r="A33" i="10"/>
  <c r="B35" i="6"/>
  <c r="A34" i="6"/>
  <c r="B35" i="14"/>
  <c r="A35" i="14" s="1"/>
  <c r="B35" i="12"/>
  <c r="A35" i="12" s="1"/>
  <c r="B34" i="11"/>
  <c r="A33" i="11"/>
  <c r="A34" i="10" l="1"/>
  <c r="B35" i="10"/>
  <c r="B35" i="7"/>
  <c r="A34" i="7"/>
  <c r="B35" i="5"/>
  <c r="A34" i="5"/>
  <c r="A34" i="13"/>
  <c r="B35" i="13"/>
  <c r="B36" i="6"/>
  <c r="A35" i="6"/>
  <c r="B35" i="9"/>
  <c r="A34" i="9"/>
  <c r="B36" i="14"/>
  <c r="A36" i="14" s="1"/>
  <c r="B36" i="12"/>
  <c r="A36" i="12" s="1"/>
  <c r="A34" i="11"/>
  <c r="B35" i="11"/>
  <c r="B37" i="6" l="1"/>
  <c r="A36" i="6"/>
  <c r="B36" i="5"/>
  <c r="A35" i="5"/>
  <c r="A35" i="13"/>
  <c r="B36" i="13"/>
  <c r="B36" i="9"/>
  <c r="A35" i="9"/>
  <c r="B36" i="7"/>
  <c r="A35" i="7"/>
  <c r="B36" i="10"/>
  <c r="A35" i="10"/>
  <c r="B37" i="14"/>
  <c r="A37" i="14" s="1"/>
  <c r="B37" i="12"/>
  <c r="A37" i="12" s="1"/>
  <c r="B36" i="11"/>
  <c r="A35" i="11"/>
  <c r="B38" i="6" l="1"/>
  <c r="A37" i="6"/>
  <c r="B37" i="7"/>
  <c r="A36" i="7"/>
  <c r="A36" i="10"/>
  <c r="B37" i="10"/>
  <c r="B37" i="9"/>
  <c r="A36" i="9"/>
  <c r="B37" i="5"/>
  <c r="A36" i="5"/>
  <c r="A36" i="13"/>
  <c r="B37" i="13"/>
  <c r="B38" i="14"/>
  <c r="A38" i="14" s="1"/>
  <c r="B38" i="12"/>
  <c r="A38" i="12" s="1"/>
  <c r="A36" i="11"/>
  <c r="B37" i="11"/>
  <c r="B38" i="5" l="1"/>
  <c r="A37" i="5"/>
  <c r="B39" i="6"/>
  <c r="A38" i="6"/>
  <c r="A37" i="13"/>
  <c r="B38" i="13"/>
  <c r="B38" i="9"/>
  <c r="A37" i="9"/>
  <c r="B38" i="7"/>
  <c r="A37" i="7"/>
  <c r="B38" i="10"/>
  <c r="A37" i="10"/>
  <c r="B39" i="14"/>
  <c r="A39" i="14" s="1"/>
  <c r="B39" i="12"/>
  <c r="A39" i="12" s="1"/>
  <c r="B38" i="11"/>
  <c r="A37" i="11"/>
  <c r="B39" i="5" l="1"/>
  <c r="A38" i="5"/>
  <c r="B39" i="7"/>
  <c r="A38" i="7"/>
  <c r="A38" i="10"/>
  <c r="B39" i="10"/>
  <c r="B39" i="9"/>
  <c r="A38" i="9"/>
  <c r="B40" i="6"/>
  <c r="A39" i="6"/>
  <c r="A38" i="13"/>
  <c r="B39" i="13"/>
  <c r="B40" i="14"/>
  <c r="A40" i="14" s="1"/>
  <c r="B40" i="12"/>
  <c r="A40" i="12" s="1"/>
  <c r="A38" i="11"/>
  <c r="B39" i="11"/>
  <c r="B41" i="6" l="1"/>
  <c r="A40" i="6"/>
  <c r="B40" i="5"/>
  <c r="A39" i="5"/>
  <c r="A39" i="13"/>
  <c r="B40" i="13"/>
  <c r="B40" i="9"/>
  <c r="A39" i="9"/>
  <c r="B40" i="7"/>
  <c r="A39" i="7"/>
  <c r="B40" i="10"/>
  <c r="A39" i="10"/>
  <c r="B41" i="14"/>
  <c r="A41" i="14" s="1"/>
  <c r="B41" i="12"/>
  <c r="A41" i="12" s="1"/>
  <c r="B40" i="11"/>
  <c r="A39" i="11"/>
  <c r="B42" i="6" l="1"/>
  <c r="A41" i="6"/>
  <c r="B41" i="7"/>
  <c r="A40" i="7"/>
  <c r="A40" i="10"/>
  <c r="B41" i="10"/>
  <c r="B41" i="9"/>
  <c r="A40" i="9"/>
  <c r="B41" i="5"/>
  <c r="A40" i="5"/>
  <c r="A40" i="13"/>
  <c r="B41" i="13"/>
  <c r="B42" i="14"/>
  <c r="A42" i="14" s="1"/>
  <c r="B42" i="12"/>
  <c r="A42" i="12" s="1"/>
  <c r="A40" i="11"/>
  <c r="B41" i="11"/>
  <c r="B42" i="5" l="1"/>
  <c r="A41" i="5"/>
  <c r="B43" i="6"/>
  <c r="A42" i="6"/>
  <c r="A41" i="13"/>
  <c r="B42" i="13"/>
  <c r="B42" i="9"/>
  <c r="A41" i="9"/>
  <c r="B42" i="7"/>
  <c r="A41" i="7"/>
  <c r="B42" i="10"/>
  <c r="A41" i="10"/>
  <c r="B43" i="14"/>
  <c r="A43" i="14" s="1"/>
  <c r="B43" i="12"/>
  <c r="A43" i="12" s="1"/>
  <c r="B42" i="11"/>
  <c r="A41" i="11"/>
  <c r="B43" i="5" l="1"/>
  <c r="A42" i="5"/>
  <c r="B43" i="7"/>
  <c r="A42" i="7"/>
  <c r="A42" i="10"/>
  <c r="B43" i="10"/>
  <c r="B43" i="9"/>
  <c r="A42" i="9"/>
  <c r="B44" i="6"/>
  <c r="A43" i="6"/>
  <c r="A42" i="13"/>
  <c r="B43" i="13"/>
  <c r="B44" i="14"/>
  <c r="A44" i="14" s="1"/>
  <c r="B44" i="12"/>
  <c r="A44" i="12" s="1"/>
  <c r="A42" i="11"/>
  <c r="B43" i="11"/>
  <c r="B45" i="6" l="1"/>
  <c r="A44" i="6"/>
  <c r="B44" i="5"/>
  <c r="A43" i="5"/>
  <c r="A43" i="13"/>
  <c r="B44" i="13"/>
  <c r="B44" i="9"/>
  <c r="A43" i="9"/>
  <c r="B44" i="7"/>
  <c r="A43" i="7"/>
  <c r="B44" i="10"/>
  <c r="A43" i="10"/>
  <c r="B45" i="14"/>
  <c r="A45" i="14" s="1"/>
  <c r="B45" i="12"/>
  <c r="A45" i="12" s="1"/>
  <c r="B44" i="11"/>
  <c r="A43" i="11"/>
  <c r="B46" i="6" l="1"/>
  <c r="A45" i="6"/>
  <c r="B45" i="7"/>
  <c r="A44" i="7"/>
  <c r="A44" i="10"/>
  <c r="B45" i="10"/>
  <c r="B45" i="9"/>
  <c r="A44" i="9"/>
  <c r="B45" i="5"/>
  <c r="A44" i="5"/>
  <c r="A44" i="13"/>
  <c r="B45" i="13"/>
  <c r="B46" i="14"/>
  <c r="A46" i="14" s="1"/>
  <c r="B46" i="12"/>
  <c r="A46" i="12" s="1"/>
  <c r="A44" i="11"/>
  <c r="B45" i="11"/>
  <c r="B46" i="5" l="1"/>
  <c r="A45" i="5"/>
  <c r="B47" i="6"/>
  <c r="A46" i="6"/>
  <c r="A45" i="13"/>
  <c r="B46" i="13"/>
  <c r="B46" i="9"/>
  <c r="A45" i="9"/>
  <c r="B46" i="7"/>
  <c r="A45" i="7"/>
  <c r="B46" i="10"/>
  <c r="A45" i="10"/>
  <c r="B47" i="14"/>
  <c r="A47" i="14" s="1"/>
  <c r="B47" i="12"/>
  <c r="A47" i="12" s="1"/>
  <c r="B46" i="11"/>
  <c r="A45" i="11"/>
  <c r="B47" i="5" l="1"/>
  <c r="A46" i="5"/>
  <c r="B47" i="7"/>
  <c r="A46" i="7"/>
  <c r="A46" i="10"/>
  <c r="B47" i="10"/>
  <c r="B47" i="9"/>
  <c r="A46" i="9"/>
  <c r="B48" i="6"/>
  <c r="A47" i="6"/>
  <c r="A46" i="13"/>
  <c r="B47" i="13"/>
  <c r="B48" i="14"/>
  <c r="A48" i="14" s="1"/>
  <c r="B48" i="12"/>
  <c r="A48" i="12" s="1"/>
  <c r="A46" i="11"/>
  <c r="B47" i="11"/>
  <c r="B49" i="6" l="1"/>
  <c r="A48" i="6"/>
  <c r="B48" i="5"/>
  <c r="A47" i="5"/>
  <c r="A47" i="13"/>
  <c r="B48" i="13"/>
  <c r="B48" i="9"/>
  <c r="A47" i="9"/>
  <c r="B48" i="7"/>
  <c r="A47" i="7"/>
  <c r="B48" i="10"/>
  <c r="A47" i="10"/>
  <c r="B49" i="14"/>
  <c r="A49" i="14" s="1"/>
  <c r="B49" i="12"/>
  <c r="A49" i="12" s="1"/>
  <c r="A47" i="11"/>
  <c r="B48" i="11"/>
  <c r="B49" i="7" l="1"/>
  <c r="A48" i="7"/>
  <c r="B50" i="6"/>
  <c r="A49" i="6"/>
  <c r="A48" i="10"/>
  <c r="B49" i="10"/>
  <c r="B49" i="9"/>
  <c r="A48" i="9"/>
  <c r="B49" i="5"/>
  <c r="A48" i="5"/>
  <c r="A48" i="13"/>
  <c r="B49" i="13"/>
  <c r="B50" i="14"/>
  <c r="A50" i="14" s="1"/>
  <c r="B50" i="12"/>
  <c r="A50" i="12" s="1"/>
  <c r="A48" i="11"/>
  <c r="B49" i="11"/>
  <c r="B50" i="5" l="1"/>
  <c r="A49" i="5"/>
  <c r="B50" i="7"/>
  <c r="A49" i="7"/>
  <c r="A49" i="13"/>
  <c r="B50" i="13"/>
  <c r="B50" i="9"/>
  <c r="A49" i="9"/>
  <c r="B51" i="6"/>
  <c r="A50" i="6"/>
  <c r="B50" i="10"/>
  <c r="A49" i="10"/>
  <c r="B51" i="14"/>
  <c r="A51" i="14" s="1"/>
  <c r="B51" i="12"/>
  <c r="A51" i="12" s="1"/>
  <c r="B50" i="11"/>
  <c r="A49" i="11"/>
  <c r="B51" i="5" l="1"/>
  <c r="A50" i="5"/>
  <c r="B52" i="6"/>
  <c r="A51" i="6"/>
  <c r="A50" i="10"/>
  <c r="B51" i="10"/>
  <c r="B51" i="9"/>
  <c r="A50" i="9"/>
  <c r="B51" i="7"/>
  <c r="A50" i="7"/>
  <c r="A50" i="13"/>
  <c r="B51" i="13"/>
  <c r="B52" i="14"/>
  <c r="A52" i="14" s="1"/>
  <c r="B52" i="12"/>
  <c r="A52" i="12" s="1"/>
  <c r="A50" i="11"/>
  <c r="B51" i="11"/>
  <c r="A51" i="13" l="1"/>
  <c r="B52" i="13"/>
  <c r="B52" i="9"/>
  <c r="A51" i="9"/>
  <c r="B53" i="6"/>
  <c r="A52" i="6"/>
  <c r="B52" i="10"/>
  <c r="A51" i="10"/>
  <c r="B52" i="7"/>
  <c r="A51" i="7"/>
  <c r="B52" i="5"/>
  <c r="A51" i="5"/>
  <c r="B53" i="14"/>
  <c r="A53" i="14" s="1"/>
  <c r="B53" i="12"/>
  <c r="A53" i="12" s="1"/>
  <c r="B52" i="11"/>
  <c r="A51" i="11"/>
  <c r="B53" i="7" l="1"/>
  <c r="A52" i="7"/>
  <c r="B54" i="6"/>
  <c r="A53" i="6"/>
  <c r="B53" i="5"/>
  <c r="A52" i="5"/>
  <c r="B53" i="10"/>
  <c r="A52" i="10"/>
  <c r="B53" i="9"/>
  <c r="A52" i="9"/>
  <c r="A52" i="13"/>
  <c r="B53" i="13"/>
  <c r="B54" i="14"/>
  <c r="A54" i="14" s="1"/>
  <c r="B54" i="12"/>
  <c r="A54" i="12" s="1"/>
  <c r="A52" i="11"/>
  <c r="B53" i="11"/>
  <c r="A53" i="13" l="1"/>
  <c r="B54" i="13"/>
  <c r="B54" i="10"/>
  <c r="A53" i="10"/>
  <c r="B55" i="6"/>
  <c r="A54" i="6"/>
  <c r="B54" i="9"/>
  <c r="A53" i="9"/>
  <c r="B54" i="5"/>
  <c r="A53" i="5"/>
  <c r="B54" i="7"/>
  <c r="A53" i="7"/>
  <c r="B55" i="14"/>
  <c r="A55" i="14" s="1"/>
  <c r="B55" i="12"/>
  <c r="A55" i="12" s="1"/>
  <c r="B54" i="11"/>
  <c r="A53" i="11"/>
  <c r="B55" i="7" l="1"/>
  <c r="A54" i="7"/>
  <c r="B55" i="9"/>
  <c r="A54" i="9"/>
  <c r="A54" i="10"/>
  <c r="B55" i="10"/>
  <c r="A54" i="13"/>
  <c r="B55" i="13"/>
  <c r="B55" i="5"/>
  <c r="A54" i="5"/>
  <c r="B56" i="6"/>
  <c r="A55" i="6"/>
  <c r="B56" i="14"/>
  <c r="A56" i="14" s="1"/>
  <c r="B56" i="12"/>
  <c r="A56" i="12" s="1"/>
  <c r="A54" i="11"/>
  <c r="B55" i="11"/>
  <c r="B56" i="5" l="1"/>
  <c r="A55" i="5"/>
  <c r="A55" i="13"/>
  <c r="B56" i="13"/>
  <c r="B57" i="6"/>
  <c r="A56" i="6"/>
  <c r="B56" i="9"/>
  <c r="A55" i="9"/>
  <c r="A55" i="10"/>
  <c r="B56" i="10"/>
  <c r="B56" i="7"/>
  <c r="A55" i="7"/>
  <c r="B57" i="14"/>
  <c r="A57" i="14" s="1"/>
  <c r="B57" i="12"/>
  <c r="A57" i="12" s="1"/>
  <c r="B56" i="11"/>
  <c r="A55" i="11"/>
  <c r="B57" i="7" l="1"/>
  <c r="A56" i="7"/>
  <c r="B57" i="9"/>
  <c r="A56" i="9"/>
  <c r="A56" i="13"/>
  <c r="B57" i="13"/>
  <c r="A56" i="10"/>
  <c r="B57" i="10"/>
  <c r="B58" i="6"/>
  <c r="A57" i="6"/>
  <c r="B57" i="5"/>
  <c r="A56" i="5"/>
  <c r="B58" i="14"/>
  <c r="A58" i="14" s="1"/>
  <c r="B58" i="12"/>
  <c r="A58" i="12" s="1"/>
  <c r="A56" i="11"/>
  <c r="B57" i="11"/>
  <c r="B59" i="6" l="1"/>
  <c r="A58" i="6"/>
  <c r="B58" i="10"/>
  <c r="A57" i="10"/>
  <c r="B58" i="5"/>
  <c r="A57" i="5"/>
  <c r="B58" i="9"/>
  <c r="A57" i="9"/>
  <c r="A57" i="13"/>
  <c r="B58" i="13"/>
  <c r="B58" i="7"/>
  <c r="A57" i="7"/>
  <c r="B59" i="14"/>
  <c r="A59" i="14" s="1"/>
  <c r="B59" i="12"/>
  <c r="A59" i="12" s="1"/>
  <c r="B58" i="11"/>
  <c r="A57" i="11"/>
  <c r="B59" i="7" l="1"/>
  <c r="A58" i="7"/>
  <c r="B59" i="9"/>
  <c r="A58" i="9"/>
  <c r="A58" i="10"/>
  <c r="B59" i="10"/>
  <c r="A58" i="13"/>
  <c r="B59" i="13"/>
  <c r="B59" i="5"/>
  <c r="A58" i="5"/>
  <c r="B60" i="6"/>
  <c r="A59" i="6"/>
  <c r="B60" i="14"/>
  <c r="A60" i="14" s="1"/>
  <c r="B60" i="12"/>
  <c r="A60" i="12" s="1"/>
  <c r="A58" i="11"/>
  <c r="B59" i="11"/>
  <c r="B60" i="5" l="1"/>
  <c r="A59" i="5"/>
  <c r="A59" i="13"/>
  <c r="B60" i="13"/>
  <c r="B61" i="6"/>
  <c r="A60" i="6"/>
  <c r="B60" i="9"/>
  <c r="A59" i="9"/>
  <c r="B60" i="10"/>
  <c r="A59" i="10"/>
  <c r="B60" i="7"/>
  <c r="A59" i="7"/>
  <c r="B61" i="14"/>
  <c r="A61" i="14" s="1"/>
  <c r="B61" i="12"/>
  <c r="A61" i="12" s="1"/>
  <c r="B60" i="11"/>
  <c r="A59" i="11"/>
  <c r="A60" i="13" l="1"/>
  <c r="B61" i="13"/>
  <c r="B61" i="7"/>
  <c r="A60" i="7"/>
  <c r="B61" i="9"/>
  <c r="A60" i="9"/>
  <c r="A60" i="10"/>
  <c r="B61" i="10"/>
  <c r="B62" i="6"/>
  <c r="A61" i="6"/>
  <c r="B61" i="5"/>
  <c r="A60" i="5"/>
  <c r="B62" i="14"/>
  <c r="A62" i="14" s="1"/>
  <c r="B62" i="12"/>
  <c r="A62" i="12" s="1"/>
  <c r="A60" i="11"/>
  <c r="B61" i="11"/>
  <c r="A61" i="10" l="1"/>
  <c r="B62" i="10"/>
  <c r="B62" i="5"/>
  <c r="A61" i="5"/>
  <c r="B62" i="7"/>
  <c r="A61" i="7"/>
  <c r="A61" i="13"/>
  <c r="B62" i="13"/>
  <c r="B63" i="6"/>
  <c r="A62" i="6"/>
  <c r="B62" i="9"/>
  <c r="A61" i="9"/>
  <c r="B63" i="14"/>
  <c r="A63" i="14" s="1"/>
  <c r="B63" i="12"/>
  <c r="A63" i="12" s="1"/>
  <c r="B62" i="11"/>
  <c r="A61" i="11"/>
  <c r="B63" i="9" l="1"/>
  <c r="A62" i="9"/>
  <c r="B63" i="5"/>
  <c r="A62" i="5"/>
  <c r="A62" i="13"/>
  <c r="B63" i="13"/>
  <c r="A62" i="10"/>
  <c r="B63" i="10"/>
  <c r="B64" i="6"/>
  <c r="A63" i="6"/>
  <c r="B63" i="7"/>
  <c r="A62" i="7"/>
  <c r="B64" i="14"/>
  <c r="A64" i="14" s="1"/>
  <c r="B64" i="12"/>
  <c r="A64" i="12" s="1"/>
  <c r="A62" i="11"/>
  <c r="B63" i="11"/>
  <c r="A63" i="10" l="1"/>
  <c r="B64" i="10"/>
  <c r="B64" i="5"/>
  <c r="A63" i="5"/>
  <c r="A63" i="13"/>
  <c r="B64" i="13"/>
  <c r="B64" i="7"/>
  <c r="A63" i="7"/>
  <c r="B65" i="6"/>
  <c r="A64" i="6"/>
  <c r="B64" i="9"/>
  <c r="A63" i="9"/>
  <c r="B65" i="14"/>
  <c r="A65" i="14" s="1"/>
  <c r="B65" i="12"/>
  <c r="A65" i="12" s="1"/>
  <c r="B64" i="11"/>
  <c r="A63" i="11"/>
  <c r="B65" i="9" l="1"/>
  <c r="A64" i="9"/>
  <c r="B65" i="7"/>
  <c r="A64" i="7"/>
  <c r="B65" i="5"/>
  <c r="A64" i="5"/>
  <c r="A64" i="13"/>
  <c r="B65" i="13"/>
  <c r="A64" i="10"/>
  <c r="B65" i="10"/>
  <c r="B66" i="6"/>
  <c r="A65" i="6"/>
  <c r="B66" i="14"/>
  <c r="A66" i="14" s="1"/>
  <c r="B66" i="12"/>
  <c r="A66" i="12" s="1"/>
  <c r="A64" i="11"/>
  <c r="B65" i="11"/>
  <c r="A65" i="13" l="1"/>
  <c r="B66" i="13"/>
  <c r="B66" i="10"/>
  <c r="A65" i="10"/>
  <c r="B67" i="6"/>
  <c r="A66" i="6"/>
  <c r="B66" i="7"/>
  <c r="A65" i="7"/>
  <c r="B66" i="5"/>
  <c r="A65" i="5"/>
  <c r="B66" i="9"/>
  <c r="A65" i="9"/>
  <c r="B67" i="14"/>
  <c r="A67" i="14" s="1"/>
  <c r="B67" i="12"/>
  <c r="A67" i="12" s="1"/>
  <c r="B66" i="11"/>
  <c r="A65" i="11"/>
  <c r="B67" i="5" l="1"/>
  <c r="A66" i="5"/>
  <c r="B68" i="6"/>
  <c r="A67" i="6"/>
  <c r="B67" i="9"/>
  <c r="A66" i="9"/>
  <c r="B67" i="7"/>
  <c r="A66" i="7"/>
  <c r="A66" i="10"/>
  <c r="B67" i="10"/>
  <c r="A66" i="13"/>
  <c r="B67" i="13"/>
  <c r="B68" i="14"/>
  <c r="A68" i="14" s="1"/>
  <c r="B68" i="12"/>
  <c r="A68" i="12" s="1"/>
  <c r="A66" i="11"/>
  <c r="B67" i="11"/>
  <c r="A67" i="13" l="1"/>
  <c r="B68" i="13"/>
  <c r="B68" i="7"/>
  <c r="A67" i="7"/>
  <c r="B69" i="6"/>
  <c r="A68" i="6"/>
  <c r="B68" i="10"/>
  <c r="A67" i="10"/>
  <c r="B68" i="9"/>
  <c r="A67" i="9"/>
  <c r="B68" i="5"/>
  <c r="A67" i="5"/>
  <c r="B69" i="14"/>
  <c r="A69" i="14" s="1"/>
  <c r="B69" i="12"/>
  <c r="A69" i="12" s="1"/>
  <c r="B68" i="11"/>
  <c r="A67" i="11"/>
  <c r="B69" i="5" l="1"/>
  <c r="A68" i="5"/>
  <c r="A68" i="10"/>
  <c r="B69" i="10"/>
  <c r="B69" i="7"/>
  <c r="A68" i="7"/>
  <c r="A68" i="13"/>
  <c r="B69" i="13"/>
  <c r="B69" i="9"/>
  <c r="A68" i="9"/>
  <c r="B70" i="6"/>
  <c r="A69" i="6"/>
  <c r="B70" i="14"/>
  <c r="A70" i="14" s="1"/>
  <c r="B70" i="12"/>
  <c r="A70" i="12" s="1"/>
  <c r="A68" i="11"/>
  <c r="B69" i="11"/>
  <c r="A69" i="13" l="1"/>
  <c r="B70" i="13"/>
  <c r="B70" i="10"/>
  <c r="A69" i="10"/>
  <c r="B71" i="6"/>
  <c r="A70" i="6"/>
  <c r="B70" i="9"/>
  <c r="A69" i="9"/>
  <c r="B70" i="7"/>
  <c r="A69" i="7"/>
  <c r="B70" i="5"/>
  <c r="A69" i="5"/>
  <c r="B71" i="14"/>
  <c r="A71" i="14" s="1"/>
  <c r="B71" i="12"/>
  <c r="A71" i="12" s="1"/>
  <c r="B70" i="11"/>
  <c r="A69" i="11"/>
  <c r="B71" i="5" l="1"/>
  <c r="A70" i="5"/>
  <c r="B71" i="9"/>
  <c r="A70" i="9"/>
  <c r="A70" i="10"/>
  <c r="B71" i="10"/>
  <c r="A70" i="13"/>
  <c r="B71" i="13"/>
  <c r="B71" i="7"/>
  <c r="A70" i="7"/>
  <c r="B72" i="6"/>
  <c r="A71" i="6"/>
  <c r="B72" i="14"/>
  <c r="A72" i="14" s="1"/>
  <c r="B72" i="12"/>
  <c r="A72" i="12" s="1"/>
  <c r="A70" i="11"/>
  <c r="B71" i="11"/>
  <c r="B72" i="9" l="1"/>
  <c r="A71" i="9"/>
  <c r="B72" i="10"/>
  <c r="A71" i="10"/>
  <c r="A71" i="13"/>
  <c r="B72" i="13"/>
  <c r="B73" i="6"/>
  <c r="A72" i="6"/>
  <c r="B72" i="7"/>
  <c r="A71" i="7"/>
  <c r="B72" i="5"/>
  <c r="A71" i="5"/>
  <c r="B73" i="14"/>
  <c r="A73" i="14" s="1"/>
  <c r="B73" i="12"/>
  <c r="A73" i="12" s="1"/>
  <c r="B72" i="11"/>
  <c r="A71" i="11"/>
  <c r="B73" i="5" l="1"/>
  <c r="A72" i="5"/>
  <c r="B74" i="6"/>
  <c r="A73" i="6"/>
  <c r="A72" i="10"/>
  <c r="B73" i="10"/>
  <c r="A72" i="13"/>
  <c r="B73" i="13"/>
  <c r="B73" i="7"/>
  <c r="A72" i="7"/>
  <c r="B73" i="9"/>
  <c r="A72" i="9"/>
  <c r="B74" i="14"/>
  <c r="A74" i="14" s="1"/>
  <c r="B74" i="12"/>
  <c r="A74" i="12" s="1"/>
  <c r="A72" i="11"/>
  <c r="B73" i="11"/>
  <c r="B74" i="9" l="1"/>
  <c r="A73" i="9"/>
  <c r="B75" i="6"/>
  <c r="A74" i="6"/>
  <c r="A73" i="10"/>
  <c r="B74" i="10"/>
  <c r="A73" i="13"/>
  <c r="B74" i="13"/>
  <c r="B74" i="7"/>
  <c r="A73" i="7"/>
  <c r="B74" i="5"/>
  <c r="A73" i="5"/>
  <c r="B75" i="14"/>
  <c r="A75" i="14" s="1"/>
  <c r="B75" i="12"/>
  <c r="A75" i="12" s="1"/>
  <c r="B74" i="11"/>
  <c r="A73" i="11"/>
  <c r="A74" i="13" l="1"/>
  <c r="B75" i="13"/>
  <c r="B75" i="5"/>
  <c r="A74" i="5"/>
  <c r="B76" i="6"/>
  <c r="A75" i="6"/>
  <c r="A74" i="10"/>
  <c r="B75" i="10"/>
  <c r="B75" i="7"/>
  <c r="A74" i="7"/>
  <c r="B75" i="9"/>
  <c r="A74" i="9"/>
  <c r="B76" i="14"/>
  <c r="A76" i="14" s="1"/>
  <c r="B76" i="12"/>
  <c r="A76" i="12" s="1"/>
  <c r="A74" i="11"/>
  <c r="B75" i="11"/>
  <c r="B76" i="10" l="1"/>
  <c r="A75" i="10"/>
  <c r="B76" i="5"/>
  <c r="A75" i="5"/>
  <c r="A75" i="13"/>
  <c r="B76" i="13"/>
  <c r="B76" i="9"/>
  <c r="A75" i="9"/>
  <c r="B76" i="7"/>
  <c r="A75" i="7"/>
  <c r="B77" i="6"/>
  <c r="A76" i="6"/>
  <c r="B77" i="14"/>
  <c r="A77" i="14" s="1"/>
  <c r="B77" i="12"/>
  <c r="A77" i="12" s="1"/>
  <c r="B76" i="11"/>
  <c r="A75" i="11"/>
  <c r="B78" i="6" l="1"/>
  <c r="A77" i="6"/>
  <c r="B77" i="9"/>
  <c r="A76" i="9"/>
  <c r="B77" i="5"/>
  <c r="A76" i="5"/>
  <c r="A76" i="13"/>
  <c r="B77" i="13"/>
  <c r="B77" i="7"/>
  <c r="A76" i="7"/>
  <c r="A76" i="10"/>
  <c r="B77" i="10"/>
  <c r="B78" i="14"/>
  <c r="A78" i="14" s="1"/>
  <c r="B78" i="12"/>
  <c r="A78" i="12" s="1"/>
  <c r="A76" i="11"/>
  <c r="B77" i="11"/>
  <c r="B78" i="10" l="1"/>
  <c r="A77" i="10"/>
  <c r="A77" i="13"/>
  <c r="B78" i="13"/>
  <c r="B78" i="9"/>
  <c r="A77" i="9"/>
  <c r="B78" i="7"/>
  <c r="A77" i="7"/>
  <c r="B78" i="5"/>
  <c r="A77" i="5"/>
  <c r="B79" i="6"/>
  <c r="A78" i="6"/>
  <c r="B79" i="14"/>
  <c r="A79" i="14" s="1"/>
  <c r="B79" i="12"/>
  <c r="A79" i="12" s="1"/>
  <c r="B78" i="11"/>
  <c r="A77" i="11"/>
  <c r="A78" i="13" l="1"/>
  <c r="B79" i="13"/>
  <c r="B80" i="6"/>
  <c r="A79" i="6"/>
  <c r="B79" i="7"/>
  <c r="A78" i="7"/>
  <c r="B79" i="5"/>
  <c r="A78" i="5"/>
  <c r="B79" i="9"/>
  <c r="A78" i="9"/>
  <c r="A78" i="10"/>
  <c r="B79" i="10"/>
  <c r="B80" i="14"/>
  <c r="A80" i="14" s="1"/>
  <c r="B80" i="12"/>
  <c r="A80" i="12" s="1"/>
  <c r="A78" i="11"/>
  <c r="B79" i="11"/>
  <c r="B80" i="5" l="1"/>
  <c r="A79" i="5"/>
  <c r="B81" i="6"/>
  <c r="A80" i="6"/>
  <c r="A79" i="10"/>
  <c r="B80" i="10"/>
  <c r="A79" i="13"/>
  <c r="B80" i="13"/>
  <c r="B80" i="9"/>
  <c r="A79" i="9"/>
  <c r="B80" i="7"/>
  <c r="A79" i="7"/>
  <c r="B81" i="14"/>
  <c r="A81" i="14" s="1"/>
  <c r="B81" i="12"/>
  <c r="A81" i="12" s="1"/>
  <c r="B80" i="11"/>
  <c r="A79" i="11"/>
  <c r="A80" i="13" l="1"/>
  <c r="B81" i="13"/>
  <c r="B81" i="7"/>
  <c r="A80" i="7"/>
  <c r="B82" i="6"/>
  <c r="A81" i="6"/>
  <c r="B81" i="10"/>
  <c r="A80" i="10"/>
  <c r="B81" i="9"/>
  <c r="A80" i="9"/>
  <c r="B81" i="5"/>
  <c r="A80" i="5"/>
  <c r="B82" i="14"/>
  <c r="A82" i="14" s="1"/>
  <c r="B82" i="12"/>
  <c r="A82" i="12" s="1"/>
  <c r="A80" i="11"/>
  <c r="B81" i="11"/>
  <c r="B82" i="5" l="1"/>
  <c r="A81" i="5"/>
  <c r="B82" i="10"/>
  <c r="A81" i="10"/>
  <c r="B82" i="7"/>
  <c r="A81" i="7"/>
  <c r="A81" i="13"/>
  <c r="B82" i="13"/>
  <c r="B82" i="9"/>
  <c r="A81" i="9"/>
  <c r="B83" i="6"/>
  <c r="A82" i="6"/>
  <c r="B83" i="14"/>
  <c r="A83" i="14" s="1"/>
  <c r="B83" i="12"/>
  <c r="A83" i="12" s="1"/>
  <c r="B82" i="11"/>
  <c r="A81" i="11"/>
  <c r="A82" i="13" l="1"/>
  <c r="B83" i="13"/>
  <c r="A82" i="10"/>
  <c r="B83" i="10"/>
  <c r="B84" i="6"/>
  <c r="A83" i="6"/>
  <c r="B83" i="9"/>
  <c r="A82" i="9"/>
  <c r="B83" i="7"/>
  <c r="A82" i="7"/>
  <c r="B83" i="5"/>
  <c r="A82" i="5"/>
  <c r="B84" i="14"/>
  <c r="A84" i="14" s="1"/>
  <c r="B84" i="12"/>
  <c r="A84" i="12" s="1"/>
  <c r="A82" i="11"/>
  <c r="B83" i="11"/>
  <c r="A83" i="10" l="1"/>
  <c r="B84" i="10"/>
  <c r="B84" i="9"/>
  <c r="A83" i="9"/>
  <c r="A83" i="13"/>
  <c r="B84" i="13"/>
  <c r="B84" i="5"/>
  <c r="A83" i="5"/>
  <c r="B84" i="7"/>
  <c r="A83" i="7"/>
  <c r="B85" i="6"/>
  <c r="A84" i="6"/>
  <c r="B85" i="14"/>
  <c r="A85" i="14" s="1"/>
  <c r="B85" i="12"/>
  <c r="A85" i="12" s="1"/>
  <c r="B84" i="11"/>
  <c r="A83" i="11"/>
  <c r="B86" i="6" l="1"/>
  <c r="A85" i="6"/>
  <c r="B85" i="5"/>
  <c r="A84" i="5"/>
  <c r="B85" i="9"/>
  <c r="A84" i="9"/>
  <c r="A84" i="13"/>
  <c r="B85" i="13"/>
  <c r="A84" i="10"/>
  <c r="B85" i="10"/>
  <c r="B85" i="7"/>
  <c r="A84" i="7"/>
  <c r="B86" i="14"/>
  <c r="A86" i="14" s="1"/>
  <c r="B86" i="12"/>
  <c r="A86" i="12" s="1"/>
  <c r="A84" i="11"/>
  <c r="B85" i="11"/>
  <c r="A85" i="13" l="1"/>
  <c r="B86" i="13"/>
  <c r="B86" i="7"/>
  <c r="A85" i="7"/>
  <c r="B86" i="10"/>
  <c r="A85" i="10"/>
  <c r="B86" i="5"/>
  <c r="A85" i="5"/>
  <c r="B86" i="9"/>
  <c r="A85" i="9"/>
  <c r="B87" i="6"/>
  <c r="A86" i="6"/>
  <c r="B87" i="14"/>
  <c r="A87" i="14" s="1"/>
  <c r="B87" i="12"/>
  <c r="A87" i="12" s="1"/>
  <c r="B86" i="11"/>
  <c r="A85" i="11"/>
  <c r="B87" i="5" l="1"/>
  <c r="A86" i="5"/>
  <c r="B88" i="6"/>
  <c r="A87" i="6"/>
  <c r="B87" i="7"/>
  <c r="A86" i="7"/>
  <c r="A86" i="13"/>
  <c r="B87" i="13"/>
  <c r="B87" i="9"/>
  <c r="A86" i="9"/>
  <c r="A86" i="10"/>
  <c r="B87" i="10"/>
  <c r="B88" i="14"/>
  <c r="A88" i="14" s="1"/>
  <c r="B88" i="12"/>
  <c r="A88" i="12" s="1"/>
  <c r="A86" i="11"/>
  <c r="B87" i="11"/>
  <c r="B88" i="10" l="1"/>
  <c r="A87" i="10"/>
  <c r="A87" i="13"/>
  <c r="B88" i="13"/>
  <c r="B89" i="6"/>
  <c r="A88" i="6"/>
  <c r="B88" i="9"/>
  <c r="A87" i="9"/>
  <c r="B88" i="7"/>
  <c r="A87" i="7"/>
  <c r="B88" i="5"/>
  <c r="A87" i="5"/>
  <c r="B89" i="14"/>
  <c r="A89" i="14" s="1"/>
  <c r="B89" i="12"/>
  <c r="A89" i="12" s="1"/>
  <c r="B88" i="11"/>
  <c r="A87" i="11"/>
  <c r="A88" i="13" l="1"/>
  <c r="B89" i="13"/>
  <c r="B89" i="5"/>
  <c r="A88" i="5"/>
  <c r="B89" i="9"/>
  <c r="A88" i="9"/>
  <c r="B89" i="7"/>
  <c r="A88" i="7"/>
  <c r="B90" i="6"/>
  <c r="A89" i="6"/>
  <c r="A88" i="10"/>
  <c r="B89" i="10"/>
  <c r="B90" i="14"/>
  <c r="A90" i="14" s="1"/>
  <c r="B90" i="12"/>
  <c r="A90" i="12" s="1"/>
  <c r="A88" i="11"/>
  <c r="B89" i="11"/>
  <c r="B90" i="10" l="1"/>
  <c r="A89" i="10"/>
  <c r="B90" i="7"/>
  <c r="A89" i="7"/>
  <c r="B90" i="5"/>
  <c r="A89" i="5"/>
  <c r="A89" i="13"/>
  <c r="B90" i="13"/>
  <c r="B91" i="6"/>
  <c r="A90" i="6"/>
  <c r="B90" i="9"/>
  <c r="A89" i="9"/>
  <c r="B91" i="14"/>
  <c r="A91" i="14" s="1"/>
  <c r="B91" i="12"/>
  <c r="A91" i="12" s="1"/>
  <c r="B90" i="11"/>
  <c r="A89" i="11"/>
  <c r="A90" i="13" l="1"/>
  <c r="B91" i="13"/>
  <c r="B91" i="7"/>
  <c r="A90" i="7"/>
  <c r="B91" i="9"/>
  <c r="A90" i="9"/>
  <c r="B92" i="6"/>
  <c r="A91" i="6"/>
  <c r="B91" i="5"/>
  <c r="A90" i="5"/>
  <c r="B91" i="10"/>
  <c r="A90" i="10"/>
  <c r="B92" i="14"/>
  <c r="A92" i="14" s="1"/>
  <c r="B92" i="12"/>
  <c r="A92" i="12" s="1"/>
  <c r="A90" i="11"/>
  <c r="B91" i="11"/>
  <c r="B92" i="7" l="1"/>
  <c r="A91" i="7"/>
  <c r="A91" i="10"/>
  <c r="B92" i="10"/>
  <c r="A91" i="13"/>
  <c r="B92" i="13"/>
  <c r="B93" i="6"/>
  <c r="A92" i="6"/>
  <c r="B92" i="5"/>
  <c r="A91" i="5"/>
  <c r="B92" i="9"/>
  <c r="A91" i="9"/>
  <c r="B93" i="14"/>
  <c r="A93" i="14" s="1"/>
  <c r="B93" i="12"/>
  <c r="A93" i="12" s="1"/>
  <c r="B92" i="11"/>
  <c r="A91" i="11"/>
  <c r="B93" i="9" l="1"/>
  <c r="A92" i="9"/>
  <c r="B93" i="10"/>
  <c r="A92" i="10"/>
  <c r="B94" i="6"/>
  <c r="A93" i="6"/>
  <c r="A92" i="13"/>
  <c r="B93" i="13"/>
  <c r="B93" i="5"/>
  <c r="A92" i="5"/>
  <c r="B93" i="7"/>
  <c r="A92" i="7"/>
  <c r="B94" i="14"/>
  <c r="A94" i="14" s="1"/>
  <c r="B94" i="12"/>
  <c r="A94" i="12" s="1"/>
  <c r="A92" i="11"/>
  <c r="B93" i="11"/>
  <c r="A93" i="13" l="1"/>
  <c r="B94" i="13"/>
  <c r="B94" i="7"/>
  <c r="A93" i="7"/>
  <c r="B94" i="10"/>
  <c r="A93" i="10"/>
  <c r="B94" i="5"/>
  <c r="A93" i="5"/>
  <c r="B95" i="6"/>
  <c r="A94" i="6"/>
  <c r="B94" i="9"/>
  <c r="A93" i="9"/>
  <c r="B95" i="14"/>
  <c r="A95" i="14" s="1"/>
  <c r="B95" i="12"/>
  <c r="A95" i="12" s="1"/>
  <c r="B94" i="11"/>
  <c r="A93" i="11"/>
  <c r="B95" i="9" l="1"/>
  <c r="A94" i="9"/>
  <c r="B95" i="5"/>
  <c r="A94" i="5"/>
  <c r="B95" i="7"/>
  <c r="A94" i="7"/>
  <c r="A94" i="13"/>
  <c r="B95" i="13"/>
  <c r="B96" i="6"/>
  <c r="A95" i="6"/>
  <c r="A94" i="10"/>
  <c r="B95" i="10"/>
  <c r="B96" i="14"/>
  <c r="A96" i="14" s="1"/>
  <c r="B96" i="12"/>
  <c r="A96" i="12" s="1"/>
  <c r="A94" i="11"/>
  <c r="B95" i="11"/>
  <c r="B96" i="10" l="1"/>
  <c r="A95" i="10"/>
  <c r="A95" i="13"/>
  <c r="B96" i="13"/>
  <c r="B96" i="5"/>
  <c r="A95" i="5"/>
  <c r="B97" i="6"/>
  <c r="A96" i="6"/>
  <c r="B96" i="7"/>
  <c r="A95" i="7"/>
  <c r="B96" i="9"/>
  <c r="A95" i="9"/>
  <c r="B97" i="14"/>
  <c r="A97" i="14" s="1"/>
  <c r="B97" i="12"/>
  <c r="A97" i="12" s="1"/>
  <c r="B96" i="11"/>
  <c r="A95" i="11"/>
  <c r="A96" i="13" l="1"/>
  <c r="B97" i="13"/>
  <c r="B98" i="6"/>
  <c r="A97" i="6"/>
  <c r="B97" i="9"/>
  <c r="A96" i="9"/>
  <c r="B97" i="7"/>
  <c r="A96" i="7"/>
  <c r="B97" i="5"/>
  <c r="A96" i="5"/>
  <c r="B97" i="10"/>
  <c r="A96" i="10"/>
  <c r="B98" i="14"/>
  <c r="A98" i="14" s="1"/>
  <c r="B98" i="12"/>
  <c r="A98" i="12" s="1"/>
  <c r="A96" i="11"/>
  <c r="B97" i="11"/>
  <c r="B99" i="6" l="1"/>
  <c r="A98" i="6"/>
  <c r="B98" i="10"/>
  <c r="A97" i="10"/>
  <c r="B98" i="7"/>
  <c r="A97" i="7"/>
  <c r="A97" i="13"/>
  <c r="B98" i="13"/>
  <c r="B98" i="5"/>
  <c r="A97" i="5"/>
  <c r="B98" i="9"/>
  <c r="A97" i="9"/>
  <c r="B99" i="14"/>
  <c r="A99" i="14" s="1"/>
  <c r="B99" i="12"/>
  <c r="A99" i="12" s="1"/>
  <c r="B98" i="11"/>
  <c r="A97" i="11"/>
  <c r="A98" i="13" l="1"/>
  <c r="B99" i="13"/>
  <c r="B99" i="10"/>
  <c r="A98" i="10"/>
  <c r="B99" i="9"/>
  <c r="A98" i="9"/>
  <c r="B99" i="5"/>
  <c r="A98" i="5"/>
  <c r="B99" i="7"/>
  <c r="A98" i="7"/>
  <c r="B100" i="6"/>
  <c r="A99" i="6"/>
  <c r="B100" i="14"/>
  <c r="A100" i="14" s="1"/>
  <c r="B100" i="12"/>
  <c r="A100" i="12" s="1"/>
  <c r="A98" i="11"/>
  <c r="B99" i="11"/>
  <c r="B100" i="5" l="1"/>
  <c r="A99" i="5"/>
  <c r="B101" i="6"/>
  <c r="A100" i="6"/>
  <c r="B100" i="10"/>
  <c r="A99" i="10"/>
  <c r="A99" i="13"/>
  <c r="B100" i="13"/>
  <c r="B100" i="7"/>
  <c r="A99" i="7"/>
  <c r="B100" i="9"/>
  <c r="A99" i="9"/>
  <c r="B101" i="14"/>
  <c r="A101" i="14" s="1"/>
  <c r="B101" i="12"/>
  <c r="A101" i="12" s="1"/>
  <c r="B100" i="11"/>
  <c r="A99" i="11"/>
  <c r="A100" i="13" l="1"/>
  <c r="B101" i="13"/>
  <c r="B102" i="6"/>
  <c r="A101" i="6"/>
  <c r="B101" i="9"/>
  <c r="A100" i="9"/>
  <c r="B101" i="7"/>
  <c r="A100" i="7"/>
  <c r="A100" i="10"/>
  <c r="B101" i="10"/>
  <c r="B101" i="5"/>
  <c r="A100" i="5"/>
  <c r="B102" i="14"/>
  <c r="A102" i="14" s="1"/>
  <c r="B102" i="12"/>
  <c r="A102" i="12" s="1"/>
  <c r="A100" i="11"/>
  <c r="B101" i="11"/>
  <c r="B102" i="5" l="1"/>
  <c r="A101" i="5"/>
  <c r="B102" i="7"/>
  <c r="A101" i="7"/>
  <c r="B103" i="6"/>
  <c r="A102" i="6"/>
  <c r="B102" i="10"/>
  <c r="A101" i="10"/>
  <c r="A101" i="13"/>
  <c r="B102" i="13"/>
  <c r="B102" i="9"/>
  <c r="A101" i="9"/>
  <c r="B103" i="14"/>
  <c r="A103" i="14" s="1"/>
  <c r="B103" i="12"/>
  <c r="A103" i="12" s="1"/>
  <c r="B102" i="11"/>
  <c r="A101" i="11"/>
  <c r="B103" i="9" l="1"/>
  <c r="A102" i="9"/>
  <c r="A102" i="10"/>
  <c r="B103" i="10"/>
  <c r="B103" i="7"/>
  <c r="A102" i="7"/>
  <c r="A102" i="13"/>
  <c r="B103" i="13"/>
  <c r="B104" i="6"/>
  <c r="A103" i="6"/>
  <c r="B103" i="5"/>
  <c r="A102" i="5"/>
  <c r="J4" i="13"/>
  <c r="J5" i="13"/>
  <c r="J6" i="13"/>
  <c r="B104" i="14"/>
  <c r="A104" i="14" s="1"/>
  <c r="B104" i="12"/>
  <c r="A102" i="11"/>
  <c r="B103" i="11"/>
  <c r="J6" i="10"/>
  <c r="J5" i="10"/>
  <c r="J4" i="10"/>
  <c r="A103" i="13" l="1"/>
  <c r="B104" i="13"/>
  <c r="B104" i="10"/>
  <c r="A103" i="10"/>
  <c r="B104" i="5"/>
  <c r="A103" i="5"/>
  <c r="A104" i="12"/>
  <c r="J4" i="12"/>
  <c r="A104" i="6"/>
  <c r="J4" i="6"/>
  <c r="J6" i="6"/>
  <c r="J5" i="6"/>
  <c r="K5" i="6" s="1"/>
  <c r="D2" i="6"/>
  <c r="B104" i="7"/>
  <c r="A103" i="7"/>
  <c r="B104" i="9"/>
  <c r="A103" i="9"/>
  <c r="K6" i="13"/>
  <c r="J4" i="14"/>
  <c r="K5" i="13"/>
  <c r="J5" i="14"/>
  <c r="D2" i="14"/>
  <c r="J5" i="12"/>
  <c r="D2" i="12"/>
  <c r="B104" i="11"/>
  <c r="A103" i="11"/>
  <c r="K5" i="10"/>
  <c r="K6" i="10"/>
  <c r="A104" i="9" l="1"/>
  <c r="J6" i="9"/>
  <c r="K6" i="9" s="1"/>
  <c r="J5" i="9"/>
  <c r="K5" i="9" s="1"/>
  <c r="J4" i="9"/>
  <c r="D2" i="9"/>
  <c r="K6" i="6"/>
  <c r="A104" i="10"/>
  <c r="D2" i="10"/>
  <c r="A104" i="7"/>
  <c r="J4" i="7"/>
  <c r="J5" i="7"/>
  <c r="K5" i="7" s="1"/>
  <c r="J6" i="7"/>
  <c r="D2" i="7"/>
  <c r="A104" i="13"/>
  <c r="D2" i="13"/>
  <c r="A104" i="5"/>
  <c r="J4" i="5"/>
  <c r="J6" i="5"/>
  <c r="D2" i="5"/>
  <c r="J5" i="5"/>
  <c r="K5" i="5" s="1"/>
  <c r="K5" i="14"/>
  <c r="K5" i="12"/>
  <c r="J6" i="14"/>
  <c r="K6" i="14" s="1"/>
  <c r="J6" i="12"/>
  <c r="K6" i="12" s="1"/>
  <c r="A104" i="11"/>
  <c r="J5" i="11" s="1"/>
  <c r="D2" i="11"/>
  <c r="K6" i="7" l="1"/>
  <c r="K6" i="5"/>
  <c r="J4" i="11"/>
  <c r="K5" i="11" s="1"/>
  <c r="J6" i="11"/>
  <c r="K6" i="11" s="1"/>
</calcChain>
</file>

<file path=xl/sharedStrings.xml><?xml version="1.0" encoding="utf-8"?>
<sst xmlns="http://schemas.openxmlformats.org/spreadsheetml/2006/main" count="356" uniqueCount="123">
  <si>
    <t>Euro STOXX 50</t>
  </si>
  <si>
    <t>Risk Free Rate</t>
  </si>
  <si>
    <t>Volatility (Index)</t>
  </si>
  <si>
    <t>Volatility (FX)</t>
  </si>
  <si>
    <t>Swiss Market Index</t>
  </si>
  <si>
    <t>FTSE 100</t>
  </si>
  <si>
    <t>Strike (% of Initial Level)</t>
  </si>
  <si>
    <t>Brownian Motions Correlation Matrix</t>
  </si>
  <si>
    <t>No. of paths</t>
  </si>
  <si>
    <t>Valuation Date</t>
  </si>
  <si>
    <t>Current Price</t>
  </si>
  <si>
    <t>Future Payout Dates</t>
  </si>
  <si>
    <t>Maturity Date</t>
  </si>
  <si>
    <t>Time to maturity</t>
  </si>
  <si>
    <t>no. of trading days from valuation date</t>
  </si>
  <si>
    <t>Payout Observation Date</t>
  </si>
  <si>
    <t>Payout Threshold</t>
  </si>
  <si>
    <t>no. of trading days from now</t>
  </si>
  <si>
    <t>Assume 253 trading days a year</t>
  </si>
  <si>
    <t>Trigger Observation Dates</t>
  </si>
  <si>
    <t>Denomination</t>
  </si>
  <si>
    <t>Correlation (Exchange Rate/Index)</t>
  </si>
  <si>
    <t>Trigger Redemption Date</t>
  </si>
  <si>
    <t>US risk free rate</t>
  </si>
  <si>
    <t>Payout Amount</t>
  </si>
  <si>
    <t>Price</t>
  </si>
  <si>
    <t>Initial Level</t>
  </si>
  <si>
    <t>Philosophy for parameter sensitivity testing</t>
  </si>
  <si>
    <t>Purpose: To observe the effect of slight changes in parameters on the model calculated derivative price</t>
  </si>
  <si>
    <t>2. Only small changes in parameters are considered</t>
  </si>
  <si>
    <t>Algorithm:</t>
  </si>
  <si>
    <t>2. Adjust the parameter to be tested, calculate the derivative price with the random numbers generated in step 1</t>
  </si>
  <si>
    <t>3. Further adjust the parameters to be tested, then repeat step 2</t>
  </si>
  <si>
    <t>4. The % change in stock price is calculated to observe the effect</t>
  </si>
  <si>
    <t>Current S1</t>
  </si>
  <si>
    <t>Derivative Price</t>
  </si>
  <si>
    <t>no. of tests</t>
  </si>
  <si>
    <t>Current S2</t>
  </si>
  <si>
    <t>Current sigma 1s</t>
  </si>
  <si>
    <t>1. Only one variable is changed in each test, other variables are kept constant, with values as stated as in the parameter page</t>
  </si>
  <si>
    <t>1. Generate a set of random numbers</t>
  </si>
  <si>
    <t>S2</t>
  </si>
  <si>
    <t>S1</t>
  </si>
  <si>
    <t>Current S3</t>
  </si>
  <si>
    <t>S3</t>
  </si>
  <si>
    <t>Sigma 1s</t>
  </si>
  <si>
    <t>Summary</t>
  </si>
  <si>
    <t>% Change</t>
  </si>
  <si>
    <t>N/A</t>
  </si>
  <si>
    <t>8811.6</t>
  </si>
  <si>
    <t>8812.6</t>
  </si>
  <si>
    <t>8813.6</t>
  </si>
  <si>
    <t>6999.9</t>
  </si>
  <si>
    <t>7000.9</t>
  </si>
  <si>
    <t>7001.9</t>
  </si>
  <si>
    <t>3160.3</t>
  </si>
  <si>
    <t>3161.3</t>
  </si>
  <si>
    <t>3159.3</t>
  </si>
  <si>
    <t>Note:</t>
  </si>
  <si>
    <t>This analysis does not serve as an estimation to option Greeks like delta, vega etc. because the payoff function of our product is unlikely to be a continuous method.</t>
  </si>
  <si>
    <t>19.17%</t>
  </si>
  <si>
    <t>18.17%</t>
  </si>
  <si>
    <t>20.17%</t>
  </si>
  <si>
    <t>16.72%</t>
  </si>
  <si>
    <t>15.72%</t>
  </si>
  <si>
    <t>17.72%</t>
  </si>
  <si>
    <t>19.00%</t>
  </si>
  <si>
    <t>18.00%</t>
  </si>
  <si>
    <t>20.00%</t>
  </si>
  <si>
    <t>-0.1950%</t>
  </si>
  <si>
    <t>0.8050%</t>
  </si>
  <si>
    <t>-1.1950%</t>
  </si>
  <si>
    <t>-0.4680%</t>
  </si>
  <si>
    <t>0.5320%</t>
  </si>
  <si>
    <t>-1.4680%</t>
  </si>
  <si>
    <t>0.9100%</t>
  </si>
  <si>
    <t>1.9100%</t>
  </si>
  <si>
    <t>-0.0900%</t>
  </si>
  <si>
    <t>Regression Analysis on "Proxy Delta"</t>
  </si>
  <si>
    <t>Change in S1 price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</si>
  <si>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</si>
  <si>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</si>
  <si>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</si>
  <si>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</si>
  <si>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</si>
  <si>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</si>
  <si>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</si>
  <si>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</si>
  <si>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</si>
  <si>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</si>
  <si>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</si>
  <si>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</si>
  <si>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</si>
  <si>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</si>
  <si>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</si>
  <si>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</si>
  <si>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</si>
  <si>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</si>
  <si>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</si>
  <si>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</si>
  <si>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</si>
  <si>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</si>
  <si>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</si>
  <si>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</si>
  <si>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</si>
  <si>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RESIDUAL OUTPUT</t>
  </si>
  <si>
    <t>Observation</t>
  </si>
  <si>
    <t>Predicted Y</t>
  </si>
  <si>
    <t>Residuals</t>
  </si>
  <si>
    <t>PROBABILITY OUTPUT</t>
  </si>
  <si>
    <t>Percentile</t>
  </si>
  <si>
    <t>Y</t>
  </si>
  <si>
    <t>Change in S1</t>
  </si>
  <si>
    <t>Change in Derivative price</t>
  </si>
  <si>
    <t>Current Derivative Price</t>
  </si>
  <si>
    <t>Change in Derivative price^2</t>
  </si>
  <si>
    <t>delta P/P</t>
  </si>
  <si>
    <t>delta S1/S1</t>
  </si>
  <si>
    <t>% chg P/% chg S1</t>
  </si>
  <si>
    <t>delta S2/S2</t>
  </si>
  <si>
    <t>% chg P/% chg S2</t>
  </si>
  <si>
    <t>delta S3/S3</t>
  </si>
  <si>
    <t>% chg P/% chg 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</si>
</sst>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00%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49" fontId="0" fillId="0" borderId="0" xfId="0" applyNumberFormat="1"/>
    <xf numFmtId="165" fontId="0" fillId="0" borderId="0" xfId="1" applyNumberFormat="1" applyFont="1"/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Continuous"/>
    </xf>
    <xf numFmtId="0" fontId="0" fillId="0" borderId="0" xfId="0" applyBorder="1"/>
    <xf numFmtId="0" fontId="3" fillId="0" borderId="0" xfId="0" applyFont="1" applyFill="1" applyBorder="1" applyAlignment="1">
      <alignment horizontal="centerContinuous"/>
    </xf>
    <xf numFmtId="0" fontId="3" fillId="0" borderId="0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'Changes in S1'!$C$4:$C$104</c:f>
              <c:numCache>
                <c:formatCode>General</c:formatCode>
                <c:ptCount val="101"/>
                <c:pt idx="0">
                  <c:v>987.00843323850359</c:v>
                </c:pt>
                <c:pt idx="1">
                  <c:v>987.01251778430674</c:v>
                </c:pt>
                <c:pt idx="2">
                  <c:v>987.02638393901429</c:v>
                </c:pt>
                <c:pt idx="3">
                  <c:v>987.03043589350887</c:v>
                </c:pt>
                <c:pt idx="4">
                  <c:v>987.03343243250811</c:v>
                </c:pt>
                <c:pt idx="5">
                  <c:v>987.03837709130619</c:v>
                </c:pt>
                <c:pt idx="6">
                  <c:v>987.04815009572485</c:v>
                </c:pt>
                <c:pt idx="7">
                  <c:v>987.05414849280487</c:v>
                </c:pt>
                <c:pt idx="8">
                  <c:v>987.0643391960557</c:v>
                </c:pt>
                <c:pt idx="9">
                  <c:v>987.07083788257626</c:v>
                </c:pt>
                <c:pt idx="10">
                  <c:v>987.07623893515392</c:v>
                </c:pt>
                <c:pt idx="11">
                  <c:v>987.08409447540703</c:v>
                </c:pt>
                <c:pt idx="12">
                  <c:v>987.08604434627466</c:v>
                </c:pt>
                <c:pt idx="13">
                  <c:v>987.08853408467417</c:v>
                </c:pt>
                <c:pt idx="14">
                  <c:v>987.09513508894292</c:v>
                </c:pt>
                <c:pt idx="15">
                  <c:v>987.09699796207747</c:v>
                </c:pt>
                <c:pt idx="16">
                  <c:v>987.09837339263481</c:v>
                </c:pt>
                <c:pt idx="17">
                  <c:v>987.1024484712276</c:v>
                </c:pt>
                <c:pt idx="18">
                  <c:v>987.10922408093688</c:v>
                </c:pt>
                <c:pt idx="19">
                  <c:v>987.11328367737087</c:v>
                </c:pt>
                <c:pt idx="20">
                  <c:v>987.11619813216612</c:v>
                </c:pt>
                <c:pt idx="21">
                  <c:v>987.12279406448226</c:v>
                </c:pt>
                <c:pt idx="22">
                  <c:v>987.12418590637674</c:v>
                </c:pt>
                <c:pt idx="23">
                  <c:v>987.17853476712116</c:v>
                </c:pt>
                <c:pt idx="24">
                  <c:v>987.18148386341636</c:v>
                </c:pt>
                <c:pt idx="25">
                  <c:v>987.18500760977713</c:v>
                </c:pt>
                <c:pt idx="26">
                  <c:v>987.18909658484552</c:v>
                </c:pt>
                <c:pt idx="27">
                  <c:v>987.19906318376638</c:v>
                </c:pt>
                <c:pt idx="28">
                  <c:v>987.20308770705162</c:v>
                </c:pt>
                <c:pt idx="29">
                  <c:v>987.2078295021123</c:v>
                </c:pt>
                <c:pt idx="30">
                  <c:v>987.20922482400601</c:v>
                </c:pt>
                <c:pt idx="31">
                  <c:v>987.21705136170124</c:v>
                </c:pt>
                <c:pt idx="32">
                  <c:v>987.22295430537247</c:v>
                </c:pt>
                <c:pt idx="33">
                  <c:v>987.23069013181066</c:v>
                </c:pt>
                <c:pt idx="34">
                  <c:v>987.23471483720346</c:v>
                </c:pt>
                <c:pt idx="35">
                  <c:v>987.25266336787172</c:v>
                </c:pt>
                <c:pt idx="36">
                  <c:v>987.2696440082658</c:v>
                </c:pt>
                <c:pt idx="37">
                  <c:v>987.29387996756509</c:v>
                </c:pt>
                <c:pt idx="38">
                  <c:v>987.29788238926903</c:v>
                </c:pt>
                <c:pt idx="39">
                  <c:v>987.30189401584425</c:v>
                </c:pt>
                <c:pt idx="40">
                  <c:v>987.30434900113255</c:v>
                </c:pt>
                <c:pt idx="41">
                  <c:v>987.30569562775042</c:v>
                </c:pt>
                <c:pt idx="42">
                  <c:v>987.31806576091583</c:v>
                </c:pt>
                <c:pt idx="43">
                  <c:v>987.32407428748729</c:v>
                </c:pt>
                <c:pt idx="44">
                  <c:v>987.33678149236152</c:v>
                </c:pt>
                <c:pt idx="45">
                  <c:v>987.34570513925246</c:v>
                </c:pt>
                <c:pt idx="46">
                  <c:v>987.35843109623431</c:v>
                </c:pt>
                <c:pt idx="47">
                  <c:v>987.36263686672112</c:v>
                </c:pt>
                <c:pt idx="48">
                  <c:v>987.369169593533</c:v>
                </c:pt>
                <c:pt idx="49">
                  <c:v>987.36888012098518</c:v>
                </c:pt>
                <c:pt idx="50">
                  <c:v>987.37411536383775</c:v>
                </c:pt>
                <c:pt idx="51">
                  <c:v>987.3845336117181</c:v>
                </c:pt>
                <c:pt idx="52">
                  <c:v>987.3885227313383</c:v>
                </c:pt>
                <c:pt idx="53">
                  <c:v>987.3987544371364</c:v>
                </c:pt>
                <c:pt idx="54">
                  <c:v>987.40273108195379</c:v>
                </c:pt>
                <c:pt idx="55">
                  <c:v>987.40956053624177</c:v>
                </c:pt>
                <c:pt idx="56">
                  <c:v>987.41451489711744</c:v>
                </c:pt>
                <c:pt idx="57">
                  <c:v>987.41797405925024</c:v>
                </c:pt>
                <c:pt idx="58">
                  <c:v>987.44811823346367</c:v>
                </c:pt>
                <c:pt idx="59">
                  <c:v>987.44682026171267</c:v>
                </c:pt>
                <c:pt idx="60">
                  <c:v>987.45713811966766</c:v>
                </c:pt>
                <c:pt idx="61">
                  <c:v>987.46360730672336</c:v>
                </c:pt>
                <c:pt idx="62">
                  <c:v>987.46779329686649</c:v>
                </c:pt>
                <c:pt idx="63">
                  <c:v>987.46639710320142</c:v>
                </c:pt>
                <c:pt idx="64">
                  <c:v>987.46999152714886</c:v>
                </c:pt>
                <c:pt idx="65">
                  <c:v>987.47243532177583</c:v>
                </c:pt>
                <c:pt idx="66">
                  <c:v>987.47587722692424</c:v>
                </c:pt>
                <c:pt idx="67">
                  <c:v>987.47985673212395</c:v>
                </c:pt>
                <c:pt idx="68">
                  <c:v>987.48752826757891</c:v>
                </c:pt>
                <c:pt idx="69">
                  <c:v>987.49783619528193</c:v>
                </c:pt>
                <c:pt idx="70">
                  <c:v>987.50880423457681</c:v>
                </c:pt>
                <c:pt idx="71">
                  <c:v>987.51276249016473</c:v>
                </c:pt>
                <c:pt idx="72">
                  <c:v>987.51672074575242</c:v>
                </c:pt>
                <c:pt idx="73">
                  <c:v>987.53704600443689</c:v>
                </c:pt>
                <c:pt idx="74">
                  <c:v>987.5439694005272</c:v>
                </c:pt>
                <c:pt idx="75">
                  <c:v>987.54043319488005</c:v>
                </c:pt>
                <c:pt idx="76">
                  <c:v>987.5457308306552</c:v>
                </c:pt>
                <c:pt idx="77">
                  <c:v>987.5497922856481</c:v>
                </c:pt>
                <c:pt idx="78">
                  <c:v>987.5506410379694</c:v>
                </c:pt>
                <c:pt idx="79">
                  <c:v>987.55355217896545</c:v>
                </c:pt>
                <c:pt idx="80">
                  <c:v>987.55751656312998</c:v>
                </c:pt>
                <c:pt idx="81">
                  <c:v>987.56391581516198</c:v>
                </c:pt>
                <c:pt idx="82">
                  <c:v>987.56803784658598</c:v>
                </c:pt>
                <c:pt idx="83">
                  <c:v>987.58340193286767</c:v>
                </c:pt>
                <c:pt idx="84">
                  <c:v>987.58739063038331</c:v>
                </c:pt>
                <c:pt idx="85">
                  <c:v>987.58837526571199</c:v>
                </c:pt>
                <c:pt idx="86">
                  <c:v>987.59230476688958</c:v>
                </c:pt>
                <c:pt idx="87">
                  <c:v>987.59178838889056</c:v>
                </c:pt>
                <c:pt idx="88">
                  <c:v>987.5982638925243</c:v>
                </c:pt>
                <c:pt idx="89">
                  <c:v>987.60350983608737</c:v>
                </c:pt>
                <c:pt idx="90">
                  <c:v>987.60219522548698</c:v>
                </c:pt>
                <c:pt idx="91">
                  <c:v>987.60611976899406</c:v>
                </c:pt>
                <c:pt idx="92">
                  <c:v>987.61029372532687</c:v>
                </c:pt>
                <c:pt idx="93">
                  <c:v>987.62165443090282</c:v>
                </c:pt>
                <c:pt idx="94">
                  <c:v>987.63833366737254</c:v>
                </c:pt>
                <c:pt idx="95">
                  <c:v>987.64063868701305</c:v>
                </c:pt>
                <c:pt idx="96">
                  <c:v>987.64403712094429</c:v>
                </c:pt>
                <c:pt idx="97">
                  <c:v>987.64808757828655</c:v>
                </c:pt>
                <c:pt idx="98">
                  <c:v>987.65095460889097</c:v>
                </c:pt>
                <c:pt idx="99">
                  <c:v>987.65561080483531</c:v>
                </c:pt>
                <c:pt idx="100">
                  <c:v>987.65902049050987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81-4537-8D50-C2B95365B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138880"/>
        <c:axId val="108140800"/>
      </c:lineChart>
      <c:catAx>
        <c:axId val="108138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40800"/>
        <c:crosses val="autoZero"/>
        <c:auto val="1"/>
        <c:lblAlgn val="ctr"/>
        <c:lblOffset val="100"/>
        <c:noMultiLvlLbl val="0"/>
      </c:catAx>
      <c:valAx>
        <c:axId val="1081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3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'Changes in S1'!$Q$4:$Q$104</c:f>
              <c:numCache>
                <c:formatCode>General</c:formatCode>
                <c:ptCount val="101"/>
                <c:pt idx="0">
                  <c:v>-5.3299999999999272</c:v>
                </c:pt>
                <c:pt idx="1">
                  <c:v>-5.2300000000000182</c:v>
                </c:pt>
                <c:pt idx="2">
                  <c:v>-5.1300000000001091</c:v>
                </c:pt>
                <c:pt idx="3">
                  <c:v>-5.0300000000002001</c:v>
                </c:pt>
                <c:pt idx="4">
                  <c:v>-4.930000000000291</c:v>
                </c:pt>
                <c:pt idx="5">
                  <c:v>-4.830000000000382</c:v>
                </c:pt>
                <c:pt idx="6">
                  <c:v>-4.7300000000004729</c:v>
                </c:pt>
                <c:pt idx="7">
                  <c:v>-4.6300000000005639</c:v>
                </c:pt>
                <c:pt idx="8">
                  <c:v>-4.5300000000006548</c:v>
                </c:pt>
                <c:pt idx="9">
                  <c:v>-4.4300000000007458</c:v>
                </c:pt>
                <c:pt idx="10">
                  <c:v>-4.3300000000008367</c:v>
                </c:pt>
                <c:pt idx="11">
                  <c:v>-4.2300000000009277</c:v>
                </c:pt>
                <c:pt idx="12">
                  <c:v>-4.1300000000010186</c:v>
                </c:pt>
                <c:pt idx="13">
                  <c:v>-4.0300000000011096</c:v>
                </c:pt>
                <c:pt idx="14">
                  <c:v>-3.9300000000012005</c:v>
                </c:pt>
                <c:pt idx="15">
                  <c:v>-3.8300000000012915</c:v>
                </c:pt>
                <c:pt idx="16">
                  <c:v>-3.7300000000013824</c:v>
                </c:pt>
                <c:pt idx="17">
                  <c:v>-3.6300000000014734</c:v>
                </c:pt>
                <c:pt idx="18">
                  <c:v>-3.5300000000015643</c:v>
                </c:pt>
                <c:pt idx="19">
                  <c:v>-3.4300000000016553</c:v>
                </c:pt>
                <c:pt idx="20">
                  <c:v>-3.3300000000017462</c:v>
                </c:pt>
                <c:pt idx="21">
                  <c:v>-3.2300000000018372</c:v>
                </c:pt>
                <c:pt idx="22">
                  <c:v>-3.1300000000019281</c:v>
                </c:pt>
                <c:pt idx="23">
                  <c:v>-3.0300000000020191</c:v>
                </c:pt>
                <c:pt idx="24">
                  <c:v>-2.93000000000211</c:v>
                </c:pt>
                <c:pt idx="25">
                  <c:v>-2.830000000002201</c:v>
                </c:pt>
                <c:pt idx="26">
                  <c:v>-2.7300000000022919</c:v>
                </c:pt>
                <c:pt idx="27">
                  <c:v>-2.6300000000023829</c:v>
                </c:pt>
                <c:pt idx="28">
                  <c:v>-2.5300000000024738</c:v>
                </c:pt>
                <c:pt idx="29">
                  <c:v>-2.4300000000025648</c:v>
                </c:pt>
                <c:pt idx="30">
                  <c:v>-2.3300000000026557</c:v>
                </c:pt>
                <c:pt idx="31">
                  <c:v>-2.2300000000027467</c:v>
                </c:pt>
                <c:pt idx="32">
                  <c:v>-2.1300000000028376</c:v>
                </c:pt>
                <c:pt idx="33">
                  <c:v>-2.0300000000029286</c:v>
                </c:pt>
                <c:pt idx="34">
                  <c:v>-1.9300000000030195</c:v>
                </c:pt>
                <c:pt idx="35">
                  <c:v>-1.8300000000031105</c:v>
                </c:pt>
                <c:pt idx="36">
                  <c:v>-1.7300000000032014</c:v>
                </c:pt>
                <c:pt idx="37">
                  <c:v>-1.6300000000032924</c:v>
                </c:pt>
                <c:pt idx="38">
                  <c:v>-1.5300000000033833</c:v>
                </c:pt>
                <c:pt idx="39">
                  <c:v>-1.4300000000034743</c:v>
                </c:pt>
                <c:pt idx="40">
                  <c:v>-1.3300000000035652</c:v>
                </c:pt>
                <c:pt idx="41">
                  <c:v>-1.2300000000036562</c:v>
                </c:pt>
                <c:pt idx="42">
                  <c:v>-1.1300000000037471</c:v>
                </c:pt>
                <c:pt idx="43">
                  <c:v>-1.0300000000038381</c:v>
                </c:pt>
                <c:pt idx="44">
                  <c:v>-0.93000000000392902</c:v>
                </c:pt>
                <c:pt idx="45">
                  <c:v>-0.83000000000401997</c:v>
                </c:pt>
                <c:pt idx="46">
                  <c:v>-0.73000000000411092</c:v>
                </c:pt>
                <c:pt idx="47">
                  <c:v>-0.63000000000420187</c:v>
                </c:pt>
                <c:pt idx="48">
                  <c:v>-0.53000000000429281</c:v>
                </c:pt>
                <c:pt idx="49">
                  <c:v>-0.43000000000438376</c:v>
                </c:pt>
                <c:pt idx="50">
                  <c:v>-0.33000000000447471</c:v>
                </c:pt>
                <c:pt idx="51">
                  <c:v>-0.23000000000456566</c:v>
                </c:pt>
                <c:pt idx="52">
                  <c:v>-0.13000000000465661</c:v>
                </c:pt>
                <c:pt idx="53">
                  <c:v>-3.0000000004747562E-2</c:v>
                </c:pt>
                <c:pt idx="54">
                  <c:v>6.9999999995161488E-2</c:v>
                </c:pt>
                <c:pt idx="55">
                  <c:v>0.16999999999507054</c:v>
                </c:pt>
                <c:pt idx="56">
                  <c:v>0.26999999999497959</c:v>
                </c:pt>
                <c:pt idx="57">
                  <c:v>0.36999999999488864</c:v>
                </c:pt>
                <c:pt idx="58">
                  <c:v>0.46999999999479769</c:v>
                </c:pt>
                <c:pt idx="59">
                  <c:v>0.56999999999470674</c:v>
                </c:pt>
                <c:pt idx="60">
                  <c:v>0.66999999999461579</c:v>
                </c:pt>
                <c:pt idx="61">
                  <c:v>0.76999999999452484</c:v>
                </c:pt>
                <c:pt idx="62">
                  <c:v>0.86999999999443389</c:v>
                </c:pt>
                <c:pt idx="63">
                  <c:v>0.96999999999434294</c:v>
                </c:pt>
                <c:pt idx="64">
                  <c:v>1.069999999994252</c:v>
                </c:pt>
                <c:pt idx="65">
                  <c:v>1.169999999994161</c:v>
                </c:pt>
                <c:pt idx="66">
                  <c:v>1.2699999999940701</c:v>
                </c:pt>
                <c:pt idx="67">
                  <c:v>1.3699999999939791</c:v>
                </c:pt>
                <c:pt idx="68">
                  <c:v>1.4699999999938882</c:v>
                </c:pt>
                <c:pt idx="69">
                  <c:v>1.5699999999937972</c:v>
                </c:pt>
                <c:pt idx="70">
                  <c:v>1.6699999999937063</c:v>
                </c:pt>
                <c:pt idx="71">
                  <c:v>1.7699999999936153</c:v>
                </c:pt>
                <c:pt idx="72">
                  <c:v>1.8699999999935244</c:v>
                </c:pt>
                <c:pt idx="73">
                  <c:v>1.9699999999934334</c:v>
                </c:pt>
                <c:pt idx="74">
                  <c:v>2.0699999999933425</c:v>
                </c:pt>
                <c:pt idx="75">
                  <c:v>2.1699999999932515</c:v>
                </c:pt>
                <c:pt idx="76">
                  <c:v>2.2699999999931606</c:v>
                </c:pt>
                <c:pt idx="77">
                  <c:v>2.3699999999930697</c:v>
                </c:pt>
                <c:pt idx="78">
                  <c:v>2.4699999999929787</c:v>
                </c:pt>
                <c:pt idx="79">
                  <c:v>2.5699999999928878</c:v>
                </c:pt>
                <c:pt idx="80">
                  <c:v>2.6699999999927968</c:v>
                </c:pt>
                <c:pt idx="81">
                  <c:v>2.7699999999927059</c:v>
                </c:pt>
                <c:pt idx="82">
                  <c:v>2.8699999999926149</c:v>
                </c:pt>
                <c:pt idx="83">
                  <c:v>2.969999999992524</c:v>
                </c:pt>
                <c:pt idx="84">
                  <c:v>3.069999999992433</c:v>
                </c:pt>
                <c:pt idx="85">
                  <c:v>3.1699999999923421</c:v>
                </c:pt>
                <c:pt idx="86">
                  <c:v>3.2699999999922511</c:v>
                </c:pt>
                <c:pt idx="87">
                  <c:v>3.3699999999921602</c:v>
                </c:pt>
                <c:pt idx="88">
                  <c:v>3.4699999999920692</c:v>
                </c:pt>
                <c:pt idx="89">
                  <c:v>3.5699999999919783</c:v>
                </c:pt>
                <c:pt idx="90">
                  <c:v>3.6699999999918873</c:v>
                </c:pt>
                <c:pt idx="91">
                  <c:v>3.7699999999917964</c:v>
                </c:pt>
                <c:pt idx="92">
                  <c:v>3.8699999999917054</c:v>
                </c:pt>
                <c:pt idx="93">
                  <c:v>3.9699999999916145</c:v>
                </c:pt>
                <c:pt idx="94">
                  <c:v>4.0699999999915235</c:v>
                </c:pt>
                <c:pt idx="95">
                  <c:v>4.1699999999914326</c:v>
                </c:pt>
                <c:pt idx="96">
                  <c:v>4.2699999999913416</c:v>
                </c:pt>
                <c:pt idx="97">
                  <c:v>4.3699999999912507</c:v>
                </c:pt>
                <c:pt idx="98">
                  <c:v>4.4699999999911597</c:v>
                </c:pt>
                <c:pt idx="99">
                  <c:v>4.5699999999910688</c:v>
                </c:pt>
                <c:pt idx="100">
                  <c:v>4.6699999999909778</c:v>
                </c:pt>
              </c:numCache>
            </c:numRef>
          </c:xVal>
          <c:yVal>
            <c:numRef>
              <c:f>'Changes in S1'!$R$4:$R$104</c:f>
              <c:numCache>
                <c:formatCode>General</c:formatCode>
                <c:ptCount val="101"/>
                <c:pt idx="0">
                  <c:v>6.2274790132989892</c:v>
                </c:pt>
                <c:pt idx="1">
                  <c:v>6.2315635591021419</c:v>
                </c:pt>
                <c:pt idx="2">
                  <c:v>6.245429713809699</c:v>
                </c:pt>
                <c:pt idx="3">
                  <c:v>6.24948166830427</c:v>
                </c:pt>
                <c:pt idx="4">
                  <c:v>6.2524782073035112</c:v>
                </c:pt>
                <c:pt idx="5">
                  <c:v>6.2574228661015923</c:v>
                </c:pt>
                <c:pt idx="6">
                  <c:v>6.2671958705202542</c:v>
                </c:pt>
                <c:pt idx="7">
                  <c:v>6.2731942676002745</c:v>
                </c:pt>
                <c:pt idx="8">
                  <c:v>6.2833849708511025</c:v>
                </c:pt>
                <c:pt idx="9">
                  <c:v>6.2898836573716608</c:v>
                </c:pt>
                <c:pt idx="10">
                  <c:v>6.2952847099493283</c:v>
                </c:pt>
                <c:pt idx="11">
                  <c:v>6.3031402502024321</c:v>
                </c:pt>
                <c:pt idx="12">
                  <c:v>6.3050901210700658</c:v>
                </c:pt>
                <c:pt idx="13">
                  <c:v>6.3075798594695698</c:v>
                </c:pt>
                <c:pt idx="14">
                  <c:v>6.3141808637383292</c:v>
                </c:pt>
                <c:pt idx="15">
                  <c:v>6.3160437368728708</c:v>
                </c:pt>
                <c:pt idx="16">
                  <c:v>6.3174191674302165</c:v>
                </c:pt>
                <c:pt idx="17">
                  <c:v>6.3214942460230077</c:v>
                </c:pt>
                <c:pt idx="18">
                  <c:v>6.3282698557322874</c:v>
                </c:pt>
                <c:pt idx="19">
                  <c:v>6.3323294521662774</c:v>
                </c:pt>
                <c:pt idx="20">
                  <c:v>6.335243906961523</c:v>
                </c:pt>
                <c:pt idx="21">
                  <c:v>6.341839839277668</c:v>
                </c:pt>
                <c:pt idx="22">
                  <c:v>6.3432316811721421</c:v>
                </c:pt>
                <c:pt idx="23">
                  <c:v>6.3975805419165681</c:v>
                </c:pt>
                <c:pt idx="24">
                  <c:v>6.4005296382117649</c:v>
                </c:pt>
                <c:pt idx="25">
                  <c:v>6.4040533845725349</c:v>
                </c:pt>
                <c:pt idx="26">
                  <c:v>6.4081423596409195</c:v>
                </c:pt>
                <c:pt idx="27">
                  <c:v>6.4181089585617883</c:v>
                </c:pt>
                <c:pt idx="28">
                  <c:v>6.4221334818470268</c:v>
                </c:pt>
                <c:pt idx="29">
                  <c:v>6.4268752769077082</c:v>
                </c:pt>
                <c:pt idx="30">
                  <c:v>6.4282705988014186</c:v>
                </c:pt>
                <c:pt idx="31">
                  <c:v>6.4360971364966417</c:v>
                </c:pt>
                <c:pt idx="32">
                  <c:v>6.4420000801678725</c:v>
                </c:pt>
                <c:pt idx="33">
                  <c:v>6.4497359066060653</c:v>
                </c:pt>
                <c:pt idx="34">
                  <c:v>6.4537606119988595</c:v>
                </c:pt>
                <c:pt idx="35">
                  <c:v>6.4717091426671232</c:v>
                </c:pt>
                <c:pt idx="36">
                  <c:v>6.4886897830612043</c:v>
                </c:pt>
                <c:pt idx="37">
                  <c:v>6.512925742360494</c:v>
                </c:pt>
                <c:pt idx="38">
                  <c:v>6.5169281640644385</c:v>
                </c:pt>
                <c:pt idx="39">
                  <c:v>6.5209397906396589</c:v>
                </c:pt>
                <c:pt idx="40">
                  <c:v>6.5233947759279545</c:v>
                </c:pt>
                <c:pt idx="41">
                  <c:v>6.5247414025458284</c:v>
                </c:pt>
                <c:pt idx="42">
                  <c:v>6.537111535711233</c:v>
                </c:pt>
                <c:pt idx="43">
                  <c:v>6.5431200622826964</c:v>
                </c:pt>
                <c:pt idx="44">
                  <c:v>6.5558272671569284</c:v>
                </c:pt>
                <c:pt idx="45">
                  <c:v>6.5647509140478633</c:v>
                </c:pt>
                <c:pt idx="46">
                  <c:v>6.5774768710297167</c:v>
                </c:pt>
                <c:pt idx="47">
                  <c:v>6.5816826415165224</c:v>
                </c:pt>
                <c:pt idx="48">
                  <c:v>6.5882153683284059</c:v>
                </c:pt>
                <c:pt idx="49">
                  <c:v>6.587925895780586</c:v>
                </c:pt>
                <c:pt idx="50">
                  <c:v>6.5931611386331497</c:v>
                </c:pt>
                <c:pt idx="51">
                  <c:v>6.603579386513502</c:v>
                </c:pt>
                <c:pt idx="52">
                  <c:v>6.6075685061337026</c:v>
                </c:pt>
                <c:pt idx="53">
                  <c:v>6.617800211931808</c:v>
                </c:pt>
                <c:pt idx="54">
                  <c:v>6.621776856749193</c:v>
                </c:pt>
                <c:pt idx="55">
                  <c:v>6.6286063110371742</c:v>
                </c:pt>
                <c:pt idx="56">
                  <c:v>6.6335606719128464</c:v>
                </c:pt>
                <c:pt idx="57">
                  <c:v>6.6370198340456454</c:v>
                </c:pt>
                <c:pt idx="58">
                  <c:v>6.6671640082590784</c:v>
                </c:pt>
                <c:pt idx="59">
                  <c:v>6.6658660365080777</c:v>
                </c:pt>
                <c:pt idx="60">
                  <c:v>6.6761838944630654</c:v>
                </c:pt>
                <c:pt idx="61">
                  <c:v>6.6826530815187652</c:v>
                </c:pt>
                <c:pt idx="62">
                  <c:v>6.6868390716618933</c:v>
                </c:pt>
                <c:pt idx="63">
                  <c:v>6.6854428779968202</c:v>
                </c:pt>
                <c:pt idx="64">
                  <c:v>6.6890373019442677</c:v>
                </c:pt>
                <c:pt idx="65">
                  <c:v>6.6914810965712377</c:v>
                </c:pt>
                <c:pt idx="66">
                  <c:v>6.6949230017196442</c:v>
                </c:pt>
                <c:pt idx="67">
                  <c:v>6.6989025069193531</c:v>
                </c:pt>
                <c:pt idx="68">
                  <c:v>6.7065740423743136</c:v>
                </c:pt>
                <c:pt idx="69">
                  <c:v>6.7168819700773383</c:v>
                </c:pt>
                <c:pt idx="70">
                  <c:v>6.7278500093722187</c:v>
                </c:pt>
                <c:pt idx="71">
                  <c:v>6.7318082649601365</c:v>
                </c:pt>
                <c:pt idx="72">
                  <c:v>6.735766520547827</c:v>
                </c:pt>
                <c:pt idx="73">
                  <c:v>6.7560917792322925</c:v>
                </c:pt>
                <c:pt idx="74">
                  <c:v>6.7630151753226073</c:v>
                </c:pt>
                <c:pt idx="75">
                  <c:v>6.759478969675456</c:v>
                </c:pt>
                <c:pt idx="76">
                  <c:v>6.7647766054506064</c:v>
                </c:pt>
                <c:pt idx="77">
                  <c:v>6.7688380604434997</c:v>
                </c:pt>
                <c:pt idx="78">
                  <c:v>6.7696868127648031</c:v>
                </c:pt>
                <c:pt idx="79">
                  <c:v>6.7725979537608509</c:v>
                </c:pt>
                <c:pt idx="80">
                  <c:v>6.7765623379253839</c:v>
                </c:pt>
                <c:pt idx="81">
                  <c:v>6.782961589957381</c:v>
                </c:pt>
                <c:pt idx="82">
                  <c:v>6.7870836213813845</c:v>
                </c:pt>
                <c:pt idx="83">
                  <c:v>6.8024477076630774</c:v>
                </c:pt>
                <c:pt idx="84">
                  <c:v>6.8064364051787152</c:v>
                </c:pt>
                <c:pt idx="85">
                  <c:v>6.8074210405073927</c:v>
                </c:pt>
                <c:pt idx="86">
                  <c:v>6.8113505416849875</c:v>
                </c:pt>
                <c:pt idx="87">
                  <c:v>6.8108341636859677</c:v>
                </c:pt>
                <c:pt idx="88">
                  <c:v>6.8173096673197051</c:v>
                </c:pt>
                <c:pt idx="89">
                  <c:v>6.8225556108827732</c:v>
                </c:pt>
                <c:pt idx="90">
                  <c:v>6.8212410002823844</c:v>
                </c:pt>
                <c:pt idx="91">
                  <c:v>6.8251655437894669</c:v>
                </c:pt>
                <c:pt idx="92">
                  <c:v>6.8293395001222734</c:v>
                </c:pt>
                <c:pt idx="93">
                  <c:v>6.8407002056982265</c:v>
                </c:pt>
                <c:pt idx="94">
                  <c:v>6.8573794421679395</c:v>
                </c:pt>
                <c:pt idx="95">
                  <c:v>6.859684461808456</c:v>
                </c:pt>
                <c:pt idx="96">
                  <c:v>6.8630828957396943</c:v>
                </c:pt>
                <c:pt idx="97">
                  <c:v>6.8671333530819538</c:v>
                </c:pt>
                <c:pt idx="98">
                  <c:v>6.8700003836863743</c:v>
                </c:pt>
                <c:pt idx="99">
                  <c:v>6.8746565796307095</c:v>
                </c:pt>
                <c:pt idx="100">
                  <c:v>6.8780662653052786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38-4F83-AFAA-547D6E4FCA5C}"/>
            </c:ext>
          </c:extLst>
        </c:ser>
        <c:ser>
          <c:idx val="1"/>
          <c:order val="1"/>
          <c:tx>
            <c:v>Predicted Y</c:v>
          </c:tx>
          <c:spPr>
            <a:ln w="19050">
              <a:noFill/>
            </a:ln>
          </c:spPr>
          <c:xVal>
            <c:numRef>
              <c:f>'Changes in S1'!$Q$4:$Q$104</c:f>
              <c:numCache>
                <c:formatCode>General</c:formatCode>
                <c:ptCount val="101"/>
                <c:pt idx="0">
                  <c:v>-5.3299999999999272</c:v>
                </c:pt>
                <c:pt idx="1">
                  <c:v>-5.2300000000000182</c:v>
                </c:pt>
                <c:pt idx="2">
                  <c:v>-5.1300000000001091</c:v>
                </c:pt>
                <c:pt idx="3">
                  <c:v>-5.0300000000002001</c:v>
                </c:pt>
                <c:pt idx="4">
                  <c:v>-4.930000000000291</c:v>
                </c:pt>
                <c:pt idx="5">
                  <c:v>-4.830000000000382</c:v>
                </c:pt>
                <c:pt idx="6">
                  <c:v>-4.7300000000004729</c:v>
                </c:pt>
                <c:pt idx="7">
                  <c:v>-4.6300000000005639</c:v>
                </c:pt>
                <c:pt idx="8">
                  <c:v>-4.5300000000006548</c:v>
                </c:pt>
                <c:pt idx="9">
                  <c:v>-4.4300000000007458</c:v>
                </c:pt>
                <c:pt idx="10">
                  <c:v>-4.3300000000008367</c:v>
                </c:pt>
                <c:pt idx="11">
                  <c:v>-4.2300000000009277</c:v>
                </c:pt>
                <c:pt idx="12">
                  <c:v>-4.1300000000010186</c:v>
                </c:pt>
                <c:pt idx="13">
                  <c:v>-4.0300000000011096</c:v>
                </c:pt>
                <c:pt idx="14">
                  <c:v>-3.9300000000012005</c:v>
                </c:pt>
                <c:pt idx="15">
                  <c:v>-3.8300000000012915</c:v>
                </c:pt>
                <c:pt idx="16">
                  <c:v>-3.7300000000013824</c:v>
                </c:pt>
                <c:pt idx="17">
                  <c:v>-3.6300000000014734</c:v>
                </c:pt>
                <c:pt idx="18">
                  <c:v>-3.5300000000015643</c:v>
                </c:pt>
                <c:pt idx="19">
                  <c:v>-3.4300000000016553</c:v>
                </c:pt>
                <c:pt idx="20">
                  <c:v>-3.3300000000017462</c:v>
                </c:pt>
                <c:pt idx="21">
                  <c:v>-3.2300000000018372</c:v>
                </c:pt>
                <c:pt idx="22">
                  <c:v>-3.1300000000019281</c:v>
                </c:pt>
                <c:pt idx="23">
                  <c:v>-3.0300000000020191</c:v>
                </c:pt>
                <c:pt idx="24">
                  <c:v>-2.93000000000211</c:v>
                </c:pt>
                <c:pt idx="25">
                  <c:v>-2.830000000002201</c:v>
                </c:pt>
                <c:pt idx="26">
                  <c:v>-2.7300000000022919</c:v>
                </c:pt>
                <c:pt idx="27">
                  <c:v>-2.6300000000023829</c:v>
                </c:pt>
                <c:pt idx="28">
                  <c:v>-2.5300000000024738</c:v>
                </c:pt>
                <c:pt idx="29">
                  <c:v>-2.4300000000025648</c:v>
                </c:pt>
                <c:pt idx="30">
                  <c:v>-2.3300000000026557</c:v>
                </c:pt>
                <c:pt idx="31">
                  <c:v>-2.2300000000027467</c:v>
                </c:pt>
                <c:pt idx="32">
                  <c:v>-2.1300000000028376</c:v>
                </c:pt>
                <c:pt idx="33">
                  <c:v>-2.0300000000029286</c:v>
                </c:pt>
                <c:pt idx="34">
                  <c:v>-1.9300000000030195</c:v>
                </c:pt>
                <c:pt idx="35">
                  <c:v>-1.8300000000031105</c:v>
                </c:pt>
                <c:pt idx="36">
                  <c:v>-1.7300000000032014</c:v>
                </c:pt>
                <c:pt idx="37">
                  <c:v>-1.6300000000032924</c:v>
                </c:pt>
                <c:pt idx="38">
                  <c:v>-1.5300000000033833</c:v>
                </c:pt>
                <c:pt idx="39">
                  <c:v>-1.4300000000034743</c:v>
                </c:pt>
                <c:pt idx="40">
                  <c:v>-1.3300000000035652</c:v>
                </c:pt>
                <c:pt idx="41">
                  <c:v>-1.2300000000036562</c:v>
                </c:pt>
                <c:pt idx="42">
                  <c:v>-1.1300000000037471</c:v>
                </c:pt>
                <c:pt idx="43">
                  <c:v>-1.0300000000038381</c:v>
                </c:pt>
                <c:pt idx="44">
                  <c:v>-0.93000000000392902</c:v>
                </c:pt>
                <c:pt idx="45">
                  <c:v>-0.83000000000401997</c:v>
                </c:pt>
                <c:pt idx="46">
                  <c:v>-0.73000000000411092</c:v>
                </c:pt>
                <c:pt idx="47">
                  <c:v>-0.63000000000420187</c:v>
                </c:pt>
                <c:pt idx="48">
                  <c:v>-0.53000000000429281</c:v>
                </c:pt>
                <c:pt idx="49">
                  <c:v>-0.43000000000438376</c:v>
                </c:pt>
                <c:pt idx="50">
                  <c:v>-0.33000000000447471</c:v>
                </c:pt>
                <c:pt idx="51">
                  <c:v>-0.23000000000456566</c:v>
                </c:pt>
                <c:pt idx="52">
                  <c:v>-0.13000000000465661</c:v>
                </c:pt>
                <c:pt idx="53">
                  <c:v>-3.0000000004747562E-2</c:v>
                </c:pt>
                <c:pt idx="54">
                  <c:v>6.9999999995161488E-2</c:v>
                </c:pt>
                <c:pt idx="55">
                  <c:v>0.16999999999507054</c:v>
                </c:pt>
                <c:pt idx="56">
                  <c:v>0.26999999999497959</c:v>
                </c:pt>
                <c:pt idx="57">
                  <c:v>0.36999999999488864</c:v>
                </c:pt>
                <c:pt idx="58">
                  <c:v>0.46999999999479769</c:v>
                </c:pt>
                <c:pt idx="59">
                  <c:v>0.56999999999470674</c:v>
                </c:pt>
                <c:pt idx="60">
                  <c:v>0.66999999999461579</c:v>
                </c:pt>
                <c:pt idx="61">
                  <c:v>0.76999999999452484</c:v>
                </c:pt>
                <c:pt idx="62">
                  <c:v>0.86999999999443389</c:v>
                </c:pt>
                <c:pt idx="63">
                  <c:v>0.96999999999434294</c:v>
                </c:pt>
                <c:pt idx="64">
                  <c:v>1.069999999994252</c:v>
                </c:pt>
                <c:pt idx="65">
                  <c:v>1.169999999994161</c:v>
                </c:pt>
                <c:pt idx="66">
                  <c:v>1.2699999999940701</c:v>
                </c:pt>
                <c:pt idx="67">
                  <c:v>1.3699999999939791</c:v>
                </c:pt>
                <c:pt idx="68">
                  <c:v>1.4699999999938882</c:v>
                </c:pt>
                <c:pt idx="69">
                  <c:v>1.5699999999937972</c:v>
                </c:pt>
                <c:pt idx="70">
                  <c:v>1.6699999999937063</c:v>
                </c:pt>
                <c:pt idx="71">
                  <c:v>1.7699999999936153</c:v>
                </c:pt>
                <c:pt idx="72">
                  <c:v>1.8699999999935244</c:v>
                </c:pt>
                <c:pt idx="73">
                  <c:v>1.9699999999934334</c:v>
                </c:pt>
                <c:pt idx="74">
                  <c:v>2.0699999999933425</c:v>
                </c:pt>
                <c:pt idx="75">
                  <c:v>2.1699999999932515</c:v>
                </c:pt>
                <c:pt idx="76">
                  <c:v>2.2699999999931606</c:v>
                </c:pt>
                <c:pt idx="77">
                  <c:v>2.3699999999930697</c:v>
                </c:pt>
                <c:pt idx="78">
                  <c:v>2.4699999999929787</c:v>
                </c:pt>
                <c:pt idx="79">
                  <c:v>2.5699999999928878</c:v>
                </c:pt>
                <c:pt idx="80">
                  <c:v>2.6699999999927968</c:v>
                </c:pt>
                <c:pt idx="81">
                  <c:v>2.7699999999927059</c:v>
                </c:pt>
                <c:pt idx="82">
                  <c:v>2.8699999999926149</c:v>
                </c:pt>
                <c:pt idx="83">
                  <c:v>2.969999999992524</c:v>
                </c:pt>
                <c:pt idx="84">
                  <c:v>3.069999999992433</c:v>
                </c:pt>
                <c:pt idx="85">
                  <c:v>3.1699999999923421</c:v>
                </c:pt>
                <c:pt idx="86">
                  <c:v>3.2699999999922511</c:v>
                </c:pt>
                <c:pt idx="87">
                  <c:v>3.3699999999921602</c:v>
                </c:pt>
                <c:pt idx="88">
                  <c:v>3.4699999999920692</c:v>
                </c:pt>
                <c:pt idx="89">
                  <c:v>3.5699999999919783</c:v>
                </c:pt>
                <c:pt idx="90">
                  <c:v>3.6699999999918873</c:v>
                </c:pt>
                <c:pt idx="91">
                  <c:v>3.7699999999917964</c:v>
                </c:pt>
                <c:pt idx="92">
                  <c:v>3.8699999999917054</c:v>
                </c:pt>
                <c:pt idx="93">
                  <c:v>3.9699999999916145</c:v>
                </c:pt>
                <c:pt idx="94">
                  <c:v>4.0699999999915235</c:v>
                </c:pt>
                <c:pt idx="95">
                  <c:v>4.1699999999914326</c:v>
                </c:pt>
                <c:pt idx="96">
                  <c:v>4.2699999999913416</c:v>
                </c:pt>
                <c:pt idx="97">
                  <c:v>4.3699999999912507</c:v>
                </c:pt>
                <c:pt idx="98">
                  <c:v>4.4699999999911597</c:v>
                </c:pt>
                <c:pt idx="99">
                  <c:v>4.5699999999910688</c:v>
                </c:pt>
                <c:pt idx="100">
                  <c:v>4.6699999999909778</c:v>
                </c:pt>
              </c:numCache>
            </c:numRef>
          </c:xVal>
          <c:yVal>
            <c:numRef>
              <c:f>'Changes in S1'!$T$27:$T$127</c:f>
              <c:numCache>
                <c:formatCode>General</c:formatCode>
                <c:ptCount val="101"/>
                <c:pt idx="0">
                  <c:v>6.2334102238660609</c:v>
                </c:pt>
                <c:pt idx="1">
                  <c:v>6.2402445407933298</c:v>
                </c:pt>
                <c:pt idx="2">
                  <c:v>6.2470788577205987</c:v>
                </c:pt>
                <c:pt idx="3">
                  <c:v>6.2539131746478676</c:v>
                </c:pt>
                <c:pt idx="4">
                  <c:v>6.2607474915751364</c:v>
                </c:pt>
                <c:pt idx="5">
                  <c:v>6.2675818085024053</c:v>
                </c:pt>
                <c:pt idx="6">
                  <c:v>6.2744161254296742</c:v>
                </c:pt>
                <c:pt idx="7">
                  <c:v>6.2812504423569431</c:v>
                </c:pt>
                <c:pt idx="8">
                  <c:v>6.288084759284212</c:v>
                </c:pt>
                <c:pt idx="9">
                  <c:v>6.2949190762114808</c:v>
                </c:pt>
                <c:pt idx="10">
                  <c:v>6.3017533931387497</c:v>
                </c:pt>
                <c:pt idx="11">
                  <c:v>6.3085877100660177</c:v>
                </c:pt>
                <c:pt idx="12">
                  <c:v>6.3154220269932875</c:v>
                </c:pt>
                <c:pt idx="13">
                  <c:v>6.3222563439205555</c:v>
                </c:pt>
                <c:pt idx="14">
                  <c:v>6.3290906608478243</c:v>
                </c:pt>
                <c:pt idx="15">
                  <c:v>6.3359249777750932</c:v>
                </c:pt>
                <c:pt idx="16">
                  <c:v>6.3427592947023621</c:v>
                </c:pt>
                <c:pt idx="17">
                  <c:v>6.349593611629631</c:v>
                </c:pt>
                <c:pt idx="18">
                  <c:v>6.3564279285568999</c:v>
                </c:pt>
                <c:pt idx="19">
                  <c:v>6.3632622454841687</c:v>
                </c:pt>
                <c:pt idx="20">
                  <c:v>6.3700965624114376</c:v>
                </c:pt>
                <c:pt idx="21">
                  <c:v>6.3769308793387065</c:v>
                </c:pt>
                <c:pt idx="22">
                  <c:v>6.3837651962659754</c:v>
                </c:pt>
                <c:pt idx="23">
                  <c:v>6.3905995131932443</c:v>
                </c:pt>
                <c:pt idx="24">
                  <c:v>6.3974338301205131</c:v>
                </c:pt>
                <c:pt idx="25">
                  <c:v>6.404268147047782</c:v>
                </c:pt>
                <c:pt idx="26">
                  <c:v>6.4111024639750509</c:v>
                </c:pt>
                <c:pt idx="27">
                  <c:v>6.4179367809023198</c:v>
                </c:pt>
                <c:pt idx="28">
                  <c:v>6.4247710978295887</c:v>
                </c:pt>
                <c:pt idx="29">
                  <c:v>6.4316054147568575</c:v>
                </c:pt>
                <c:pt idx="30">
                  <c:v>6.4384397316841255</c:v>
                </c:pt>
                <c:pt idx="31">
                  <c:v>6.4452740486113944</c:v>
                </c:pt>
                <c:pt idx="32">
                  <c:v>6.4521083655386633</c:v>
                </c:pt>
                <c:pt idx="33">
                  <c:v>6.4589426824659322</c:v>
                </c:pt>
                <c:pt idx="34">
                  <c:v>6.4657769993932011</c:v>
                </c:pt>
                <c:pt idx="35">
                  <c:v>6.4726113163204699</c:v>
                </c:pt>
                <c:pt idx="36">
                  <c:v>6.4794456332477388</c:v>
                </c:pt>
                <c:pt idx="37">
                  <c:v>6.4862799501750077</c:v>
                </c:pt>
                <c:pt idx="38">
                  <c:v>6.4931142671022766</c:v>
                </c:pt>
                <c:pt idx="39">
                  <c:v>6.4999485840295455</c:v>
                </c:pt>
                <c:pt idx="40">
                  <c:v>6.5067829009568143</c:v>
                </c:pt>
                <c:pt idx="41">
                  <c:v>6.5136172178840832</c:v>
                </c:pt>
                <c:pt idx="42">
                  <c:v>6.5204515348113521</c:v>
                </c:pt>
                <c:pt idx="43">
                  <c:v>6.527285851738621</c:v>
                </c:pt>
                <c:pt idx="44">
                  <c:v>6.5341201686658898</c:v>
                </c:pt>
                <c:pt idx="45">
                  <c:v>6.5409544855931587</c:v>
                </c:pt>
                <c:pt idx="46">
                  <c:v>6.5477888025204276</c:v>
                </c:pt>
                <c:pt idx="47">
                  <c:v>6.5546231194476956</c:v>
                </c:pt>
                <c:pt idx="48">
                  <c:v>6.5614574363749645</c:v>
                </c:pt>
                <c:pt idx="49">
                  <c:v>6.5682917533022334</c:v>
                </c:pt>
                <c:pt idx="50">
                  <c:v>6.5751260702295022</c:v>
                </c:pt>
                <c:pt idx="51">
                  <c:v>6.5819603871567711</c:v>
                </c:pt>
                <c:pt idx="52">
                  <c:v>6.58879470408404</c:v>
                </c:pt>
                <c:pt idx="53">
                  <c:v>6.5956290210113089</c:v>
                </c:pt>
                <c:pt idx="54">
                  <c:v>6.6024633379385778</c:v>
                </c:pt>
                <c:pt idx="55">
                  <c:v>6.6092976548658466</c:v>
                </c:pt>
                <c:pt idx="56">
                  <c:v>6.6161319717931155</c:v>
                </c:pt>
                <c:pt idx="57">
                  <c:v>6.6229662887203844</c:v>
                </c:pt>
                <c:pt idx="58">
                  <c:v>6.6298006056476533</c:v>
                </c:pt>
                <c:pt idx="59">
                  <c:v>6.6366349225749222</c:v>
                </c:pt>
                <c:pt idx="60">
                  <c:v>6.643469239502191</c:v>
                </c:pt>
                <c:pt idx="61">
                  <c:v>6.6503035564294599</c:v>
                </c:pt>
                <c:pt idx="62">
                  <c:v>6.6571378733567288</c:v>
                </c:pt>
                <c:pt idx="63">
                  <c:v>6.6639721902839977</c:v>
                </c:pt>
                <c:pt idx="64">
                  <c:v>6.6708065072112657</c:v>
                </c:pt>
                <c:pt idx="65">
                  <c:v>6.6776408241385345</c:v>
                </c:pt>
                <c:pt idx="66">
                  <c:v>6.6844751410658034</c:v>
                </c:pt>
                <c:pt idx="67">
                  <c:v>6.6913094579930723</c:v>
                </c:pt>
                <c:pt idx="68">
                  <c:v>6.6981437749203412</c:v>
                </c:pt>
                <c:pt idx="69">
                  <c:v>6.7049780918476101</c:v>
                </c:pt>
                <c:pt idx="70">
                  <c:v>6.7118124087748789</c:v>
                </c:pt>
                <c:pt idx="71">
                  <c:v>6.7186467257021478</c:v>
                </c:pt>
                <c:pt idx="72">
                  <c:v>6.7254810426294167</c:v>
                </c:pt>
                <c:pt idx="73">
                  <c:v>6.7323153595566856</c:v>
                </c:pt>
                <c:pt idx="74">
                  <c:v>6.7391496764839545</c:v>
                </c:pt>
                <c:pt idx="75">
                  <c:v>6.7459839934112233</c:v>
                </c:pt>
                <c:pt idx="76">
                  <c:v>6.7528183103384922</c:v>
                </c:pt>
                <c:pt idx="77">
                  <c:v>6.7596526272657611</c:v>
                </c:pt>
                <c:pt idx="78">
                  <c:v>6.76648694419303</c:v>
                </c:pt>
                <c:pt idx="79">
                  <c:v>6.7733212611202989</c:v>
                </c:pt>
                <c:pt idx="80">
                  <c:v>6.7801555780475677</c:v>
                </c:pt>
                <c:pt idx="81">
                  <c:v>6.7869898949748357</c:v>
                </c:pt>
                <c:pt idx="82">
                  <c:v>6.7938242119021046</c:v>
                </c:pt>
                <c:pt idx="83">
                  <c:v>6.8006585288293735</c:v>
                </c:pt>
                <c:pt idx="84">
                  <c:v>6.8074928457566424</c:v>
                </c:pt>
                <c:pt idx="85">
                  <c:v>6.8143271626839113</c:v>
                </c:pt>
                <c:pt idx="86">
                  <c:v>6.8211614796111801</c:v>
                </c:pt>
                <c:pt idx="87">
                  <c:v>6.827995796538449</c:v>
                </c:pt>
                <c:pt idx="88">
                  <c:v>6.8348301134657179</c:v>
                </c:pt>
                <c:pt idx="89">
                  <c:v>6.8416644303929868</c:v>
                </c:pt>
                <c:pt idx="90">
                  <c:v>6.8484987473202557</c:v>
                </c:pt>
                <c:pt idx="91">
                  <c:v>6.8553330642475245</c:v>
                </c:pt>
                <c:pt idx="92">
                  <c:v>6.8621673811747934</c:v>
                </c:pt>
                <c:pt idx="93">
                  <c:v>6.8690016981020623</c:v>
                </c:pt>
                <c:pt idx="94">
                  <c:v>6.8758360150293312</c:v>
                </c:pt>
                <c:pt idx="95">
                  <c:v>6.8826703319566001</c:v>
                </c:pt>
                <c:pt idx="96">
                  <c:v>6.8895046488838689</c:v>
                </c:pt>
                <c:pt idx="97">
                  <c:v>6.8963389658111378</c:v>
                </c:pt>
                <c:pt idx="98">
                  <c:v>6.9031732827384058</c:v>
                </c:pt>
                <c:pt idx="99">
                  <c:v>6.9100075996656747</c:v>
                </c:pt>
                <c:pt idx="100">
                  <c:v>6.9168419165929436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38-4F83-AFAA-547D6E4FC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99400"/>
        <c:axId val="551016456"/>
      </c:scatterChart>
      <c:valAx>
        <c:axId val="550999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1016456"/>
        <c:crosses val="autoZero"/>
        <c:crossBetween val="midCat"/>
      </c:valAx>
      <c:valAx>
        <c:axId val="551016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0999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'Changes in S1'!$W$27:$W$127</c:f>
              <c:numCache>
                <c:formatCode>General</c:formatCode>
                <c:ptCount val="101"/>
                <c:pt idx="0">
                  <c:v>0.49504950495049505</c:v>
                </c:pt>
                <c:pt idx="1">
                  <c:v>1.4851485148514851</c:v>
                </c:pt>
                <c:pt idx="2">
                  <c:v>2.4752475247524752</c:v>
                </c:pt>
                <c:pt idx="3">
                  <c:v>3.4653465346534653</c:v>
                </c:pt>
                <c:pt idx="4">
                  <c:v>4.4554455445544559</c:v>
                </c:pt>
                <c:pt idx="5">
                  <c:v>5.4455445544554451</c:v>
                </c:pt>
                <c:pt idx="6">
                  <c:v>6.435643564356436</c:v>
                </c:pt>
                <c:pt idx="7">
                  <c:v>7.4257425742574252</c:v>
                </c:pt>
                <c:pt idx="8">
                  <c:v>8.4158415841584162</c:v>
                </c:pt>
                <c:pt idx="9">
                  <c:v>9.4059405940594072</c:v>
                </c:pt>
                <c:pt idx="10">
                  <c:v>10.396039603960396</c:v>
                </c:pt>
                <c:pt idx="11">
                  <c:v>11.386138613861386</c:v>
                </c:pt>
                <c:pt idx="12">
                  <c:v>12.376237623762377</c:v>
                </c:pt>
                <c:pt idx="13">
                  <c:v>13.366336633663368</c:v>
                </c:pt>
                <c:pt idx="14">
                  <c:v>14.356435643564357</c:v>
                </c:pt>
                <c:pt idx="15">
                  <c:v>15.346534653465346</c:v>
                </c:pt>
                <c:pt idx="16">
                  <c:v>16.336633663366335</c:v>
                </c:pt>
                <c:pt idx="17">
                  <c:v>17.326732673267326</c:v>
                </c:pt>
                <c:pt idx="18">
                  <c:v>18.316831683168317</c:v>
                </c:pt>
                <c:pt idx="19">
                  <c:v>19.306930693069305</c:v>
                </c:pt>
                <c:pt idx="20">
                  <c:v>20.297029702970296</c:v>
                </c:pt>
                <c:pt idx="21">
                  <c:v>21.287128712871286</c:v>
                </c:pt>
                <c:pt idx="22">
                  <c:v>22.277227722772274</c:v>
                </c:pt>
                <c:pt idx="23">
                  <c:v>23.267326732673265</c:v>
                </c:pt>
                <c:pt idx="24">
                  <c:v>24.257425742574256</c:v>
                </c:pt>
                <c:pt idx="25">
                  <c:v>25.247524752475247</c:v>
                </c:pt>
                <c:pt idx="26">
                  <c:v>26.237623762376238</c:v>
                </c:pt>
                <c:pt idx="27">
                  <c:v>27.227722772277225</c:v>
                </c:pt>
                <c:pt idx="28">
                  <c:v>28.217821782178216</c:v>
                </c:pt>
                <c:pt idx="29">
                  <c:v>29.207920792079207</c:v>
                </c:pt>
                <c:pt idx="30">
                  <c:v>30.198019801980195</c:v>
                </c:pt>
                <c:pt idx="31">
                  <c:v>31.188118811881186</c:v>
                </c:pt>
                <c:pt idx="32">
                  <c:v>32.178217821782177</c:v>
                </c:pt>
                <c:pt idx="33">
                  <c:v>33.168316831683164</c:v>
                </c:pt>
                <c:pt idx="34">
                  <c:v>34.158415841584159</c:v>
                </c:pt>
                <c:pt idx="35">
                  <c:v>35.148514851485146</c:v>
                </c:pt>
                <c:pt idx="36">
                  <c:v>36.138613861386141</c:v>
                </c:pt>
                <c:pt idx="37">
                  <c:v>37.128712871287128</c:v>
                </c:pt>
                <c:pt idx="38">
                  <c:v>38.118811881188115</c:v>
                </c:pt>
                <c:pt idx="39">
                  <c:v>39.10891089108911</c:v>
                </c:pt>
                <c:pt idx="40">
                  <c:v>40.099009900990097</c:v>
                </c:pt>
                <c:pt idx="41">
                  <c:v>41.089108910891085</c:v>
                </c:pt>
                <c:pt idx="42">
                  <c:v>42.079207920792079</c:v>
                </c:pt>
                <c:pt idx="43">
                  <c:v>43.069306930693067</c:v>
                </c:pt>
                <c:pt idx="44">
                  <c:v>44.059405940594054</c:v>
                </c:pt>
                <c:pt idx="45">
                  <c:v>45.049504950495049</c:v>
                </c:pt>
                <c:pt idx="46">
                  <c:v>46.039603960396036</c:v>
                </c:pt>
                <c:pt idx="47">
                  <c:v>47.029702970297031</c:v>
                </c:pt>
                <c:pt idx="48">
                  <c:v>48.019801980198018</c:v>
                </c:pt>
                <c:pt idx="49">
                  <c:v>49.009900990099005</c:v>
                </c:pt>
                <c:pt idx="50">
                  <c:v>50</c:v>
                </c:pt>
                <c:pt idx="51">
                  <c:v>50.990099009900987</c:v>
                </c:pt>
                <c:pt idx="52">
                  <c:v>51.980198019801982</c:v>
                </c:pt>
                <c:pt idx="53">
                  <c:v>52.970297029702969</c:v>
                </c:pt>
                <c:pt idx="54">
                  <c:v>53.960396039603957</c:v>
                </c:pt>
                <c:pt idx="55">
                  <c:v>54.950495049504951</c:v>
                </c:pt>
                <c:pt idx="56">
                  <c:v>55.940594059405939</c:v>
                </c:pt>
                <c:pt idx="57">
                  <c:v>56.930693069306926</c:v>
                </c:pt>
                <c:pt idx="58">
                  <c:v>57.920792079207921</c:v>
                </c:pt>
                <c:pt idx="59">
                  <c:v>58.910891089108908</c:v>
                </c:pt>
                <c:pt idx="60">
                  <c:v>59.900990099009896</c:v>
                </c:pt>
                <c:pt idx="61">
                  <c:v>60.89108910891089</c:v>
                </c:pt>
                <c:pt idx="62">
                  <c:v>61.881188118811878</c:v>
                </c:pt>
                <c:pt idx="63">
                  <c:v>62.871287128712872</c:v>
                </c:pt>
                <c:pt idx="64">
                  <c:v>63.861386138613859</c:v>
                </c:pt>
                <c:pt idx="65">
                  <c:v>64.851485148514854</c:v>
                </c:pt>
                <c:pt idx="66">
                  <c:v>65.841584158415841</c:v>
                </c:pt>
                <c:pt idx="67">
                  <c:v>66.831683168316843</c:v>
                </c:pt>
                <c:pt idx="68">
                  <c:v>67.821782178217831</c:v>
                </c:pt>
                <c:pt idx="69">
                  <c:v>68.811881188118818</c:v>
                </c:pt>
                <c:pt idx="70">
                  <c:v>69.801980198019805</c:v>
                </c:pt>
                <c:pt idx="71">
                  <c:v>70.792079207920793</c:v>
                </c:pt>
                <c:pt idx="72">
                  <c:v>71.782178217821794</c:v>
                </c:pt>
                <c:pt idx="73">
                  <c:v>72.772277227722782</c:v>
                </c:pt>
                <c:pt idx="74">
                  <c:v>73.762376237623769</c:v>
                </c:pt>
                <c:pt idx="75">
                  <c:v>74.752475247524757</c:v>
                </c:pt>
                <c:pt idx="76">
                  <c:v>75.742574257425744</c:v>
                </c:pt>
                <c:pt idx="77">
                  <c:v>76.732673267326732</c:v>
                </c:pt>
                <c:pt idx="78">
                  <c:v>77.722772277227733</c:v>
                </c:pt>
                <c:pt idx="79">
                  <c:v>78.712871287128721</c:v>
                </c:pt>
                <c:pt idx="80">
                  <c:v>79.702970297029708</c:v>
                </c:pt>
                <c:pt idx="81">
                  <c:v>80.693069306930695</c:v>
                </c:pt>
                <c:pt idx="82">
                  <c:v>81.683168316831683</c:v>
                </c:pt>
                <c:pt idx="83">
                  <c:v>82.673267326732685</c:v>
                </c:pt>
                <c:pt idx="84">
                  <c:v>83.663366336633672</c:v>
                </c:pt>
                <c:pt idx="85">
                  <c:v>84.653465346534659</c:v>
                </c:pt>
                <c:pt idx="86">
                  <c:v>85.643564356435647</c:v>
                </c:pt>
                <c:pt idx="87">
                  <c:v>86.633663366336634</c:v>
                </c:pt>
                <c:pt idx="88">
                  <c:v>87.623762376237622</c:v>
                </c:pt>
                <c:pt idx="89">
                  <c:v>88.613861386138623</c:v>
                </c:pt>
                <c:pt idx="90">
                  <c:v>89.603960396039611</c:v>
                </c:pt>
                <c:pt idx="91">
                  <c:v>90.594059405940598</c:v>
                </c:pt>
                <c:pt idx="92">
                  <c:v>91.584158415841586</c:v>
                </c:pt>
                <c:pt idx="93">
                  <c:v>92.574257425742573</c:v>
                </c:pt>
                <c:pt idx="94">
                  <c:v>93.564356435643575</c:v>
                </c:pt>
                <c:pt idx="95">
                  <c:v>94.554455445544562</c:v>
                </c:pt>
                <c:pt idx="96">
                  <c:v>95.544554455445549</c:v>
                </c:pt>
                <c:pt idx="97">
                  <c:v>96.534653465346537</c:v>
                </c:pt>
                <c:pt idx="98">
                  <c:v>97.524752475247524</c:v>
                </c:pt>
                <c:pt idx="99">
                  <c:v>98.514851485148526</c:v>
                </c:pt>
                <c:pt idx="100">
                  <c:v>99.504950495049513</c:v>
                </c:pt>
              </c:numCache>
            </c:numRef>
          </c:xVal>
          <c:yVal>
            <c:numRef>
              <c:f>'Changes in S1'!$X$27:$X$127</c:f>
              <c:numCache>
                <c:formatCode>General</c:formatCode>
                <c:ptCount val="101"/>
                <c:pt idx="0">
                  <c:v>6.2274790132989892</c:v>
                </c:pt>
                <c:pt idx="1">
                  <c:v>6.2315635591021419</c:v>
                </c:pt>
                <c:pt idx="2">
                  <c:v>6.245429713809699</c:v>
                </c:pt>
                <c:pt idx="3">
                  <c:v>6.24948166830427</c:v>
                </c:pt>
                <c:pt idx="4">
                  <c:v>6.2524782073035112</c:v>
                </c:pt>
                <c:pt idx="5">
                  <c:v>6.2574228661015923</c:v>
                </c:pt>
                <c:pt idx="6">
                  <c:v>6.2671958705202542</c:v>
                </c:pt>
                <c:pt idx="7">
                  <c:v>6.2731942676002745</c:v>
                </c:pt>
                <c:pt idx="8">
                  <c:v>6.2833849708511025</c:v>
                </c:pt>
                <c:pt idx="9">
                  <c:v>6.2898836573716608</c:v>
                </c:pt>
                <c:pt idx="10">
                  <c:v>6.2952847099493283</c:v>
                </c:pt>
                <c:pt idx="11">
                  <c:v>6.3031402502024321</c:v>
                </c:pt>
                <c:pt idx="12">
                  <c:v>6.3050901210700658</c:v>
                </c:pt>
                <c:pt idx="13">
                  <c:v>6.3075798594695698</c:v>
                </c:pt>
                <c:pt idx="14">
                  <c:v>6.3141808637383292</c:v>
                </c:pt>
                <c:pt idx="15">
                  <c:v>6.3160437368728708</c:v>
                </c:pt>
                <c:pt idx="16">
                  <c:v>6.3174191674302165</c:v>
                </c:pt>
                <c:pt idx="17">
                  <c:v>6.3214942460230077</c:v>
                </c:pt>
                <c:pt idx="18">
                  <c:v>6.3282698557322874</c:v>
                </c:pt>
                <c:pt idx="19">
                  <c:v>6.3323294521662774</c:v>
                </c:pt>
                <c:pt idx="20">
                  <c:v>6.335243906961523</c:v>
                </c:pt>
                <c:pt idx="21">
                  <c:v>6.341839839277668</c:v>
                </c:pt>
                <c:pt idx="22">
                  <c:v>6.3432316811721421</c:v>
                </c:pt>
                <c:pt idx="23">
                  <c:v>6.3975805419165681</c:v>
                </c:pt>
                <c:pt idx="24">
                  <c:v>6.4005296382117649</c:v>
                </c:pt>
                <c:pt idx="25">
                  <c:v>6.4040533845725349</c:v>
                </c:pt>
                <c:pt idx="26">
                  <c:v>6.4081423596409195</c:v>
                </c:pt>
                <c:pt idx="27">
                  <c:v>6.4181089585617883</c:v>
                </c:pt>
                <c:pt idx="28">
                  <c:v>6.4221334818470268</c:v>
                </c:pt>
                <c:pt idx="29">
                  <c:v>6.4268752769077082</c:v>
                </c:pt>
                <c:pt idx="30">
                  <c:v>6.4282705988014186</c:v>
                </c:pt>
                <c:pt idx="31">
                  <c:v>6.4360971364966417</c:v>
                </c:pt>
                <c:pt idx="32">
                  <c:v>6.4420000801678725</c:v>
                </c:pt>
                <c:pt idx="33">
                  <c:v>6.4497359066060653</c:v>
                </c:pt>
                <c:pt idx="34">
                  <c:v>6.4537606119988595</c:v>
                </c:pt>
                <c:pt idx="35">
                  <c:v>6.4717091426671232</c:v>
                </c:pt>
                <c:pt idx="36">
                  <c:v>6.4886897830612043</c:v>
                </c:pt>
                <c:pt idx="37">
                  <c:v>6.512925742360494</c:v>
                </c:pt>
                <c:pt idx="38">
                  <c:v>6.5169281640644385</c:v>
                </c:pt>
                <c:pt idx="39">
                  <c:v>6.5209397906396589</c:v>
                </c:pt>
                <c:pt idx="40">
                  <c:v>6.5233947759279545</c:v>
                </c:pt>
                <c:pt idx="41">
                  <c:v>6.5247414025458284</c:v>
                </c:pt>
                <c:pt idx="42">
                  <c:v>6.537111535711233</c:v>
                </c:pt>
                <c:pt idx="43">
                  <c:v>6.5431200622826964</c:v>
                </c:pt>
                <c:pt idx="44">
                  <c:v>6.5558272671569284</c:v>
                </c:pt>
                <c:pt idx="45">
                  <c:v>6.5647509140478633</c:v>
                </c:pt>
                <c:pt idx="46">
                  <c:v>6.5774768710297167</c:v>
                </c:pt>
                <c:pt idx="47">
                  <c:v>6.5816826415165224</c:v>
                </c:pt>
                <c:pt idx="48">
                  <c:v>6.587925895780586</c:v>
                </c:pt>
                <c:pt idx="49">
                  <c:v>6.5882153683284059</c:v>
                </c:pt>
                <c:pt idx="50">
                  <c:v>6.5931611386331497</c:v>
                </c:pt>
                <c:pt idx="51">
                  <c:v>6.603579386513502</c:v>
                </c:pt>
                <c:pt idx="52">
                  <c:v>6.6075685061337026</c:v>
                </c:pt>
                <c:pt idx="53">
                  <c:v>6.617800211931808</c:v>
                </c:pt>
                <c:pt idx="54">
                  <c:v>6.621776856749193</c:v>
                </c:pt>
                <c:pt idx="55">
                  <c:v>6.6286063110371742</c:v>
                </c:pt>
                <c:pt idx="56">
                  <c:v>6.6335606719128464</c:v>
                </c:pt>
                <c:pt idx="57">
                  <c:v>6.6370198340456454</c:v>
                </c:pt>
                <c:pt idx="58">
                  <c:v>6.6658660365080777</c:v>
                </c:pt>
                <c:pt idx="59">
                  <c:v>6.6671640082590784</c:v>
                </c:pt>
                <c:pt idx="60">
                  <c:v>6.6761838944630654</c:v>
                </c:pt>
                <c:pt idx="61">
                  <c:v>6.6826530815187652</c:v>
                </c:pt>
                <c:pt idx="62">
                  <c:v>6.6854428779968202</c:v>
                </c:pt>
                <c:pt idx="63">
                  <c:v>6.6868390716618933</c:v>
                </c:pt>
                <c:pt idx="64">
                  <c:v>6.6890373019442677</c:v>
                </c:pt>
                <c:pt idx="65">
                  <c:v>6.6914810965712377</c:v>
                </c:pt>
                <c:pt idx="66">
                  <c:v>6.6949230017196442</c:v>
                </c:pt>
                <c:pt idx="67">
                  <c:v>6.6989025069193531</c:v>
                </c:pt>
                <c:pt idx="68">
                  <c:v>6.7065740423743136</c:v>
                </c:pt>
                <c:pt idx="69">
                  <c:v>6.7168819700773383</c:v>
                </c:pt>
                <c:pt idx="70">
                  <c:v>6.7278500093722187</c:v>
                </c:pt>
                <c:pt idx="71">
                  <c:v>6.7318082649601365</c:v>
                </c:pt>
                <c:pt idx="72">
                  <c:v>6.735766520547827</c:v>
                </c:pt>
                <c:pt idx="73">
                  <c:v>6.7560917792322925</c:v>
                </c:pt>
                <c:pt idx="74">
                  <c:v>6.759478969675456</c:v>
                </c:pt>
                <c:pt idx="75">
                  <c:v>6.7630151753226073</c:v>
                </c:pt>
                <c:pt idx="76">
                  <c:v>6.7647766054506064</c:v>
                </c:pt>
                <c:pt idx="77">
                  <c:v>6.7688380604434997</c:v>
                </c:pt>
                <c:pt idx="78">
                  <c:v>6.7696868127648031</c:v>
                </c:pt>
                <c:pt idx="79">
                  <c:v>6.7725979537608509</c:v>
                </c:pt>
                <c:pt idx="80">
                  <c:v>6.7765623379253839</c:v>
                </c:pt>
                <c:pt idx="81">
                  <c:v>6.782961589957381</c:v>
                </c:pt>
                <c:pt idx="82">
                  <c:v>6.7870836213813845</c:v>
                </c:pt>
                <c:pt idx="83">
                  <c:v>6.8024477076630774</c:v>
                </c:pt>
                <c:pt idx="84">
                  <c:v>6.8064364051787152</c:v>
                </c:pt>
                <c:pt idx="85">
                  <c:v>6.8074210405073927</c:v>
                </c:pt>
                <c:pt idx="86">
                  <c:v>6.8108341636859677</c:v>
                </c:pt>
                <c:pt idx="87">
                  <c:v>6.8113505416849875</c:v>
                </c:pt>
                <c:pt idx="88">
                  <c:v>6.8173096673197051</c:v>
                </c:pt>
                <c:pt idx="89">
                  <c:v>6.8212410002823844</c:v>
                </c:pt>
                <c:pt idx="90">
                  <c:v>6.8225556108827732</c:v>
                </c:pt>
                <c:pt idx="91">
                  <c:v>6.8251655437894669</c:v>
                </c:pt>
                <c:pt idx="92">
                  <c:v>6.8293395001222734</c:v>
                </c:pt>
                <c:pt idx="93">
                  <c:v>6.8407002056982265</c:v>
                </c:pt>
                <c:pt idx="94">
                  <c:v>6.8573794421679395</c:v>
                </c:pt>
                <c:pt idx="95">
                  <c:v>6.859684461808456</c:v>
                </c:pt>
                <c:pt idx="96">
                  <c:v>6.8630828957396943</c:v>
                </c:pt>
                <c:pt idx="97">
                  <c:v>6.8671333530819538</c:v>
                </c:pt>
                <c:pt idx="98">
                  <c:v>6.8700003836863743</c:v>
                </c:pt>
                <c:pt idx="99">
                  <c:v>6.8746565796307095</c:v>
                </c:pt>
                <c:pt idx="100">
                  <c:v>6.8780662653052786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8A-4A30-BDF2-C57EF4D33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17440"/>
        <c:axId val="551013832"/>
      </c:scatterChart>
      <c:valAx>
        <c:axId val="551017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1013832"/>
        <c:crosses val="autoZero"/>
        <c:crossBetween val="midCat"/>
      </c:valAx>
      <c:valAx>
        <c:axId val="5510138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101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'Proxy Delta_S1'!$B$4:$B$104</c:f>
              <c:numCache>
                <c:formatCode>General</c:formatCode>
                <c:ptCount val="101"/>
                <c:pt idx="0">
                  <c:v>973.41261967495802</c:v>
                </c:pt>
                <c:pt idx="1">
                  <c:v>973.46738035164196</c:v>
                </c:pt>
                <c:pt idx="2">
                  <c:v>973.53160828656314</c:v>
                </c:pt>
                <c:pt idx="3">
                  <c:v>973.57234561666178</c:v>
                </c:pt>
                <c:pt idx="4">
                  <c:v>973.65388122658021</c:v>
                </c:pt>
                <c:pt idx="5">
                  <c:v>973.7194734103449</c:v>
                </c:pt>
                <c:pt idx="6">
                  <c:v>973.76585067661961</c:v>
                </c:pt>
                <c:pt idx="7">
                  <c:v>973.81236064544134</c:v>
                </c:pt>
                <c:pt idx="8">
                  <c:v>973.86731520336139</c:v>
                </c:pt>
                <c:pt idx="9">
                  <c:v>973.93321043012008</c:v>
                </c:pt>
                <c:pt idx="10">
                  <c:v>973.991185899686</c:v>
                </c:pt>
                <c:pt idx="11">
                  <c:v>974.06118519144502</c:v>
                </c:pt>
                <c:pt idx="12">
                  <c:v>974.12733634512483</c:v>
                </c:pt>
                <c:pt idx="13">
                  <c:v>974.19641316878528</c:v>
                </c:pt>
                <c:pt idx="14">
                  <c:v>974.27900310230109</c:v>
                </c:pt>
                <c:pt idx="15">
                  <c:v>974.35479517253623</c:v>
                </c:pt>
                <c:pt idx="16">
                  <c:v>974.42048989984085</c:v>
                </c:pt>
                <c:pt idx="17">
                  <c:v>974.48969037367408</c:v>
                </c:pt>
                <c:pt idx="18">
                  <c:v>974.54103861267458</c:v>
                </c:pt>
                <c:pt idx="19">
                  <c:v>974.7024558763062</c:v>
                </c:pt>
                <c:pt idx="20">
                  <c:v>974.77717653143986</c:v>
                </c:pt>
                <c:pt idx="21">
                  <c:v>974.83469045704703</c:v>
                </c:pt>
                <c:pt idx="22">
                  <c:v>974.88648245128081</c:v>
                </c:pt>
                <c:pt idx="23">
                  <c:v>974.95248591579355</c:v>
                </c:pt>
                <c:pt idx="24">
                  <c:v>974.99480158302981</c:v>
                </c:pt>
                <c:pt idx="25">
                  <c:v>975.06779102315181</c:v>
                </c:pt>
                <c:pt idx="26">
                  <c:v>975.12304299006416</c:v>
                </c:pt>
                <c:pt idx="27">
                  <c:v>975.16170154069619</c:v>
                </c:pt>
                <c:pt idx="28">
                  <c:v>975.23161179727913</c:v>
                </c:pt>
                <c:pt idx="29">
                  <c:v>975.26919397238021</c:v>
                </c:pt>
                <c:pt idx="30">
                  <c:v>975.31908033752882</c:v>
                </c:pt>
                <c:pt idx="31">
                  <c:v>975.37736870882793</c:v>
                </c:pt>
                <c:pt idx="32">
                  <c:v>975.43553196183802</c:v>
                </c:pt>
                <c:pt idx="33">
                  <c:v>975.48461694057983</c:v>
                </c:pt>
                <c:pt idx="34">
                  <c:v>975.53565092986048</c:v>
                </c:pt>
                <c:pt idx="35">
                  <c:v>975.59342740553484</c:v>
                </c:pt>
                <c:pt idx="36">
                  <c:v>975.6368442454575</c:v>
                </c:pt>
                <c:pt idx="37">
                  <c:v>975.68801874630879</c:v>
                </c:pt>
                <c:pt idx="38">
                  <c:v>975.7586204939563</c:v>
                </c:pt>
                <c:pt idx="39">
                  <c:v>975.8062119578035</c:v>
                </c:pt>
                <c:pt idx="40">
                  <c:v>975.91396306721015</c:v>
                </c:pt>
                <c:pt idx="41">
                  <c:v>975.98392280977066</c:v>
                </c:pt>
                <c:pt idx="42">
                  <c:v>976.03815001770568</c:v>
                </c:pt>
                <c:pt idx="43">
                  <c:v>976.10382422184728</c:v>
                </c:pt>
                <c:pt idx="44">
                  <c:v>976.16672234950943</c:v>
                </c:pt>
                <c:pt idx="45">
                  <c:v>976.22642707739783</c:v>
                </c:pt>
                <c:pt idx="46">
                  <c:v>976.28542956566616</c:v>
                </c:pt>
                <c:pt idx="47">
                  <c:v>976.35714604296129</c:v>
                </c:pt>
                <c:pt idx="48">
                  <c:v>976.41294499065475</c:v>
                </c:pt>
                <c:pt idx="49">
                  <c:v>976.46057596237426</c:v>
                </c:pt>
                <c:pt idx="50">
                  <c:v>976.53162964174692</c:v>
                </c:pt>
                <c:pt idx="51">
                  <c:v>976.58757428822241</c:v>
                </c:pt>
                <c:pt idx="52">
                  <c:v>976.62349800326683</c:v>
                </c:pt>
                <c:pt idx="53">
                  <c:v>976.72201793629597</c:v>
                </c:pt>
                <c:pt idx="54">
                  <c:v>976.79240644728566</c:v>
                </c:pt>
                <c:pt idx="55">
                  <c:v>976.85813270523261</c:v>
                </c:pt>
                <c:pt idx="56">
                  <c:v>976.90102418268202</c:v>
                </c:pt>
                <c:pt idx="57">
                  <c:v>976.97651383279094</c:v>
                </c:pt>
                <c:pt idx="58">
                  <c:v>977.06754220350058</c:v>
                </c:pt>
                <c:pt idx="59">
                  <c:v>977.15447009414572</c:v>
                </c:pt>
                <c:pt idx="60">
                  <c:v>977.20306820085307</c:v>
                </c:pt>
                <c:pt idx="61">
                  <c:v>977.25915104239471</c:v>
                </c:pt>
                <c:pt idx="62">
                  <c:v>977.36234668304849</c:v>
                </c:pt>
                <c:pt idx="63">
                  <c:v>977.40089071246894</c:v>
                </c:pt>
                <c:pt idx="64">
                  <c:v>977.43463434596526</c:v>
                </c:pt>
                <c:pt idx="65">
                  <c:v>977.48143562373923</c:v>
                </c:pt>
                <c:pt idx="66">
                  <c:v>977.55194599262859</c:v>
                </c:pt>
                <c:pt idx="67">
                  <c:v>977.63166916145269</c:v>
                </c:pt>
                <c:pt idx="68">
                  <c:v>977.66636745778055</c:v>
                </c:pt>
                <c:pt idx="69">
                  <c:v>977.7326908441139</c:v>
                </c:pt>
                <c:pt idx="70">
                  <c:v>977.77740677634188</c:v>
                </c:pt>
                <c:pt idx="71">
                  <c:v>977.81928711094895</c:v>
                </c:pt>
                <c:pt idx="72">
                  <c:v>977.88105326223626</c:v>
                </c:pt>
                <c:pt idx="73">
                  <c:v>977.91300979918083</c:v>
                </c:pt>
                <c:pt idx="74">
                  <c:v>978.00733294272459</c:v>
                </c:pt>
                <c:pt idx="75">
                  <c:v>978.05158540077809</c:v>
                </c:pt>
                <c:pt idx="76">
                  <c:v>978.11499208083842</c:v>
                </c:pt>
                <c:pt idx="77">
                  <c:v>978.17666005685589</c:v>
                </c:pt>
                <c:pt idx="78">
                  <c:v>978.22780419188996</c:v>
                </c:pt>
                <c:pt idx="79">
                  <c:v>978.2967418419255</c:v>
                </c:pt>
                <c:pt idx="80">
                  <c:v>978.32766529246942</c:v>
                </c:pt>
                <c:pt idx="81">
                  <c:v>978.38758684283835</c:v>
                </c:pt>
                <c:pt idx="82">
                  <c:v>978.42617788638972</c:v>
                </c:pt>
                <c:pt idx="83">
                  <c:v>978.4758044478591</c:v>
                </c:pt>
                <c:pt idx="84">
                  <c:v>978.51960007223272</c:v>
                </c:pt>
                <c:pt idx="85">
                  <c:v>978.59024952591108</c:v>
                </c:pt>
                <c:pt idx="86">
                  <c:v>978.64015649803878</c:v>
                </c:pt>
                <c:pt idx="87">
                  <c:v>978.69973304235657</c:v>
                </c:pt>
                <c:pt idx="88">
                  <c:v>978.72950488087713</c:v>
                </c:pt>
                <c:pt idx="89">
                  <c:v>978.78815606484454</c:v>
                </c:pt>
                <c:pt idx="90">
                  <c:v>978.83137965454443</c:v>
                </c:pt>
                <c:pt idx="91">
                  <c:v>978.92286411023554</c:v>
                </c:pt>
                <c:pt idx="92">
                  <c:v>978.97555316585522</c:v>
                </c:pt>
                <c:pt idx="93">
                  <c:v>979.02993549321343</c:v>
                </c:pt>
                <c:pt idx="94">
                  <c:v>979.10116515639481</c:v>
                </c:pt>
                <c:pt idx="95">
                  <c:v>979.12544712894589</c:v>
                </c:pt>
                <c:pt idx="96">
                  <c:v>979.15665966214556</c:v>
                </c:pt>
                <c:pt idx="97">
                  <c:v>979.19221633691802</c:v>
                </c:pt>
                <c:pt idx="98">
                  <c:v>979.23974582292908</c:v>
                </c:pt>
                <c:pt idx="99">
                  <c:v>979.27143375752382</c:v>
                </c:pt>
                <c:pt idx="100">
                  <c:v>979.34940254364744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AA-4252-900B-8CD02E151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1008912"/>
        <c:axId val="551000384"/>
      </c:lineChart>
      <c:catAx>
        <c:axId val="551008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0384"/>
        <c:crosses val="autoZero"/>
        <c:auto val="1"/>
        <c:lblAlgn val="ctr"/>
        <c:lblOffset val="100"/>
        <c:noMultiLvlLbl val="0"/>
      </c:catAx>
      <c:valAx>
        <c:axId val="5510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'Proxy Delta_S1'!$N$4:$N$104</c:f>
              <c:numCache>
                <c:formatCode>General</c:formatCode>
                <c:ptCount val="101"/>
                <c:pt idx="0">
                  <c:v>-50</c:v>
                </c:pt>
                <c:pt idx="1">
                  <c:v>-49</c:v>
                </c:pt>
                <c:pt idx="2">
                  <c:v>-48</c:v>
                </c:pt>
                <c:pt idx="3">
                  <c:v>-47</c:v>
                </c:pt>
                <c:pt idx="4">
                  <c:v>-46</c:v>
                </c:pt>
                <c:pt idx="5">
                  <c:v>-45</c:v>
                </c:pt>
                <c:pt idx="6">
                  <c:v>-44</c:v>
                </c:pt>
                <c:pt idx="7">
                  <c:v>-43</c:v>
                </c:pt>
                <c:pt idx="8">
                  <c:v>-42</c:v>
                </c:pt>
                <c:pt idx="9">
                  <c:v>-41</c:v>
                </c:pt>
                <c:pt idx="10">
                  <c:v>-40</c:v>
                </c:pt>
                <c:pt idx="11">
                  <c:v>-39</c:v>
                </c:pt>
                <c:pt idx="12">
                  <c:v>-38</c:v>
                </c:pt>
                <c:pt idx="13">
                  <c:v>-37</c:v>
                </c:pt>
                <c:pt idx="14">
                  <c:v>-36</c:v>
                </c:pt>
                <c:pt idx="15">
                  <c:v>-35</c:v>
                </c:pt>
                <c:pt idx="16">
                  <c:v>-34</c:v>
                </c:pt>
                <c:pt idx="17">
                  <c:v>-33</c:v>
                </c:pt>
                <c:pt idx="18">
                  <c:v>-32</c:v>
                </c:pt>
                <c:pt idx="19">
                  <c:v>-31</c:v>
                </c:pt>
                <c:pt idx="20">
                  <c:v>-30</c:v>
                </c:pt>
                <c:pt idx="21">
                  <c:v>-29</c:v>
                </c:pt>
                <c:pt idx="22">
                  <c:v>-28</c:v>
                </c:pt>
                <c:pt idx="23">
                  <c:v>-27</c:v>
                </c:pt>
                <c:pt idx="24">
                  <c:v>-26</c:v>
                </c:pt>
                <c:pt idx="25">
                  <c:v>-25</c:v>
                </c:pt>
                <c:pt idx="26">
                  <c:v>-24</c:v>
                </c:pt>
                <c:pt idx="27">
                  <c:v>-23</c:v>
                </c:pt>
                <c:pt idx="28">
                  <c:v>-22</c:v>
                </c:pt>
                <c:pt idx="29">
                  <c:v>-21</c:v>
                </c:pt>
                <c:pt idx="30">
                  <c:v>-20</c:v>
                </c:pt>
                <c:pt idx="31">
                  <c:v>-19</c:v>
                </c:pt>
                <c:pt idx="32">
                  <c:v>-18</c:v>
                </c:pt>
                <c:pt idx="33">
                  <c:v>-17</c:v>
                </c:pt>
                <c:pt idx="34">
                  <c:v>-16</c:v>
                </c:pt>
                <c:pt idx="35">
                  <c:v>-15</c:v>
                </c:pt>
                <c:pt idx="36">
                  <c:v>-14</c:v>
                </c:pt>
                <c:pt idx="37">
                  <c:v>-13</c:v>
                </c:pt>
                <c:pt idx="38">
                  <c:v>-12</c:v>
                </c:pt>
                <c:pt idx="39">
                  <c:v>-11</c:v>
                </c:pt>
                <c:pt idx="40">
                  <c:v>-10</c:v>
                </c:pt>
                <c:pt idx="41">
                  <c:v>-9</c:v>
                </c:pt>
                <c:pt idx="42">
                  <c:v>-8</c:v>
                </c:pt>
                <c:pt idx="43">
                  <c:v>-7</c:v>
                </c:pt>
                <c:pt idx="44">
                  <c:v>-6</c:v>
                </c:pt>
                <c:pt idx="45">
                  <c:v>-5</c:v>
                </c:pt>
                <c:pt idx="46">
                  <c:v>-4</c:v>
                </c:pt>
                <c:pt idx="47">
                  <c:v>-3</c:v>
                </c:pt>
                <c:pt idx="48">
                  <c:v>-2</c:v>
                </c:pt>
                <c:pt idx="49">
                  <c:v>-1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10</c:v>
                </c:pt>
                <c:pt idx="61">
                  <c:v>11</c:v>
                </c:pt>
                <c:pt idx="62">
                  <c:v>12</c:v>
                </c:pt>
                <c:pt idx="63">
                  <c:v>13</c:v>
                </c:pt>
                <c:pt idx="64">
                  <c:v>14</c:v>
                </c:pt>
                <c:pt idx="65">
                  <c:v>15</c:v>
                </c:pt>
                <c:pt idx="66">
                  <c:v>16</c:v>
                </c:pt>
                <c:pt idx="67">
                  <c:v>17</c:v>
                </c:pt>
                <c:pt idx="68">
                  <c:v>18</c:v>
                </c:pt>
                <c:pt idx="69">
                  <c:v>19</c:v>
                </c:pt>
                <c:pt idx="70">
                  <c:v>20</c:v>
                </c:pt>
                <c:pt idx="71">
                  <c:v>21</c:v>
                </c:pt>
                <c:pt idx="72">
                  <c:v>22</c:v>
                </c:pt>
                <c:pt idx="73">
                  <c:v>23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28</c:v>
                </c:pt>
                <c:pt idx="79">
                  <c:v>29</c:v>
                </c:pt>
                <c:pt idx="80">
                  <c:v>30</c:v>
                </c:pt>
                <c:pt idx="81">
                  <c:v>31</c:v>
                </c:pt>
                <c:pt idx="82">
                  <c:v>32</c:v>
                </c:pt>
                <c:pt idx="83">
                  <c:v>33</c:v>
                </c:pt>
                <c:pt idx="84">
                  <c:v>34</c:v>
                </c:pt>
                <c:pt idx="85">
                  <c:v>35</c:v>
                </c:pt>
                <c:pt idx="86">
                  <c:v>36</c:v>
                </c:pt>
                <c:pt idx="87">
                  <c:v>37</c:v>
                </c:pt>
                <c:pt idx="88">
                  <c:v>38</c:v>
                </c:pt>
                <c:pt idx="89">
                  <c:v>39</c:v>
                </c:pt>
                <c:pt idx="90">
                  <c:v>40</c:v>
                </c:pt>
                <c:pt idx="91">
                  <c:v>41</c:v>
                </c:pt>
                <c:pt idx="92">
                  <c:v>42</c:v>
                </c:pt>
                <c:pt idx="93">
                  <c:v>43</c:v>
                </c:pt>
                <c:pt idx="94">
                  <c:v>44</c:v>
                </c:pt>
                <c:pt idx="95">
                  <c:v>45</c:v>
                </c:pt>
                <c:pt idx="96">
                  <c:v>46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50</c:v>
                </c:pt>
              </c:numCache>
            </c:numRef>
          </c:xVal>
          <c:yVal>
            <c:numRef>
              <c:f>'Proxy Delta_S1'!$O$4:$O$104</c:f>
              <c:numCache>
                <c:formatCode>General</c:formatCode>
                <c:ptCount val="101"/>
                <c:pt idx="0">
                  <c:v>-3.1190099667888944</c:v>
                </c:pt>
                <c:pt idx="1">
                  <c:v>-3.0642492901049536</c:v>
                </c:pt>
                <c:pt idx="2">
                  <c:v>-3.000021355183776</c:v>
                </c:pt>
                <c:pt idx="3">
                  <c:v>-2.9592840250851395</c:v>
                </c:pt>
                <c:pt idx="4">
                  <c:v>-2.8777484151667068</c:v>
                </c:pt>
                <c:pt idx="5">
                  <c:v>-2.8121562314020139</c:v>
                </c:pt>
                <c:pt idx="6">
                  <c:v>-2.7657789651273106</c:v>
                </c:pt>
                <c:pt idx="7">
                  <c:v>-2.7192689963055727</c:v>
                </c:pt>
                <c:pt idx="8">
                  <c:v>-2.6643144383855315</c:v>
                </c:pt>
                <c:pt idx="9">
                  <c:v>-2.5984192116268332</c:v>
                </c:pt>
                <c:pt idx="10">
                  <c:v>-2.5404437420609156</c:v>
                </c:pt>
                <c:pt idx="11">
                  <c:v>-2.4704444503018976</c:v>
                </c:pt>
                <c:pt idx="12">
                  <c:v>-2.404293296622086</c:v>
                </c:pt>
                <c:pt idx="13">
                  <c:v>-2.3352164729616334</c:v>
                </c:pt>
                <c:pt idx="14">
                  <c:v>-2.2526265394458278</c:v>
                </c:pt>
                <c:pt idx="15">
                  <c:v>-2.1768344692106893</c:v>
                </c:pt>
                <c:pt idx="16">
                  <c:v>-2.1111397419060722</c:v>
                </c:pt>
                <c:pt idx="17">
                  <c:v>-2.0419392680728379</c:v>
                </c:pt>
                <c:pt idx="18">
                  <c:v>-1.9905910290723341</c:v>
                </c:pt>
                <c:pt idx="19">
                  <c:v>-1.8291737654407143</c:v>
                </c:pt>
                <c:pt idx="20">
                  <c:v>-1.754453110307054</c:v>
                </c:pt>
                <c:pt idx="21">
                  <c:v>-1.696939184699886</c:v>
                </c:pt>
                <c:pt idx="22">
                  <c:v>-1.6451471904661048</c:v>
                </c:pt>
                <c:pt idx="23">
                  <c:v>-1.5791437259533723</c:v>
                </c:pt>
                <c:pt idx="24">
                  <c:v>-1.5368280587171057</c:v>
                </c:pt>
                <c:pt idx="25">
                  <c:v>-1.4638386185951049</c:v>
                </c:pt>
                <c:pt idx="26">
                  <c:v>-1.4085866516827537</c:v>
                </c:pt>
                <c:pt idx="27">
                  <c:v>-1.369928101050732</c:v>
                </c:pt>
                <c:pt idx="28">
                  <c:v>-1.3000178444677886</c:v>
                </c:pt>
                <c:pt idx="29">
                  <c:v>-1.2624356693667096</c:v>
                </c:pt>
                <c:pt idx="30">
                  <c:v>-1.2125493042181006</c:v>
                </c:pt>
                <c:pt idx="31">
                  <c:v>-1.1542609329189872</c:v>
                </c:pt>
                <c:pt idx="32">
                  <c:v>-1.096097679908894</c:v>
                </c:pt>
                <c:pt idx="33">
                  <c:v>-1.0470127011670911</c:v>
                </c:pt>
                <c:pt idx="34">
                  <c:v>-0.99597871188643694</c:v>
                </c:pt>
                <c:pt idx="35">
                  <c:v>-0.93820223621207788</c:v>
                </c:pt>
                <c:pt idx="36">
                  <c:v>-0.89478539628942144</c:v>
                </c:pt>
                <c:pt idx="37">
                  <c:v>-0.8436108954381325</c:v>
                </c:pt>
                <c:pt idx="38">
                  <c:v>-0.77300914779061713</c:v>
                </c:pt>
                <c:pt idx="39">
                  <c:v>-0.72541768394341943</c:v>
                </c:pt>
                <c:pt idx="40">
                  <c:v>-0.61766657453676999</c:v>
                </c:pt>
                <c:pt idx="41">
                  <c:v>-0.54770683197625658</c:v>
                </c:pt>
                <c:pt idx="42">
                  <c:v>-0.49347962404124246</c:v>
                </c:pt>
                <c:pt idx="43">
                  <c:v>-0.42780541989964149</c:v>
                </c:pt>
                <c:pt idx="44">
                  <c:v>-0.36490729223748986</c:v>
                </c:pt>
                <c:pt idx="45">
                  <c:v>-0.30520256434908788</c:v>
                </c:pt>
                <c:pt idx="46">
                  <c:v>-0.24620007608075412</c:v>
                </c:pt>
                <c:pt idx="47">
                  <c:v>-0.17448359878562769</c:v>
                </c:pt>
                <c:pt idx="48">
                  <c:v>-0.11868465109216686</c:v>
                </c:pt>
                <c:pt idx="49">
                  <c:v>-7.1053679372653278E-2</c:v>
                </c:pt>
                <c:pt idx="50">
                  <c:v>0</c:v>
                </c:pt>
                <c:pt idx="51">
                  <c:v>5.5944646475495574E-2</c:v>
                </c:pt>
                <c:pt idx="52">
                  <c:v>9.1868361519914288E-2</c:v>
                </c:pt>
                <c:pt idx="53">
                  <c:v>0.19038829454905226</c:v>
                </c:pt>
                <c:pt idx="54">
                  <c:v>0.26077680553873961</c:v>
                </c:pt>
                <c:pt idx="55">
                  <c:v>0.32650306348568847</c:v>
                </c:pt>
                <c:pt idx="56">
                  <c:v>0.36939454093510449</c:v>
                </c:pt>
                <c:pt idx="57">
                  <c:v>0.4448841910440251</c:v>
                </c:pt>
                <c:pt idx="58">
                  <c:v>0.53591256175366198</c:v>
                </c:pt>
                <c:pt idx="59">
                  <c:v>0.6228404523988047</c:v>
                </c:pt>
                <c:pt idx="60">
                  <c:v>0.67143855910615002</c:v>
                </c:pt>
                <c:pt idx="61">
                  <c:v>0.72752140064778814</c:v>
                </c:pt>
                <c:pt idx="62">
                  <c:v>0.83071704130156832</c:v>
                </c:pt>
                <c:pt idx="63">
                  <c:v>0.8692610707220183</c:v>
                </c:pt>
                <c:pt idx="64">
                  <c:v>0.90300470421834689</c:v>
                </c:pt>
                <c:pt idx="65">
                  <c:v>0.94980598199231281</c:v>
                </c:pt>
                <c:pt idx="66">
                  <c:v>1.0203163508816715</c:v>
                </c:pt>
                <c:pt idx="67">
                  <c:v>1.1000395197057742</c:v>
                </c:pt>
                <c:pt idx="68">
                  <c:v>1.1347378160336348</c:v>
                </c:pt>
                <c:pt idx="69">
                  <c:v>1.2010612023669864</c:v>
                </c:pt>
                <c:pt idx="70">
                  <c:v>1.2457771345949595</c:v>
                </c:pt>
                <c:pt idx="71">
                  <c:v>1.2876574692020313</c:v>
                </c:pt>
                <c:pt idx="72">
                  <c:v>1.3494236204893468</c:v>
                </c:pt>
                <c:pt idx="73">
                  <c:v>1.3813801574339095</c:v>
                </c:pt>
                <c:pt idx="74">
                  <c:v>1.4757033009776706</c:v>
                </c:pt>
                <c:pt idx="75">
                  <c:v>1.519955759031177</c:v>
                </c:pt>
                <c:pt idx="76">
                  <c:v>1.583362439091502</c:v>
                </c:pt>
                <c:pt idx="77">
                  <c:v>1.6450304151089767</c:v>
                </c:pt>
                <c:pt idx="78">
                  <c:v>1.6961745501430414</c:v>
                </c:pt>
                <c:pt idx="79">
                  <c:v>1.765112200178578</c:v>
                </c:pt>
                <c:pt idx="80">
                  <c:v>1.7960356507225015</c:v>
                </c:pt>
                <c:pt idx="81">
                  <c:v>1.855957201091428</c:v>
                </c:pt>
                <c:pt idx="82">
                  <c:v>1.8945482446428059</c:v>
                </c:pt>
                <c:pt idx="83">
                  <c:v>1.9441748061121871</c:v>
                </c:pt>
                <c:pt idx="84">
                  <c:v>1.9879704304858024</c:v>
                </c:pt>
                <c:pt idx="85">
                  <c:v>2.058619884164159</c:v>
                </c:pt>
                <c:pt idx="86">
                  <c:v>2.10852685629186</c:v>
                </c:pt>
                <c:pt idx="87">
                  <c:v>2.1681034006096525</c:v>
                </c:pt>
                <c:pt idx="88">
                  <c:v>2.1978752391302123</c:v>
                </c:pt>
                <c:pt idx="89">
                  <c:v>2.2565264230976254</c:v>
                </c:pt>
                <c:pt idx="90">
                  <c:v>2.2997500127975172</c:v>
                </c:pt>
                <c:pt idx="91">
                  <c:v>2.3912344684886193</c:v>
                </c:pt>
                <c:pt idx="92">
                  <c:v>2.4439235241082997</c:v>
                </c:pt>
                <c:pt idx="93">
                  <c:v>2.4983058514665117</c:v>
                </c:pt>
                <c:pt idx="94">
                  <c:v>2.569535514647896</c:v>
                </c:pt>
                <c:pt idx="95">
                  <c:v>2.5938174871989759</c:v>
                </c:pt>
                <c:pt idx="96">
                  <c:v>2.6250300203986399</c:v>
                </c:pt>
                <c:pt idx="97">
                  <c:v>2.660586695171105</c:v>
                </c:pt>
                <c:pt idx="98">
                  <c:v>2.708116181182163</c:v>
                </c:pt>
                <c:pt idx="99">
                  <c:v>2.7398041157769057</c:v>
                </c:pt>
                <c:pt idx="100">
                  <c:v>2.8177729019005255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7D-4E58-863E-FCE2A58D630F}"/>
            </c:ext>
          </c:extLst>
        </c:ser>
        <c:ser>
          <c:idx val="1"/>
          <c:order val="1"/>
          <c:tx>
            <c:v>Predicted Y</c:v>
          </c:tx>
          <c:spPr>
            <a:ln w="19050">
              <a:noFill/>
            </a:ln>
          </c:spPr>
          <c:xVal>
            <c:numRef>
              <c:f>'Proxy Delta_S1'!$N$4:$N$104</c:f>
              <c:numCache>
                <c:formatCode>General</c:formatCode>
                <c:ptCount val="101"/>
                <c:pt idx="0">
                  <c:v>-50</c:v>
                </c:pt>
                <c:pt idx="1">
                  <c:v>-49</c:v>
                </c:pt>
                <c:pt idx="2">
                  <c:v>-48</c:v>
                </c:pt>
                <c:pt idx="3">
                  <c:v>-47</c:v>
                </c:pt>
                <c:pt idx="4">
                  <c:v>-46</c:v>
                </c:pt>
                <c:pt idx="5">
                  <c:v>-45</c:v>
                </c:pt>
                <c:pt idx="6">
                  <c:v>-44</c:v>
                </c:pt>
                <c:pt idx="7">
                  <c:v>-43</c:v>
                </c:pt>
                <c:pt idx="8">
                  <c:v>-42</c:v>
                </c:pt>
                <c:pt idx="9">
                  <c:v>-41</c:v>
                </c:pt>
                <c:pt idx="10">
                  <c:v>-40</c:v>
                </c:pt>
                <c:pt idx="11">
                  <c:v>-39</c:v>
                </c:pt>
                <c:pt idx="12">
                  <c:v>-38</c:v>
                </c:pt>
                <c:pt idx="13">
                  <c:v>-37</c:v>
                </c:pt>
                <c:pt idx="14">
                  <c:v>-36</c:v>
                </c:pt>
                <c:pt idx="15">
                  <c:v>-35</c:v>
                </c:pt>
                <c:pt idx="16">
                  <c:v>-34</c:v>
                </c:pt>
                <c:pt idx="17">
                  <c:v>-33</c:v>
                </c:pt>
                <c:pt idx="18">
                  <c:v>-32</c:v>
                </c:pt>
                <c:pt idx="19">
                  <c:v>-31</c:v>
                </c:pt>
                <c:pt idx="20">
                  <c:v>-30</c:v>
                </c:pt>
                <c:pt idx="21">
                  <c:v>-29</c:v>
                </c:pt>
                <c:pt idx="22">
                  <c:v>-28</c:v>
                </c:pt>
                <c:pt idx="23">
                  <c:v>-27</c:v>
                </c:pt>
                <c:pt idx="24">
                  <c:v>-26</c:v>
                </c:pt>
                <c:pt idx="25">
                  <c:v>-25</c:v>
                </c:pt>
                <c:pt idx="26">
                  <c:v>-24</c:v>
                </c:pt>
                <c:pt idx="27">
                  <c:v>-23</c:v>
                </c:pt>
                <c:pt idx="28">
                  <c:v>-22</c:v>
                </c:pt>
                <c:pt idx="29">
                  <c:v>-21</c:v>
                </c:pt>
                <c:pt idx="30">
                  <c:v>-20</c:v>
                </c:pt>
                <c:pt idx="31">
                  <c:v>-19</c:v>
                </c:pt>
                <c:pt idx="32">
                  <c:v>-18</c:v>
                </c:pt>
                <c:pt idx="33">
                  <c:v>-17</c:v>
                </c:pt>
                <c:pt idx="34">
                  <c:v>-16</c:v>
                </c:pt>
                <c:pt idx="35">
                  <c:v>-15</c:v>
                </c:pt>
                <c:pt idx="36">
                  <c:v>-14</c:v>
                </c:pt>
                <c:pt idx="37">
                  <c:v>-13</c:v>
                </c:pt>
                <c:pt idx="38">
                  <c:v>-12</c:v>
                </c:pt>
                <c:pt idx="39">
                  <c:v>-11</c:v>
                </c:pt>
                <c:pt idx="40">
                  <c:v>-10</c:v>
                </c:pt>
                <c:pt idx="41">
                  <c:v>-9</c:v>
                </c:pt>
                <c:pt idx="42">
                  <c:v>-8</c:v>
                </c:pt>
                <c:pt idx="43">
                  <c:v>-7</c:v>
                </c:pt>
                <c:pt idx="44">
                  <c:v>-6</c:v>
                </c:pt>
                <c:pt idx="45">
                  <c:v>-5</c:v>
                </c:pt>
                <c:pt idx="46">
                  <c:v>-4</c:v>
                </c:pt>
                <c:pt idx="47">
                  <c:v>-3</c:v>
                </c:pt>
                <c:pt idx="48">
                  <c:v>-2</c:v>
                </c:pt>
                <c:pt idx="49">
                  <c:v>-1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10</c:v>
                </c:pt>
                <c:pt idx="61">
                  <c:v>11</c:v>
                </c:pt>
                <c:pt idx="62">
                  <c:v>12</c:v>
                </c:pt>
                <c:pt idx="63">
                  <c:v>13</c:v>
                </c:pt>
                <c:pt idx="64">
                  <c:v>14</c:v>
                </c:pt>
                <c:pt idx="65">
                  <c:v>15</c:v>
                </c:pt>
                <c:pt idx="66">
                  <c:v>16</c:v>
                </c:pt>
                <c:pt idx="67">
                  <c:v>17</c:v>
                </c:pt>
                <c:pt idx="68">
                  <c:v>18</c:v>
                </c:pt>
                <c:pt idx="69">
                  <c:v>19</c:v>
                </c:pt>
                <c:pt idx="70">
                  <c:v>20</c:v>
                </c:pt>
                <c:pt idx="71">
                  <c:v>21</c:v>
                </c:pt>
                <c:pt idx="72">
                  <c:v>22</c:v>
                </c:pt>
                <c:pt idx="73">
                  <c:v>23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28</c:v>
                </c:pt>
                <c:pt idx="79">
                  <c:v>29</c:v>
                </c:pt>
                <c:pt idx="80">
                  <c:v>30</c:v>
                </c:pt>
                <c:pt idx="81">
                  <c:v>31</c:v>
                </c:pt>
                <c:pt idx="82">
                  <c:v>32</c:v>
                </c:pt>
                <c:pt idx="83">
                  <c:v>33</c:v>
                </c:pt>
                <c:pt idx="84">
                  <c:v>34</c:v>
                </c:pt>
                <c:pt idx="85">
                  <c:v>35</c:v>
                </c:pt>
                <c:pt idx="86">
                  <c:v>36</c:v>
                </c:pt>
                <c:pt idx="87">
                  <c:v>37</c:v>
                </c:pt>
                <c:pt idx="88">
                  <c:v>38</c:v>
                </c:pt>
                <c:pt idx="89">
                  <c:v>39</c:v>
                </c:pt>
                <c:pt idx="90">
                  <c:v>40</c:v>
                </c:pt>
                <c:pt idx="91">
                  <c:v>41</c:v>
                </c:pt>
                <c:pt idx="92">
                  <c:v>42</c:v>
                </c:pt>
                <c:pt idx="93">
                  <c:v>43</c:v>
                </c:pt>
                <c:pt idx="94">
                  <c:v>44</c:v>
                </c:pt>
                <c:pt idx="95">
                  <c:v>45</c:v>
                </c:pt>
                <c:pt idx="96">
                  <c:v>46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50</c:v>
                </c:pt>
              </c:numCache>
            </c:numRef>
          </c:xVal>
          <c:yVal>
            <c:numRef>
              <c:f>'Proxy Delta_S1'!$Q$28:$Q$128</c:f>
              <c:numCache>
                <c:formatCode>General</c:formatCode>
                <c:ptCount val="101"/>
                <c:pt idx="0">
                  <c:v>-3.0450353882769314</c:v>
                </c:pt>
                <c:pt idx="1">
                  <c:v>-2.9847141217603652</c:v>
                </c:pt>
                <c:pt idx="2">
                  <c:v>-2.9243928552437986</c:v>
                </c:pt>
                <c:pt idx="3">
                  <c:v>-2.8640715887272323</c:v>
                </c:pt>
                <c:pt idx="4">
                  <c:v>-2.8037503222106661</c:v>
                </c:pt>
                <c:pt idx="5">
                  <c:v>-2.7434290556940994</c:v>
                </c:pt>
                <c:pt idx="6">
                  <c:v>-2.6831077891775332</c:v>
                </c:pt>
                <c:pt idx="7">
                  <c:v>-2.622786522660967</c:v>
                </c:pt>
                <c:pt idx="8">
                  <c:v>-2.5624652561444003</c:v>
                </c:pt>
                <c:pt idx="9">
                  <c:v>-2.5021439896278341</c:v>
                </c:pt>
                <c:pt idx="10">
                  <c:v>-2.4418227231112679</c:v>
                </c:pt>
                <c:pt idx="11">
                  <c:v>-2.3815014565947012</c:v>
                </c:pt>
                <c:pt idx="12">
                  <c:v>-2.321180190078135</c:v>
                </c:pt>
                <c:pt idx="13">
                  <c:v>-2.2608589235615688</c:v>
                </c:pt>
                <c:pt idx="14">
                  <c:v>-2.2005376570450021</c:v>
                </c:pt>
                <c:pt idx="15">
                  <c:v>-2.1402163905284359</c:v>
                </c:pt>
                <c:pt idx="16">
                  <c:v>-2.0798951240118697</c:v>
                </c:pt>
                <c:pt idx="17">
                  <c:v>-2.019573857495303</c:v>
                </c:pt>
                <c:pt idx="18">
                  <c:v>-1.9592525909787368</c:v>
                </c:pt>
                <c:pt idx="19">
                  <c:v>-1.8989313244621704</c:v>
                </c:pt>
                <c:pt idx="20">
                  <c:v>-1.8386100579456042</c:v>
                </c:pt>
                <c:pt idx="21">
                  <c:v>-1.7782887914290377</c:v>
                </c:pt>
                <c:pt idx="22">
                  <c:v>-1.7179675249124713</c:v>
                </c:pt>
                <c:pt idx="23">
                  <c:v>-1.6576462583959051</c:v>
                </c:pt>
                <c:pt idx="24">
                  <c:v>-1.5973249918793386</c:v>
                </c:pt>
                <c:pt idx="25">
                  <c:v>-1.5370037253627722</c:v>
                </c:pt>
                <c:pt idx="26">
                  <c:v>-1.4766824588462057</c:v>
                </c:pt>
                <c:pt idx="27">
                  <c:v>-1.4163611923296395</c:v>
                </c:pt>
                <c:pt idx="28">
                  <c:v>-1.3560399258130731</c:v>
                </c:pt>
                <c:pt idx="29">
                  <c:v>-1.2957186592965066</c:v>
                </c:pt>
                <c:pt idx="30">
                  <c:v>-1.2353973927799404</c:v>
                </c:pt>
                <c:pt idx="31">
                  <c:v>-1.175076126263374</c:v>
                </c:pt>
                <c:pt idx="32">
                  <c:v>-1.1147548597468075</c:v>
                </c:pt>
                <c:pt idx="33">
                  <c:v>-1.0544335932302413</c:v>
                </c:pt>
                <c:pt idx="34">
                  <c:v>-0.99411232671367478</c:v>
                </c:pt>
                <c:pt idx="35">
                  <c:v>-0.93379106019710845</c:v>
                </c:pt>
                <c:pt idx="36">
                  <c:v>-0.87346979368054201</c:v>
                </c:pt>
                <c:pt idx="37">
                  <c:v>-0.81314852716397568</c:v>
                </c:pt>
                <c:pt idx="38">
                  <c:v>-0.75282726064740924</c:v>
                </c:pt>
                <c:pt idx="39">
                  <c:v>-0.69250599413084291</c:v>
                </c:pt>
                <c:pt idx="40">
                  <c:v>-0.63218472761427658</c:v>
                </c:pt>
                <c:pt idx="41">
                  <c:v>-0.57186346109771014</c:v>
                </c:pt>
                <c:pt idx="42">
                  <c:v>-0.51154219458114381</c:v>
                </c:pt>
                <c:pt idx="43">
                  <c:v>-0.45122092806457742</c:v>
                </c:pt>
                <c:pt idx="44">
                  <c:v>-0.39089966154801103</c:v>
                </c:pt>
                <c:pt idx="45">
                  <c:v>-0.33057839503144471</c:v>
                </c:pt>
                <c:pt idx="46">
                  <c:v>-0.27025712851487832</c:v>
                </c:pt>
                <c:pt idx="47">
                  <c:v>-0.20993586199831193</c:v>
                </c:pt>
                <c:pt idx="48">
                  <c:v>-0.14961459548174558</c:v>
                </c:pt>
                <c:pt idx="49">
                  <c:v>-8.9293328965179219E-2</c:v>
                </c:pt>
                <c:pt idx="50">
                  <c:v>-2.8972062448612841E-2</c:v>
                </c:pt>
                <c:pt idx="51">
                  <c:v>3.134920406795353E-2</c:v>
                </c:pt>
                <c:pt idx="52">
                  <c:v>9.1670470584519909E-2</c:v>
                </c:pt>
                <c:pt idx="53">
                  <c:v>0.15199173710108627</c:v>
                </c:pt>
                <c:pt idx="54">
                  <c:v>0.21231300361765265</c:v>
                </c:pt>
                <c:pt idx="55">
                  <c:v>0.27263427013421904</c:v>
                </c:pt>
                <c:pt idx="56">
                  <c:v>0.33295553665078537</c:v>
                </c:pt>
                <c:pt idx="57">
                  <c:v>0.39327680316735175</c:v>
                </c:pt>
                <c:pt idx="58">
                  <c:v>0.45359806968391814</c:v>
                </c:pt>
                <c:pt idx="59">
                  <c:v>0.51391933620048447</c:v>
                </c:pt>
                <c:pt idx="60">
                  <c:v>0.57424060271705091</c:v>
                </c:pt>
                <c:pt idx="61">
                  <c:v>0.63456186923361724</c:v>
                </c:pt>
                <c:pt idx="62">
                  <c:v>0.69488313575018357</c:v>
                </c:pt>
                <c:pt idx="63">
                  <c:v>0.75520440226675001</c:v>
                </c:pt>
                <c:pt idx="64">
                  <c:v>0.81552566878331634</c:v>
                </c:pt>
                <c:pt idx="65">
                  <c:v>0.87584693529988278</c:v>
                </c:pt>
                <c:pt idx="66">
                  <c:v>0.93616820181644911</c:v>
                </c:pt>
                <c:pt idx="67">
                  <c:v>0.99648946833301555</c:v>
                </c:pt>
                <c:pt idx="68">
                  <c:v>1.0568107348495817</c:v>
                </c:pt>
                <c:pt idx="69">
                  <c:v>1.1171320013661481</c:v>
                </c:pt>
                <c:pt idx="70">
                  <c:v>1.1774532678827145</c:v>
                </c:pt>
                <c:pt idx="71">
                  <c:v>1.2377745343992808</c:v>
                </c:pt>
                <c:pt idx="72">
                  <c:v>1.2980958009158472</c:v>
                </c:pt>
                <c:pt idx="73">
                  <c:v>1.3584170674324136</c:v>
                </c:pt>
                <c:pt idx="74">
                  <c:v>1.4187383339489799</c:v>
                </c:pt>
                <c:pt idx="75">
                  <c:v>1.4790596004655463</c:v>
                </c:pt>
                <c:pt idx="76">
                  <c:v>1.5393808669821127</c:v>
                </c:pt>
                <c:pt idx="77">
                  <c:v>1.5997021334986792</c:v>
                </c:pt>
                <c:pt idx="78">
                  <c:v>1.6600234000152454</c:v>
                </c:pt>
                <c:pt idx="79">
                  <c:v>1.7203446665318118</c:v>
                </c:pt>
                <c:pt idx="80">
                  <c:v>1.7806659330483783</c:v>
                </c:pt>
                <c:pt idx="81">
                  <c:v>1.8409871995649445</c:v>
                </c:pt>
                <c:pt idx="82">
                  <c:v>1.9013084660815109</c:v>
                </c:pt>
                <c:pt idx="83">
                  <c:v>1.9616297325980774</c:v>
                </c:pt>
                <c:pt idx="84">
                  <c:v>2.0219509991146438</c:v>
                </c:pt>
                <c:pt idx="85">
                  <c:v>2.08227226563121</c:v>
                </c:pt>
                <c:pt idx="86">
                  <c:v>2.1425935321477763</c:v>
                </c:pt>
                <c:pt idx="87">
                  <c:v>2.2029147986643429</c:v>
                </c:pt>
                <c:pt idx="88">
                  <c:v>2.2632360651809091</c:v>
                </c:pt>
                <c:pt idx="89">
                  <c:v>2.3235573316974754</c:v>
                </c:pt>
                <c:pt idx="90">
                  <c:v>2.383878598214042</c:v>
                </c:pt>
                <c:pt idx="91">
                  <c:v>2.4441998647306082</c:v>
                </c:pt>
                <c:pt idx="92">
                  <c:v>2.5045211312471745</c:v>
                </c:pt>
                <c:pt idx="93">
                  <c:v>2.5648423977637411</c:v>
                </c:pt>
                <c:pt idx="94">
                  <c:v>2.6251636642803073</c:v>
                </c:pt>
                <c:pt idx="95">
                  <c:v>2.6854849307968736</c:v>
                </c:pt>
                <c:pt idx="96">
                  <c:v>2.7458061973134402</c:v>
                </c:pt>
                <c:pt idx="97">
                  <c:v>2.8061274638300064</c:v>
                </c:pt>
                <c:pt idx="98">
                  <c:v>2.8664487303465727</c:v>
                </c:pt>
                <c:pt idx="99">
                  <c:v>2.9267699968631393</c:v>
                </c:pt>
                <c:pt idx="100">
                  <c:v>2.9870912633797055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7D-4E58-863E-FCE2A58D6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875400"/>
        <c:axId val="589877040"/>
      </c:scatterChart>
      <c:valAx>
        <c:axId val="58987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89877040"/>
        <c:crosses val="autoZero"/>
        <c:crossBetween val="midCat"/>
      </c:valAx>
      <c:valAx>
        <c:axId val="5898770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89875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'Proxy Delta_S1'!$T$28:$T$128</c:f>
              <c:numCache>
                <c:formatCode>General</c:formatCode>
                <c:ptCount val="101"/>
                <c:pt idx="0">
                  <c:v>0.49504950495049505</c:v>
                </c:pt>
                <c:pt idx="1">
                  <c:v>1.4851485148514851</c:v>
                </c:pt>
                <c:pt idx="2">
                  <c:v>2.4752475247524752</c:v>
                </c:pt>
                <c:pt idx="3">
                  <c:v>3.4653465346534653</c:v>
                </c:pt>
                <c:pt idx="4">
                  <c:v>4.4554455445544559</c:v>
                </c:pt>
                <c:pt idx="5">
                  <c:v>5.4455445544554451</c:v>
                </c:pt>
                <c:pt idx="6">
                  <c:v>6.435643564356436</c:v>
                </c:pt>
                <c:pt idx="7">
                  <c:v>7.4257425742574252</c:v>
                </c:pt>
                <c:pt idx="8">
                  <c:v>8.4158415841584162</c:v>
                </c:pt>
                <c:pt idx="9">
                  <c:v>9.4059405940594072</c:v>
                </c:pt>
                <c:pt idx="10">
                  <c:v>10.396039603960396</c:v>
                </c:pt>
                <c:pt idx="11">
                  <c:v>11.386138613861386</c:v>
                </c:pt>
                <c:pt idx="12">
                  <c:v>12.376237623762377</c:v>
                </c:pt>
                <c:pt idx="13">
                  <c:v>13.366336633663368</c:v>
                </c:pt>
                <c:pt idx="14">
                  <c:v>14.356435643564357</c:v>
                </c:pt>
                <c:pt idx="15">
                  <c:v>15.346534653465346</c:v>
                </c:pt>
                <c:pt idx="16">
                  <c:v>16.336633663366335</c:v>
                </c:pt>
                <c:pt idx="17">
                  <c:v>17.326732673267326</c:v>
                </c:pt>
                <c:pt idx="18">
                  <c:v>18.316831683168317</c:v>
                </c:pt>
                <c:pt idx="19">
                  <c:v>19.306930693069305</c:v>
                </c:pt>
                <c:pt idx="20">
                  <c:v>20.297029702970296</c:v>
                </c:pt>
                <c:pt idx="21">
                  <c:v>21.287128712871286</c:v>
                </c:pt>
                <c:pt idx="22">
                  <c:v>22.277227722772274</c:v>
                </c:pt>
                <c:pt idx="23">
                  <c:v>23.267326732673265</c:v>
                </c:pt>
                <c:pt idx="24">
                  <c:v>24.257425742574256</c:v>
                </c:pt>
                <c:pt idx="25">
                  <c:v>25.247524752475247</c:v>
                </c:pt>
                <c:pt idx="26">
                  <c:v>26.237623762376238</c:v>
                </c:pt>
                <c:pt idx="27">
                  <c:v>27.227722772277225</c:v>
                </c:pt>
                <c:pt idx="28">
                  <c:v>28.217821782178216</c:v>
                </c:pt>
                <c:pt idx="29">
                  <c:v>29.207920792079207</c:v>
                </c:pt>
                <c:pt idx="30">
                  <c:v>30.198019801980195</c:v>
                </c:pt>
                <c:pt idx="31">
                  <c:v>31.188118811881186</c:v>
                </c:pt>
                <c:pt idx="32">
                  <c:v>32.178217821782177</c:v>
                </c:pt>
                <c:pt idx="33">
                  <c:v>33.168316831683164</c:v>
                </c:pt>
                <c:pt idx="34">
                  <c:v>34.158415841584159</c:v>
                </c:pt>
                <c:pt idx="35">
                  <c:v>35.148514851485146</c:v>
                </c:pt>
                <c:pt idx="36">
                  <c:v>36.138613861386141</c:v>
                </c:pt>
                <c:pt idx="37">
                  <c:v>37.128712871287128</c:v>
                </c:pt>
                <c:pt idx="38">
                  <c:v>38.118811881188115</c:v>
                </c:pt>
                <c:pt idx="39">
                  <c:v>39.10891089108911</c:v>
                </c:pt>
                <c:pt idx="40">
                  <c:v>40.099009900990097</c:v>
                </c:pt>
                <c:pt idx="41">
                  <c:v>41.089108910891085</c:v>
                </c:pt>
                <c:pt idx="42">
                  <c:v>42.079207920792079</c:v>
                </c:pt>
                <c:pt idx="43">
                  <c:v>43.069306930693067</c:v>
                </c:pt>
                <c:pt idx="44">
                  <c:v>44.059405940594054</c:v>
                </c:pt>
                <c:pt idx="45">
                  <c:v>45.049504950495049</c:v>
                </c:pt>
                <c:pt idx="46">
                  <c:v>46.039603960396036</c:v>
                </c:pt>
                <c:pt idx="47">
                  <c:v>47.029702970297031</c:v>
                </c:pt>
                <c:pt idx="48">
                  <c:v>48.019801980198018</c:v>
                </c:pt>
                <c:pt idx="49">
                  <c:v>49.009900990099005</c:v>
                </c:pt>
                <c:pt idx="50">
                  <c:v>50</c:v>
                </c:pt>
                <c:pt idx="51">
                  <c:v>50.990099009900987</c:v>
                </c:pt>
                <c:pt idx="52">
                  <c:v>51.980198019801982</c:v>
                </c:pt>
                <c:pt idx="53">
                  <c:v>52.970297029702969</c:v>
                </c:pt>
                <c:pt idx="54">
                  <c:v>53.960396039603957</c:v>
                </c:pt>
                <c:pt idx="55">
                  <c:v>54.950495049504951</c:v>
                </c:pt>
                <c:pt idx="56">
                  <c:v>55.940594059405939</c:v>
                </c:pt>
                <c:pt idx="57">
                  <c:v>56.930693069306926</c:v>
                </c:pt>
                <c:pt idx="58">
                  <c:v>57.920792079207921</c:v>
                </c:pt>
                <c:pt idx="59">
                  <c:v>58.910891089108908</c:v>
                </c:pt>
                <c:pt idx="60">
                  <c:v>59.900990099009896</c:v>
                </c:pt>
                <c:pt idx="61">
                  <c:v>60.89108910891089</c:v>
                </c:pt>
                <c:pt idx="62">
                  <c:v>61.881188118811878</c:v>
                </c:pt>
                <c:pt idx="63">
                  <c:v>62.871287128712872</c:v>
                </c:pt>
                <c:pt idx="64">
                  <c:v>63.861386138613859</c:v>
                </c:pt>
                <c:pt idx="65">
                  <c:v>64.851485148514854</c:v>
                </c:pt>
                <c:pt idx="66">
                  <c:v>65.841584158415841</c:v>
                </c:pt>
                <c:pt idx="67">
                  <c:v>66.831683168316843</c:v>
                </c:pt>
                <c:pt idx="68">
                  <c:v>67.821782178217831</c:v>
                </c:pt>
                <c:pt idx="69">
                  <c:v>68.811881188118818</c:v>
                </c:pt>
                <c:pt idx="70">
                  <c:v>69.801980198019805</c:v>
                </c:pt>
                <c:pt idx="71">
                  <c:v>70.792079207920793</c:v>
                </c:pt>
                <c:pt idx="72">
                  <c:v>71.782178217821794</c:v>
                </c:pt>
                <c:pt idx="73">
                  <c:v>72.772277227722782</c:v>
                </c:pt>
                <c:pt idx="74">
                  <c:v>73.762376237623769</c:v>
                </c:pt>
                <c:pt idx="75">
                  <c:v>74.752475247524757</c:v>
                </c:pt>
                <c:pt idx="76">
                  <c:v>75.742574257425744</c:v>
                </c:pt>
                <c:pt idx="77">
                  <c:v>76.732673267326732</c:v>
                </c:pt>
                <c:pt idx="78">
                  <c:v>77.722772277227733</c:v>
                </c:pt>
                <c:pt idx="79">
                  <c:v>78.712871287128721</c:v>
                </c:pt>
                <c:pt idx="80">
                  <c:v>79.702970297029708</c:v>
                </c:pt>
                <c:pt idx="81">
                  <c:v>80.693069306930695</c:v>
                </c:pt>
                <c:pt idx="82">
                  <c:v>81.683168316831683</c:v>
                </c:pt>
                <c:pt idx="83">
                  <c:v>82.673267326732685</c:v>
                </c:pt>
                <c:pt idx="84">
                  <c:v>83.663366336633672</c:v>
                </c:pt>
                <c:pt idx="85">
                  <c:v>84.653465346534659</c:v>
                </c:pt>
                <c:pt idx="86">
                  <c:v>85.643564356435647</c:v>
                </c:pt>
                <c:pt idx="87">
                  <c:v>86.633663366336634</c:v>
                </c:pt>
                <c:pt idx="88">
                  <c:v>87.623762376237622</c:v>
                </c:pt>
                <c:pt idx="89">
                  <c:v>88.613861386138623</c:v>
                </c:pt>
                <c:pt idx="90">
                  <c:v>89.603960396039611</c:v>
                </c:pt>
                <c:pt idx="91">
                  <c:v>90.594059405940598</c:v>
                </c:pt>
                <c:pt idx="92">
                  <c:v>91.584158415841586</c:v>
                </c:pt>
                <c:pt idx="93">
                  <c:v>92.574257425742573</c:v>
                </c:pt>
                <c:pt idx="94">
                  <c:v>93.564356435643575</c:v>
                </c:pt>
                <c:pt idx="95">
                  <c:v>94.554455445544562</c:v>
                </c:pt>
                <c:pt idx="96">
                  <c:v>95.544554455445549</c:v>
                </c:pt>
                <c:pt idx="97">
                  <c:v>96.534653465346537</c:v>
                </c:pt>
                <c:pt idx="98">
                  <c:v>97.524752475247524</c:v>
                </c:pt>
                <c:pt idx="99">
                  <c:v>98.514851485148526</c:v>
                </c:pt>
                <c:pt idx="100">
                  <c:v>99.504950495049513</c:v>
                </c:pt>
              </c:numCache>
            </c:numRef>
          </c:xVal>
          <c:yVal>
            <c:numRef>
              <c:f>'Proxy Delta_S1'!$U$28:$U$128</c:f>
              <c:numCache>
                <c:formatCode>General</c:formatCode>
                <c:ptCount val="101"/>
                <c:pt idx="0">
                  <c:v>-3.1190099667888944</c:v>
                </c:pt>
                <c:pt idx="1">
                  <c:v>-3.0642492901049536</c:v>
                </c:pt>
                <c:pt idx="2">
                  <c:v>-3.000021355183776</c:v>
                </c:pt>
                <c:pt idx="3">
                  <c:v>-2.9592840250851395</c:v>
                </c:pt>
                <c:pt idx="4">
                  <c:v>-2.8777484151667068</c:v>
                </c:pt>
                <c:pt idx="5">
                  <c:v>-2.8121562314020139</c:v>
                </c:pt>
                <c:pt idx="6">
                  <c:v>-2.7657789651273106</c:v>
                </c:pt>
                <c:pt idx="7">
                  <c:v>-2.7192689963055727</c:v>
                </c:pt>
                <c:pt idx="8">
                  <c:v>-2.6643144383855315</c:v>
                </c:pt>
                <c:pt idx="9">
                  <c:v>-2.5984192116268332</c:v>
                </c:pt>
                <c:pt idx="10">
                  <c:v>-2.5404437420609156</c:v>
                </c:pt>
                <c:pt idx="11">
                  <c:v>-2.4704444503018976</c:v>
                </c:pt>
                <c:pt idx="12">
                  <c:v>-2.404293296622086</c:v>
                </c:pt>
                <c:pt idx="13">
                  <c:v>-2.3352164729616334</c:v>
                </c:pt>
                <c:pt idx="14">
                  <c:v>-2.2526265394458278</c:v>
                </c:pt>
                <c:pt idx="15">
                  <c:v>-2.1768344692106893</c:v>
                </c:pt>
                <c:pt idx="16">
                  <c:v>-2.1111397419060722</c:v>
                </c:pt>
                <c:pt idx="17">
                  <c:v>-2.0419392680728379</c:v>
                </c:pt>
                <c:pt idx="18">
                  <c:v>-1.9905910290723341</c:v>
                </c:pt>
                <c:pt idx="19">
                  <c:v>-1.8291737654407143</c:v>
                </c:pt>
                <c:pt idx="20">
                  <c:v>-1.754453110307054</c:v>
                </c:pt>
                <c:pt idx="21">
                  <c:v>-1.696939184699886</c:v>
                </c:pt>
                <c:pt idx="22">
                  <c:v>-1.6451471904661048</c:v>
                </c:pt>
                <c:pt idx="23">
                  <c:v>-1.5791437259533723</c:v>
                </c:pt>
                <c:pt idx="24">
                  <c:v>-1.5368280587171057</c:v>
                </c:pt>
                <c:pt idx="25">
                  <c:v>-1.4638386185951049</c:v>
                </c:pt>
                <c:pt idx="26">
                  <c:v>-1.4085866516827537</c:v>
                </c:pt>
                <c:pt idx="27">
                  <c:v>-1.369928101050732</c:v>
                </c:pt>
                <c:pt idx="28">
                  <c:v>-1.3000178444677886</c:v>
                </c:pt>
                <c:pt idx="29">
                  <c:v>-1.2624356693667096</c:v>
                </c:pt>
                <c:pt idx="30">
                  <c:v>-1.2125493042181006</c:v>
                </c:pt>
                <c:pt idx="31">
                  <c:v>-1.1542609329189872</c:v>
                </c:pt>
                <c:pt idx="32">
                  <c:v>-1.096097679908894</c:v>
                </c:pt>
                <c:pt idx="33">
                  <c:v>-1.0470127011670911</c:v>
                </c:pt>
                <c:pt idx="34">
                  <c:v>-0.99597871188643694</c:v>
                </c:pt>
                <c:pt idx="35">
                  <c:v>-0.93820223621207788</c:v>
                </c:pt>
                <c:pt idx="36">
                  <c:v>-0.89478539628942144</c:v>
                </c:pt>
                <c:pt idx="37">
                  <c:v>-0.8436108954381325</c:v>
                </c:pt>
                <c:pt idx="38">
                  <c:v>-0.77300914779061713</c:v>
                </c:pt>
                <c:pt idx="39">
                  <c:v>-0.72541768394341943</c:v>
                </c:pt>
                <c:pt idx="40">
                  <c:v>-0.61766657453676999</c:v>
                </c:pt>
                <c:pt idx="41">
                  <c:v>-0.54770683197625658</c:v>
                </c:pt>
                <c:pt idx="42">
                  <c:v>-0.49347962404124246</c:v>
                </c:pt>
                <c:pt idx="43">
                  <c:v>-0.42780541989964149</c:v>
                </c:pt>
                <c:pt idx="44">
                  <c:v>-0.36490729223748986</c:v>
                </c:pt>
                <c:pt idx="45">
                  <c:v>-0.30520256434908788</c:v>
                </c:pt>
                <c:pt idx="46">
                  <c:v>-0.24620007608075412</c:v>
                </c:pt>
                <c:pt idx="47">
                  <c:v>-0.17448359878562769</c:v>
                </c:pt>
                <c:pt idx="48">
                  <c:v>-0.11868465109216686</c:v>
                </c:pt>
                <c:pt idx="49">
                  <c:v>-7.1053679372653278E-2</c:v>
                </c:pt>
                <c:pt idx="50">
                  <c:v>0</c:v>
                </c:pt>
                <c:pt idx="51">
                  <c:v>5.5944646475495574E-2</c:v>
                </c:pt>
                <c:pt idx="52">
                  <c:v>9.1868361519914288E-2</c:v>
                </c:pt>
                <c:pt idx="53">
                  <c:v>0.19038829454905226</c:v>
                </c:pt>
                <c:pt idx="54">
                  <c:v>0.26077680553873961</c:v>
                </c:pt>
                <c:pt idx="55">
                  <c:v>0.32650306348568847</c:v>
                </c:pt>
                <c:pt idx="56">
                  <c:v>0.36939454093510449</c:v>
                </c:pt>
                <c:pt idx="57">
                  <c:v>0.4448841910440251</c:v>
                </c:pt>
                <c:pt idx="58">
                  <c:v>0.53591256175366198</c:v>
                </c:pt>
                <c:pt idx="59">
                  <c:v>0.6228404523988047</c:v>
                </c:pt>
                <c:pt idx="60">
                  <c:v>0.67143855910615002</c:v>
                </c:pt>
                <c:pt idx="61">
                  <c:v>0.72752140064778814</c:v>
                </c:pt>
                <c:pt idx="62">
                  <c:v>0.83071704130156832</c:v>
                </c:pt>
                <c:pt idx="63">
                  <c:v>0.8692610707220183</c:v>
                </c:pt>
                <c:pt idx="64">
                  <c:v>0.90300470421834689</c:v>
                </c:pt>
                <c:pt idx="65">
                  <c:v>0.94980598199231281</c:v>
                </c:pt>
                <c:pt idx="66">
                  <c:v>1.0203163508816715</c:v>
                </c:pt>
                <c:pt idx="67">
                  <c:v>1.1000395197057742</c:v>
                </c:pt>
                <c:pt idx="68">
                  <c:v>1.1347378160336348</c:v>
                </c:pt>
                <c:pt idx="69">
                  <c:v>1.2010612023669864</c:v>
                </c:pt>
                <c:pt idx="70">
                  <c:v>1.2457771345949595</c:v>
                </c:pt>
                <c:pt idx="71">
                  <c:v>1.2876574692020313</c:v>
                </c:pt>
                <c:pt idx="72">
                  <c:v>1.3494236204893468</c:v>
                </c:pt>
                <c:pt idx="73">
                  <c:v>1.3813801574339095</c:v>
                </c:pt>
                <c:pt idx="74">
                  <c:v>1.4757033009776706</c:v>
                </c:pt>
                <c:pt idx="75">
                  <c:v>1.519955759031177</c:v>
                </c:pt>
                <c:pt idx="76">
                  <c:v>1.583362439091502</c:v>
                </c:pt>
                <c:pt idx="77">
                  <c:v>1.6450304151089767</c:v>
                </c:pt>
                <c:pt idx="78">
                  <c:v>1.6961745501430414</c:v>
                </c:pt>
                <c:pt idx="79">
                  <c:v>1.765112200178578</c:v>
                </c:pt>
                <c:pt idx="80">
                  <c:v>1.7960356507225015</c:v>
                </c:pt>
                <c:pt idx="81">
                  <c:v>1.855957201091428</c:v>
                </c:pt>
                <c:pt idx="82">
                  <c:v>1.8945482446428059</c:v>
                </c:pt>
                <c:pt idx="83">
                  <c:v>1.9441748061121871</c:v>
                </c:pt>
                <c:pt idx="84">
                  <c:v>1.9879704304858024</c:v>
                </c:pt>
                <c:pt idx="85">
                  <c:v>2.058619884164159</c:v>
                </c:pt>
                <c:pt idx="86">
                  <c:v>2.10852685629186</c:v>
                </c:pt>
                <c:pt idx="87">
                  <c:v>2.1681034006096525</c:v>
                </c:pt>
                <c:pt idx="88">
                  <c:v>2.1978752391302123</c:v>
                </c:pt>
                <c:pt idx="89">
                  <c:v>2.2565264230976254</c:v>
                </c:pt>
                <c:pt idx="90">
                  <c:v>2.2997500127975172</c:v>
                </c:pt>
                <c:pt idx="91">
                  <c:v>2.3912344684886193</c:v>
                </c:pt>
                <c:pt idx="92">
                  <c:v>2.4439235241082997</c:v>
                </c:pt>
                <c:pt idx="93">
                  <c:v>2.4983058514665117</c:v>
                </c:pt>
                <c:pt idx="94">
                  <c:v>2.569535514647896</c:v>
                </c:pt>
                <c:pt idx="95">
                  <c:v>2.5938174871989759</c:v>
                </c:pt>
                <c:pt idx="96">
                  <c:v>2.6250300203986399</c:v>
                </c:pt>
                <c:pt idx="97">
                  <c:v>2.660586695171105</c:v>
                </c:pt>
                <c:pt idx="98">
                  <c:v>2.708116181182163</c:v>
                </c:pt>
                <c:pt idx="99">
                  <c:v>2.7398041157769057</c:v>
                </c:pt>
                <c:pt idx="100">
                  <c:v>2.8177729019005255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4-451C-920E-47A16813A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873432"/>
        <c:axId val="589872448"/>
      </c:scatterChart>
      <c:valAx>
        <c:axId val="5898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872448"/>
        <c:crosses val="autoZero"/>
        <c:crossBetween val="midCat"/>
      </c:valAx>
      <c:valAx>
        <c:axId val="5898724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873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'Proxy Delta_S2'!$B$4:$B$104</c:f>
              <c:numCache>
                <c:formatCode>General</c:formatCode>
                <c:ptCount val="101"/>
                <c:pt idx="0">
                  <c:v>973.00265719587901</c:v>
                </c:pt>
                <c:pt idx="1">
                  <c:v>973.0058179275444</c:v>
                </c:pt>
                <c:pt idx="2">
                  <c:v>973.01016649011899</c:v>
                </c:pt>
                <c:pt idx="3">
                  <c:v>973.01615993987855</c:v>
                </c:pt>
                <c:pt idx="4">
                  <c:v>973.02124941897694</c:v>
                </c:pt>
                <c:pt idx="5">
                  <c:v>973.02674479910888</c:v>
                </c:pt>
                <c:pt idx="6">
                  <c:v>973.03109902470737</c:v>
                </c:pt>
                <c:pt idx="7">
                  <c:v>973.03316864292651</c:v>
                </c:pt>
                <c:pt idx="8">
                  <c:v>973.04493807787594</c:v>
                </c:pt>
                <c:pt idx="9">
                  <c:v>973.04922214320027</c:v>
                </c:pt>
                <c:pt idx="10">
                  <c:v>973.05179911500068</c:v>
                </c:pt>
                <c:pt idx="11">
                  <c:v>973.05664531233288</c:v>
                </c:pt>
                <c:pt idx="12">
                  <c:v>973.05967936209481</c:v>
                </c:pt>
                <c:pt idx="13">
                  <c:v>973.06223415352144</c:v>
                </c:pt>
                <c:pt idx="14">
                  <c:v>973.06761020366446</c:v>
                </c:pt>
                <c:pt idx="15">
                  <c:v>973.07218694319909</c:v>
                </c:pt>
                <c:pt idx="16">
                  <c:v>973.08050122464704</c:v>
                </c:pt>
                <c:pt idx="17">
                  <c:v>973.08881291305556</c:v>
                </c:pt>
                <c:pt idx="18">
                  <c:v>973.09342725911097</c:v>
                </c:pt>
                <c:pt idx="19">
                  <c:v>973.09591058343494</c:v>
                </c:pt>
                <c:pt idx="20">
                  <c:v>973.09784018386506</c:v>
                </c:pt>
                <c:pt idx="21">
                  <c:v>973.10243567015323</c:v>
                </c:pt>
                <c:pt idx="22">
                  <c:v>973.10702086077276</c:v>
                </c:pt>
                <c:pt idx="23">
                  <c:v>973.11106918961434</c:v>
                </c:pt>
                <c:pt idx="24">
                  <c:v>973.11817358455585</c:v>
                </c:pt>
                <c:pt idx="25">
                  <c:v>973.12270674865772</c:v>
                </c:pt>
                <c:pt idx="26">
                  <c:v>973.12725276664128</c:v>
                </c:pt>
                <c:pt idx="27">
                  <c:v>973.13217422452067</c:v>
                </c:pt>
                <c:pt idx="28">
                  <c:v>973.13502133293514</c:v>
                </c:pt>
                <c:pt idx="29">
                  <c:v>973.13845286067908</c:v>
                </c:pt>
                <c:pt idx="30">
                  <c:v>973.15791999788144</c:v>
                </c:pt>
                <c:pt idx="31">
                  <c:v>973.16483277324267</c:v>
                </c:pt>
                <c:pt idx="32">
                  <c:v>973.17126985020434</c:v>
                </c:pt>
                <c:pt idx="33">
                  <c:v>973.17643575263355</c:v>
                </c:pt>
                <c:pt idx="34">
                  <c:v>973.17823797853748</c:v>
                </c:pt>
                <c:pt idx="35">
                  <c:v>973.17729147646548</c:v>
                </c:pt>
                <c:pt idx="36">
                  <c:v>973.17715050611037</c:v>
                </c:pt>
                <c:pt idx="37">
                  <c:v>973.18162002963982</c:v>
                </c:pt>
                <c:pt idx="38">
                  <c:v>973.18728921285935</c:v>
                </c:pt>
                <c:pt idx="39">
                  <c:v>973.19784679875625</c:v>
                </c:pt>
                <c:pt idx="40">
                  <c:v>973.20266395743192</c:v>
                </c:pt>
                <c:pt idx="41">
                  <c:v>973.20787502501139</c:v>
                </c:pt>
                <c:pt idx="42">
                  <c:v>973.22269286310234</c:v>
                </c:pt>
                <c:pt idx="43">
                  <c:v>973.2271124292289</c:v>
                </c:pt>
                <c:pt idx="44">
                  <c:v>973.22999719740233</c:v>
                </c:pt>
                <c:pt idx="45">
                  <c:v>973.26012002293021</c:v>
                </c:pt>
                <c:pt idx="46">
                  <c:v>973.26454839591293</c:v>
                </c:pt>
                <c:pt idx="47">
                  <c:v>973.27023290184468</c:v>
                </c:pt>
                <c:pt idx="48">
                  <c:v>973.28055067346907</c:v>
                </c:pt>
                <c:pt idx="49">
                  <c:v>973.28385159832987</c:v>
                </c:pt>
                <c:pt idx="50">
                  <c:v>973.29933768377987</c:v>
                </c:pt>
                <c:pt idx="51">
                  <c:v>973.30373781928938</c:v>
                </c:pt>
                <c:pt idx="52">
                  <c:v>973.30730014087897</c:v>
                </c:pt>
                <c:pt idx="53">
                  <c:v>973.31240587602269</c:v>
                </c:pt>
                <c:pt idx="54">
                  <c:v>973.31694933972847</c:v>
                </c:pt>
                <c:pt idx="55">
                  <c:v>973.32258647654021</c:v>
                </c:pt>
                <c:pt idx="56">
                  <c:v>973.32700344273269</c:v>
                </c:pt>
                <c:pt idx="57">
                  <c:v>973.33018119225244</c:v>
                </c:pt>
                <c:pt idx="58">
                  <c:v>973.33293466164673</c:v>
                </c:pt>
                <c:pt idx="59">
                  <c:v>973.33639329942628</c:v>
                </c:pt>
                <c:pt idx="60">
                  <c:v>973.33912280842003</c:v>
                </c:pt>
                <c:pt idx="61">
                  <c:v>973.34591111454722</c:v>
                </c:pt>
                <c:pt idx="62">
                  <c:v>973.35420276439731</c:v>
                </c:pt>
                <c:pt idx="63">
                  <c:v>973.35852258762873</c:v>
                </c:pt>
                <c:pt idx="64">
                  <c:v>973.35911501914211</c:v>
                </c:pt>
                <c:pt idx="65">
                  <c:v>973.360777103337</c:v>
                </c:pt>
                <c:pt idx="66">
                  <c:v>973.36420844246538</c:v>
                </c:pt>
                <c:pt idx="67">
                  <c:v>973.36973229053126</c:v>
                </c:pt>
                <c:pt idx="68">
                  <c:v>973.37084650816519</c:v>
                </c:pt>
                <c:pt idx="69">
                  <c:v>973.3761079440153</c:v>
                </c:pt>
                <c:pt idx="70">
                  <c:v>973.37882238426585</c:v>
                </c:pt>
                <c:pt idx="71">
                  <c:v>973.40095176659884</c:v>
                </c:pt>
                <c:pt idx="72">
                  <c:v>973.40440854654264</c:v>
                </c:pt>
                <c:pt idx="73">
                  <c:v>973.4081518461503</c:v>
                </c:pt>
                <c:pt idx="74">
                  <c:v>973.4118999127985</c:v>
                </c:pt>
                <c:pt idx="75">
                  <c:v>973.41871720470385</c:v>
                </c:pt>
                <c:pt idx="76">
                  <c:v>973.42437927410106</c:v>
                </c:pt>
                <c:pt idx="77">
                  <c:v>973.43430268646603</c:v>
                </c:pt>
                <c:pt idx="78">
                  <c:v>973.43798032407904</c:v>
                </c:pt>
                <c:pt idx="79">
                  <c:v>973.44117621943428</c:v>
                </c:pt>
                <c:pt idx="80">
                  <c:v>973.44327351788002</c:v>
                </c:pt>
                <c:pt idx="81">
                  <c:v>973.45123462878632</c:v>
                </c:pt>
                <c:pt idx="82">
                  <c:v>973.45488624073243</c:v>
                </c:pt>
                <c:pt idx="83">
                  <c:v>973.45827496695824</c:v>
                </c:pt>
                <c:pt idx="84">
                  <c:v>973.46316759302499</c:v>
                </c:pt>
                <c:pt idx="85">
                  <c:v>973.46733739329818</c:v>
                </c:pt>
                <c:pt idx="86">
                  <c:v>973.47147355739787</c:v>
                </c:pt>
                <c:pt idx="87">
                  <c:v>973.47976615318305</c:v>
                </c:pt>
                <c:pt idx="88">
                  <c:v>973.4839211458758</c:v>
                </c:pt>
                <c:pt idx="89">
                  <c:v>973.48699252812969</c:v>
                </c:pt>
                <c:pt idx="90">
                  <c:v>973.49236550556111</c:v>
                </c:pt>
                <c:pt idx="91">
                  <c:v>973.49561843410163</c:v>
                </c:pt>
                <c:pt idx="92">
                  <c:v>973.51142468595538</c:v>
                </c:pt>
                <c:pt idx="93">
                  <c:v>973.51554082127075</c:v>
                </c:pt>
                <c:pt idx="94">
                  <c:v>973.51648197119118</c:v>
                </c:pt>
                <c:pt idx="95">
                  <c:v>973.51812820583359</c:v>
                </c:pt>
                <c:pt idx="96">
                  <c:v>973.52117163231685</c:v>
                </c:pt>
                <c:pt idx="97">
                  <c:v>973.5293732555815</c:v>
                </c:pt>
                <c:pt idx="98">
                  <c:v>973.5347353415923</c:v>
                </c:pt>
                <c:pt idx="99">
                  <c:v>973.55134803783699</c:v>
                </c:pt>
                <c:pt idx="100">
                  <c:v>973.55673917135198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CA-4CBF-B549-DE51C8A9E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1826584"/>
        <c:axId val="691827896"/>
      </c:lineChart>
      <c:catAx>
        <c:axId val="691826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27896"/>
        <c:crosses val="autoZero"/>
        <c:auto val="1"/>
        <c:lblAlgn val="ctr"/>
        <c:lblOffset val="100"/>
        <c:noMultiLvlLbl val="0"/>
      </c:catAx>
      <c:valAx>
        <c:axId val="69182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2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'Proxy Delta_S2'!$N$4:$N$104</c:f>
              <c:numCache>
                <c:formatCode>General</c:formatCode>
                <c:ptCount val="101"/>
                <c:pt idx="0">
                  <c:v>-50</c:v>
                </c:pt>
                <c:pt idx="1">
                  <c:v>-49</c:v>
                </c:pt>
                <c:pt idx="2">
                  <c:v>-48</c:v>
                </c:pt>
                <c:pt idx="3">
                  <c:v>-47</c:v>
                </c:pt>
                <c:pt idx="4">
                  <c:v>-46</c:v>
                </c:pt>
                <c:pt idx="5">
                  <c:v>-45</c:v>
                </c:pt>
                <c:pt idx="6">
                  <c:v>-44</c:v>
                </c:pt>
                <c:pt idx="7">
                  <c:v>-43</c:v>
                </c:pt>
                <c:pt idx="8">
                  <c:v>-42</c:v>
                </c:pt>
                <c:pt idx="9">
                  <c:v>-41</c:v>
                </c:pt>
                <c:pt idx="10">
                  <c:v>-40</c:v>
                </c:pt>
                <c:pt idx="11">
                  <c:v>-39</c:v>
                </c:pt>
                <c:pt idx="12">
                  <c:v>-38</c:v>
                </c:pt>
                <c:pt idx="13">
                  <c:v>-37</c:v>
                </c:pt>
                <c:pt idx="14">
                  <c:v>-36</c:v>
                </c:pt>
                <c:pt idx="15">
                  <c:v>-35</c:v>
                </c:pt>
                <c:pt idx="16">
                  <c:v>-34</c:v>
                </c:pt>
                <c:pt idx="17">
                  <c:v>-33</c:v>
                </c:pt>
                <c:pt idx="18">
                  <c:v>-32</c:v>
                </c:pt>
                <c:pt idx="19">
                  <c:v>-31</c:v>
                </c:pt>
                <c:pt idx="20">
                  <c:v>-30</c:v>
                </c:pt>
                <c:pt idx="21">
                  <c:v>-29</c:v>
                </c:pt>
                <c:pt idx="22">
                  <c:v>-28</c:v>
                </c:pt>
                <c:pt idx="23">
                  <c:v>-27</c:v>
                </c:pt>
                <c:pt idx="24">
                  <c:v>-26</c:v>
                </c:pt>
                <c:pt idx="25">
                  <c:v>-25</c:v>
                </c:pt>
                <c:pt idx="26">
                  <c:v>-24</c:v>
                </c:pt>
                <c:pt idx="27">
                  <c:v>-23</c:v>
                </c:pt>
                <c:pt idx="28">
                  <c:v>-22</c:v>
                </c:pt>
                <c:pt idx="29">
                  <c:v>-21</c:v>
                </c:pt>
                <c:pt idx="30">
                  <c:v>-20</c:v>
                </c:pt>
                <c:pt idx="31">
                  <c:v>-19</c:v>
                </c:pt>
                <c:pt idx="32">
                  <c:v>-18</c:v>
                </c:pt>
                <c:pt idx="33">
                  <c:v>-17</c:v>
                </c:pt>
                <c:pt idx="34">
                  <c:v>-16</c:v>
                </c:pt>
                <c:pt idx="35">
                  <c:v>-15</c:v>
                </c:pt>
                <c:pt idx="36">
                  <c:v>-14</c:v>
                </c:pt>
                <c:pt idx="37">
                  <c:v>-13</c:v>
                </c:pt>
                <c:pt idx="38">
                  <c:v>-12</c:v>
                </c:pt>
                <c:pt idx="39">
                  <c:v>-11</c:v>
                </c:pt>
                <c:pt idx="40">
                  <c:v>-10</c:v>
                </c:pt>
                <c:pt idx="41">
                  <c:v>-9</c:v>
                </c:pt>
                <c:pt idx="42">
                  <c:v>-8</c:v>
                </c:pt>
                <c:pt idx="43">
                  <c:v>-7</c:v>
                </c:pt>
                <c:pt idx="44">
                  <c:v>-6</c:v>
                </c:pt>
                <c:pt idx="45">
                  <c:v>-5</c:v>
                </c:pt>
                <c:pt idx="46">
                  <c:v>-4</c:v>
                </c:pt>
                <c:pt idx="47">
                  <c:v>-3</c:v>
                </c:pt>
                <c:pt idx="48">
                  <c:v>-2</c:v>
                </c:pt>
                <c:pt idx="49">
                  <c:v>-1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10</c:v>
                </c:pt>
                <c:pt idx="61">
                  <c:v>11</c:v>
                </c:pt>
                <c:pt idx="62">
                  <c:v>12</c:v>
                </c:pt>
                <c:pt idx="63">
                  <c:v>13</c:v>
                </c:pt>
                <c:pt idx="64">
                  <c:v>14</c:v>
                </c:pt>
                <c:pt idx="65">
                  <c:v>15</c:v>
                </c:pt>
                <c:pt idx="66">
                  <c:v>16</c:v>
                </c:pt>
                <c:pt idx="67">
                  <c:v>17</c:v>
                </c:pt>
                <c:pt idx="68">
                  <c:v>18</c:v>
                </c:pt>
                <c:pt idx="69">
                  <c:v>19</c:v>
                </c:pt>
                <c:pt idx="70">
                  <c:v>20</c:v>
                </c:pt>
                <c:pt idx="71">
                  <c:v>21</c:v>
                </c:pt>
                <c:pt idx="72">
                  <c:v>22</c:v>
                </c:pt>
                <c:pt idx="73">
                  <c:v>23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28</c:v>
                </c:pt>
                <c:pt idx="79">
                  <c:v>29</c:v>
                </c:pt>
                <c:pt idx="80">
                  <c:v>30</c:v>
                </c:pt>
                <c:pt idx="81">
                  <c:v>31</c:v>
                </c:pt>
                <c:pt idx="82">
                  <c:v>32</c:v>
                </c:pt>
                <c:pt idx="83">
                  <c:v>33</c:v>
                </c:pt>
                <c:pt idx="84">
                  <c:v>34</c:v>
                </c:pt>
                <c:pt idx="85">
                  <c:v>35</c:v>
                </c:pt>
                <c:pt idx="86">
                  <c:v>36</c:v>
                </c:pt>
                <c:pt idx="87">
                  <c:v>37</c:v>
                </c:pt>
                <c:pt idx="88">
                  <c:v>38</c:v>
                </c:pt>
                <c:pt idx="89">
                  <c:v>39</c:v>
                </c:pt>
                <c:pt idx="90">
                  <c:v>40</c:v>
                </c:pt>
                <c:pt idx="91">
                  <c:v>41</c:v>
                </c:pt>
                <c:pt idx="92">
                  <c:v>42</c:v>
                </c:pt>
                <c:pt idx="93">
                  <c:v>43</c:v>
                </c:pt>
                <c:pt idx="94">
                  <c:v>44</c:v>
                </c:pt>
                <c:pt idx="95">
                  <c:v>45</c:v>
                </c:pt>
                <c:pt idx="96">
                  <c:v>46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50</c:v>
                </c:pt>
              </c:numCache>
            </c:numRef>
          </c:xVal>
          <c:yVal>
            <c:numRef>
              <c:f>'Proxy Delta_S2'!$O$4:$O$104</c:f>
              <c:numCache>
                <c:formatCode>General</c:formatCode>
                <c:ptCount val="101"/>
                <c:pt idx="0">
                  <c:v>-0.29668048790085777</c:v>
                </c:pt>
                <c:pt idx="1">
                  <c:v>-0.29351975623546878</c:v>
                </c:pt>
                <c:pt idx="2">
                  <c:v>-0.28917119366087718</c:v>
                </c:pt>
                <c:pt idx="3">
                  <c:v>-0.28317774390131945</c:v>
                </c:pt>
                <c:pt idx="4">
                  <c:v>-0.27808826480293192</c:v>
                </c:pt>
                <c:pt idx="5">
                  <c:v>-0.27259288467098486</c:v>
                </c:pt>
                <c:pt idx="6">
                  <c:v>-0.26823865907249456</c:v>
                </c:pt>
                <c:pt idx="7">
                  <c:v>-0.26616904085335591</c:v>
                </c:pt>
                <c:pt idx="8">
                  <c:v>-0.2543996059039273</c:v>
                </c:pt>
                <c:pt idx="9">
                  <c:v>-0.25011554057959984</c:v>
                </c:pt>
                <c:pt idx="10">
                  <c:v>-0.24753856877919134</c:v>
                </c:pt>
                <c:pt idx="11">
                  <c:v>-0.24269237144699218</c:v>
                </c:pt>
                <c:pt idx="12">
                  <c:v>-0.23965832168505585</c:v>
                </c:pt>
                <c:pt idx="13">
                  <c:v>-0.23710353025842323</c:v>
                </c:pt>
                <c:pt idx="14">
                  <c:v>-0.23172748011540989</c:v>
                </c:pt>
                <c:pt idx="15">
                  <c:v>-0.22715074058078244</c:v>
                </c:pt>
                <c:pt idx="16">
                  <c:v>-0.2188364591328309</c:v>
                </c:pt>
                <c:pt idx="17">
                  <c:v>-0.2105247707243052</c:v>
                </c:pt>
                <c:pt idx="18">
                  <c:v>-0.2059104246689003</c:v>
                </c:pt>
                <c:pt idx="19">
                  <c:v>-0.20342710034492484</c:v>
                </c:pt>
                <c:pt idx="20">
                  <c:v>-0.20149749991480803</c:v>
                </c:pt>
                <c:pt idx="21">
                  <c:v>-0.19690201362664084</c:v>
                </c:pt>
                <c:pt idx="22">
                  <c:v>-0.19231682300710418</c:v>
                </c:pt>
                <c:pt idx="23">
                  <c:v>-0.18826849416552704</c:v>
                </c:pt>
                <c:pt idx="24">
                  <c:v>-0.18116409922401999</c:v>
                </c:pt>
                <c:pt idx="25">
                  <c:v>-0.176630935122148</c:v>
                </c:pt>
                <c:pt idx="26">
                  <c:v>-0.17208491713859075</c:v>
                </c:pt>
                <c:pt idx="27">
                  <c:v>-0.16716345925919995</c:v>
                </c:pt>
                <c:pt idx="28">
                  <c:v>-0.16431635084472873</c:v>
                </c:pt>
                <c:pt idx="29">
                  <c:v>-0.16088482310078689</c:v>
                </c:pt>
                <c:pt idx="30">
                  <c:v>-0.14141768589843196</c:v>
                </c:pt>
                <c:pt idx="31">
                  <c:v>-0.1345049105372027</c:v>
                </c:pt>
                <c:pt idx="32">
                  <c:v>-0.12806783357552831</c:v>
                </c:pt>
                <c:pt idx="33">
                  <c:v>-0.1229019311463162</c:v>
                </c:pt>
                <c:pt idx="34">
                  <c:v>-0.12109970524238634</c:v>
                </c:pt>
                <c:pt idx="35">
                  <c:v>-0.12204620731438354</c:v>
                </c:pt>
                <c:pt idx="36">
                  <c:v>-0.12218717766950249</c:v>
                </c:pt>
                <c:pt idx="37">
                  <c:v>-0.11771765414005131</c:v>
                </c:pt>
                <c:pt idx="38">
                  <c:v>-0.11204847092051295</c:v>
                </c:pt>
                <c:pt idx="39">
                  <c:v>-0.10149088502362247</c:v>
                </c:pt>
                <c:pt idx="40">
                  <c:v>-9.6673726347944466E-2</c:v>
                </c:pt>
                <c:pt idx="41">
                  <c:v>-9.1462658768477922E-2</c:v>
                </c:pt>
                <c:pt idx="42">
                  <c:v>-7.6644820677529424E-2</c:v>
                </c:pt>
                <c:pt idx="43">
                  <c:v>-7.222525455097184E-2</c:v>
                </c:pt>
                <c:pt idx="44">
                  <c:v>-6.9340486377541311E-2</c:v>
                </c:pt>
                <c:pt idx="45">
                  <c:v>-3.9217660849658387E-2</c:v>
                </c:pt>
                <c:pt idx="46">
                  <c:v>-3.4789287866942686E-2</c:v>
                </c:pt>
                <c:pt idx="47">
                  <c:v>-2.9104781935188839E-2</c:v>
                </c:pt>
                <c:pt idx="48">
                  <c:v>-1.8787010310802543E-2</c:v>
                </c:pt>
                <c:pt idx="49">
                  <c:v>-1.548608544999297E-2</c:v>
                </c:pt>
                <c:pt idx="50">
                  <c:v>0</c:v>
                </c:pt>
                <c:pt idx="51">
                  <c:v>4.4001355095133476E-3</c:v>
                </c:pt>
                <c:pt idx="52">
                  <c:v>7.9624570990972643E-3</c:v>
                </c:pt>
                <c:pt idx="53">
                  <c:v>1.3068192242826626E-2</c:v>
                </c:pt>
                <c:pt idx="54">
                  <c:v>1.7611655948599036E-2</c:v>
                </c:pt>
                <c:pt idx="55">
                  <c:v>2.324879276034153E-2</c:v>
                </c:pt>
                <c:pt idx="56">
                  <c:v>2.7665758952821307E-2</c:v>
                </c:pt>
                <c:pt idx="57">
                  <c:v>3.0843508472571557E-2</c:v>
                </c:pt>
                <c:pt idx="58">
                  <c:v>3.3596977866864108E-2</c:v>
                </c:pt>
                <c:pt idx="59">
                  <c:v>3.7055615646409024E-2</c:v>
                </c:pt>
                <c:pt idx="60">
                  <c:v>3.9785124640161484E-2</c:v>
                </c:pt>
                <c:pt idx="61">
                  <c:v>4.6573430767352875E-2</c:v>
                </c:pt>
                <c:pt idx="62">
                  <c:v>5.4865080617446438E-2</c:v>
                </c:pt>
                <c:pt idx="63">
                  <c:v>5.9184903848858994E-2</c:v>
                </c:pt>
                <c:pt idx="64">
                  <c:v>5.9777335362241502E-2</c:v>
                </c:pt>
                <c:pt idx="65">
                  <c:v>6.1439419557132169E-2</c:v>
                </c:pt>
                <c:pt idx="66">
                  <c:v>6.4870758685515284E-2</c:v>
                </c:pt>
                <c:pt idx="67">
                  <c:v>7.039460675139253E-2</c:v>
                </c:pt>
                <c:pt idx="68">
                  <c:v>7.1508824385318803E-2</c:v>
                </c:pt>
                <c:pt idx="69">
                  <c:v>7.6770260235434762E-2</c:v>
                </c:pt>
                <c:pt idx="70">
                  <c:v>7.9484700485977555E-2</c:v>
                </c:pt>
                <c:pt idx="71">
                  <c:v>0.10161408281896911</c:v>
                </c:pt>
                <c:pt idx="72">
                  <c:v>0.10507086276277278</c:v>
                </c:pt>
                <c:pt idx="73">
                  <c:v>0.10881416237043595</c:v>
                </c:pt>
                <c:pt idx="74">
                  <c:v>0.11256222901863566</c:v>
                </c:pt>
                <c:pt idx="75">
                  <c:v>0.11937952092398518</c:v>
                </c:pt>
                <c:pt idx="76">
                  <c:v>0.12504159032118878</c:v>
                </c:pt>
                <c:pt idx="77">
                  <c:v>0.13496500268615819</c:v>
                </c:pt>
                <c:pt idx="78">
                  <c:v>0.1386426402991674</c:v>
                </c:pt>
                <c:pt idx="79">
                  <c:v>0.14183853565441495</c:v>
                </c:pt>
                <c:pt idx="80">
                  <c:v>0.14393583410014799</c:v>
                </c:pt>
                <c:pt idx="81">
                  <c:v>0.15189694500645601</c:v>
                </c:pt>
                <c:pt idx="82">
                  <c:v>0.1555485569525672</c:v>
                </c:pt>
                <c:pt idx="83">
                  <c:v>0.15893728317837486</c:v>
                </c:pt>
                <c:pt idx="84">
                  <c:v>0.16382990924512342</c:v>
                </c:pt>
                <c:pt idx="85">
                  <c:v>0.16799970951831256</c:v>
                </c:pt>
                <c:pt idx="86">
                  <c:v>0.17213587361800364</c:v>
                </c:pt>
                <c:pt idx="87">
                  <c:v>0.18042846940318213</c:v>
                </c:pt>
                <c:pt idx="88">
                  <c:v>0.18458346209592946</c:v>
                </c:pt>
                <c:pt idx="89">
                  <c:v>0.18765484434982227</c:v>
                </c:pt>
                <c:pt idx="90">
                  <c:v>0.19302782178124289</c:v>
                </c:pt>
                <c:pt idx="91">
                  <c:v>0.19628075032176184</c:v>
                </c:pt>
                <c:pt idx="92">
                  <c:v>0.21208700217550813</c:v>
                </c:pt>
                <c:pt idx="93">
                  <c:v>0.21620313749087927</c:v>
                </c:pt>
                <c:pt idx="94">
                  <c:v>0.21714428741131542</c:v>
                </c:pt>
                <c:pt idx="95">
                  <c:v>0.21879052205372318</c:v>
                </c:pt>
                <c:pt idx="96">
                  <c:v>0.22183394853698246</c:v>
                </c:pt>
                <c:pt idx="97">
                  <c:v>0.23003557180163625</c:v>
                </c:pt>
                <c:pt idx="98">
                  <c:v>0.2353976578124275</c:v>
                </c:pt>
                <c:pt idx="99">
                  <c:v>0.25201035405711991</c:v>
                </c:pt>
                <c:pt idx="100">
                  <c:v>0.25740148757211045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A9-4FDE-904D-37C531612AA9}"/>
            </c:ext>
          </c:extLst>
        </c:ser>
        <c:ser>
          <c:idx val="1"/>
          <c:order val="1"/>
          <c:tx>
            <c:v>Predicted Y</c:v>
          </c:tx>
          <c:spPr>
            <a:ln w="19050">
              <a:noFill/>
            </a:ln>
          </c:spPr>
          <c:xVal>
            <c:numRef>
              <c:f>'Proxy Delta_S2'!$N$4:$N$104</c:f>
              <c:numCache>
                <c:formatCode>General</c:formatCode>
                <c:ptCount val="101"/>
                <c:pt idx="0">
                  <c:v>-50</c:v>
                </c:pt>
                <c:pt idx="1">
                  <c:v>-49</c:v>
                </c:pt>
                <c:pt idx="2">
                  <c:v>-48</c:v>
                </c:pt>
                <c:pt idx="3">
                  <c:v>-47</c:v>
                </c:pt>
                <c:pt idx="4">
                  <c:v>-46</c:v>
                </c:pt>
                <c:pt idx="5">
                  <c:v>-45</c:v>
                </c:pt>
                <c:pt idx="6">
                  <c:v>-44</c:v>
                </c:pt>
                <c:pt idx="7">
                  <c:v>-43</c:v>
                </c:pt>
                <c:pt idx="8">
                  <c:v>-42</c:v>
                </c:pt>
                <c:pt idx="9">
                  <c:v>-41</c:v>
                </c:pt>
                <c:pt idx="10">
                  <c:v>-40</c:v>
                </c:pt>
                <c:pt idx="11">
                  <c:v>-39</c:v>
                </c:pt>
                <c:pt idx="12">
                  <c:v>-38</c:v>
                </c:pt>
                <c:pt idx="13">
                  <c:v>-37</c:v>
                </c:pt>
                <c:pt idx="14">
                  <c:v>-36</c:v>
                </c:pt>
                <c:pt idx="15">
                  <c:v>-35</c:v>
                </c:pt>
                <c:pt idx="16">
                  <c:v>-34</c:v>
                </c:pt>
                <c:pt idx="17">
                  <c:v>-33</c:v>
                </c:pt>
                <c:pt idx="18">
                  <c:v>-32</c:v>
                </c:pt>
                <c:pt idx="19">
                  <c:v>-31</c:v>
                </c:pt>
                <c:pt idx="20">
                  <c:v>-30</c:v>
                </c:pt>
                <c:pt idx="21">
                  <c:v>-29</c:v>
                </c:pt>
                <c:pt idx="22">
                  <c:v>-28</c:v>
                </c:pt>
                <c:pt idx="23">
                  <c:v>-27</c:v>
                </c:pt>
                <c:pt idx="24">
                  <c:v>-26</c:v>
                </c:pt>
                <c:pt idx="25">
                  <c:v>-25</c:v>
                </c:pt>
                <c:pt idx="26">
                  <c:v>-24</c:v>
                </c:pt>
                <c:pt idx="27">
                  <c:v>-23</c:v>
                </c:pt>
                <c:pt idx="28">
                  <c:v>-22</c:v>
                </c:pt>
                <c:pt idx="29">
                  <c:v>-21</c:v>
                </c:pt>
                <c:pt idx="30">
                  <c:v>-20</c:v>
                </c:pt>
                <c:pt idx="31">
                  <c:v>-19</c:v>
                </c:pt>
                <c:pt idx="32">
                  <c:v>-18</c:v>
                </c:pt>
                <c:pt idx="33">
                  <c:v>-17</c:v>
                </c:pt>
                <c:pt idx="34">
                  <c:v>-16</c:v>
                </c:pt>
                <c:pt idx="35">
                  <c:v>-15</c:v>
                </c:pt>
                <c:pt idx="36">
                  <c:v>-14</c:v>
                </c:pt>
                <c:pt idx="37">
                  <c:v>-13</c:v>
                </c:pt>
                <c:pt idx="38">
                  <c:v>-12</c:v>
                </c:pt>
                <c:pt idx="39">
                  <c:v>-11</c:v>
                </c:pt>
                <c:pt idx="40">
                  <c:v>-10</c:v>
                </c:pt>
                <c:pt idx="41">
                  <c:v>-9</c:v>
                </c:pt>
                <c:pt idx="42">
                  <c:v>-8</c:v>
                </c:pt>
                <c:pt idx="43">
                  <c:v>-7</c:v>
                </c:pt>
                <c:pt idx="44">
                  <c:v>-6</c:v>
                </c:pt>
                <c:pt idx="45">
                  <c:v>-5</c:v>
                </c:pt>
                <c:pt idx="46">
                  <c:v>-4</c:v>
                </c:pt>
                <c:pt idx="47">
                  <c:v>-3</c:v>
                </c:pt>
                <c:pt idx="48">
                  <c:v>-2</c:v>
                </c:pt>
                <c:pt idx="49">
                  <c:v>-1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10</c:v>
                </c:pt>
                <c:pt idx="61">
                  <c:v>11</c:v>
                </c:pt>
                <c:pt idx="62">
                  <c:v>12</c:v>
                </c:pt>
                <c:pt idx="63">
                  <c:v>13</c:v>
                </c:pt>
                <c:pt idx="64">
                  <c:v>14</c:v>
                </c:pt>
                <c:pt idx="65">
                  <c:v>15</c:v>
                </c:pt>
                <c:pt idx="66">
                  <c:v>16</c:v>
                </c:pt>
                <c:pt idx="67">
                  <c:v>17</c:v>
                </c:pt>
                <c:pt idx="68">
                  <c:v>18</c:v>
                </c:pt>
                <c:pt idx="69">
                  <c:v>19</c:v>
                </c:pt>
                <c:pt idx="70">
                  <c:v>20</c:v>
                </c:pt>
                <c:pt idx="71">
                  <c:v>21</c:v>
                </c:pt>
                <c:pt idx="72">
                  <c:v>22</c:v>
                </c:pt>
                <c:pt idx="73">
                  <c:v>23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28</c:v>
                </c:pt>
                <c:pt idx="79">
                  <c:v>29</c:v>
                </c:pt>
                <c:pt idx="80">
                  <c:v>30</c:v>
                </c:pt>
                <c:pt idx="81">
                  <c:v>31</c:v>
                </c:pt>
                <c:pt idx="82">
                  <c:v>32</c:v>
                </c:pt>
                <c:pt idx="83">
                  <c:v>33</c:v>
                </c:pt>
                <c:pt idx="84">
                  <c:v>34</c:v>
                </c:pt>
                <c:pt idx="85">
                  <c:v>35</c:v>
                </c:pt>
                <c:pt idx="86">
                  <c:v>36</c:v>
                </c:pt>
                <c:pt idx="87">
                  <c:v>37</c:v>
                </c:pt>
                <c:pt idx="88">
                  <c:v>38</c:v>
                </c:pt>
                <c:pt idx="89">
                  <c:v>39</c:v>
                </c:pt>
                <c:pt idx="90">
                  <c:v>40</c:v>
                </c:pt>
                <c:pt idx="91">
                  <c:v>41</c:v>
                </c:pt>
                <c:pt idx="92">
                  <c:v>42</c:v>
                </c:pt>
                <c:pt idx="93">
                  <c:v>43</c:v>
                </c:pt>
                <c:pt idx="94">
                  <c:v>44</c:v>
                </c:pt>
                <c:pt idx="95">
                  <c:v>45</c:v>
                </c:pt>
                <c:pt idx="96">
                  <c:v>46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50</c:v>
                </c:pt>
              </c:numCache>
            </c:numRef>
          </c:xVal>
          <c:yVal>
            <c:numRef>
              <c:f>'Proxy Delta_S2'!$Q$28:$Q$128</c:f>
              <c:numCache>
                <c:formatCode>General</c:formatCode>
                <c:ptCount val="101"/>
                <c:pt idx="0">
                  <c:v>-0.30668220094196591</c:v>
                </c:pt>
                <c:pt idx="1">
                  <c:v>-0.30104359989345353</c:v>
                </c:pt>
                <c:pt idx="2">
                  <c:v>-0.29540499884494109</c:v>
                </c:pt>
                <c:pt idx="3">
                  <c:v>-0.28976639779642871</c:v>
                </c:pt>
                <c:pt idx="4">
                  <c:v>-0.28412779674791633</c:v>
                </c:pt>
                <c:pt idx="5">
                  <c:v>-0.27848919569940389</c:v>
                </c:pt>
                <c:pt idx="6">
                  <c:v>-0.27285059465089151</c:v>
                </c:pt>
                <c:pt idx="7">
                  <c:v>-0.26721199360237913</c:v>
                </c:pt>
                <c:pt idx="8">
                  <c:v>-0.26157339255386675</c:v>
                </c:pt>
                <c:pt idx="9">
                  <c:v>-0.25593479150535431</c:v>
                </c:pt>
                <c:pt idx="10">
                  <c:v>-0.25029619045684193</c:v>
                </c:pt>
                <c:pt idx="11">
                  <c:v>-0.24465758940832952</c:v>
                </c:pt>
                <c:pt idx="12">
                  <c:v>-0.23901898835981714</c:v>
                </c:pt>
                <c:pt idx="13">
                  <c:v>-0.23338038731130473</c:v>
                </c:pt>
                <c:pt idx="14">
                  <c:v>-0.22774178626279232</c:v>
                </c:pt>
                <c:pt idx="15">
                  <c:v>-0.22210318521427994</c:v>
                </c:pt>
                <c:pt idx="16">
                  <c:v>-0.21646458416576753</c:v>
                </c:pt>
                <c:pt idx="17">
                  <c:v>-0.21082598311725514</c:v>
                </c:pt>
                <c:pt idx="18">
                  <c:v>-0.20518738206874274</c:v>
                </c:pt>
                <c:pt idx="19">
                  <c:v>-0.19954878102023033</c:v>
                </c:pt>
                <c:pt idx="20">
                  <c:v>-0.19391017997171794</c:v>
                </c:pt>
                <c:pt idx="21">
                  <c:v>-0.18827157892320553</c:v>
                </c:pt>
                <c:pt idx="22">
                  <c:v>-0.18263297787469315</c:v>
                </c:pt>
                <c:pt idx="23">
                  <c:v>-0.17699437682618074</c:v>
                </c:pt>
                <c:pt idx="24">
                  <c:v>-0.17135577577766833</c:v>
                </c:pt>
                <c:pt idx="25">
                  <c:v>-0.16571717472915595</c:v>
                </c:pt>
                <c:pt idx="26">
                  <c:v>-0.16007857368064354</c:v>
                </c:pt>
                <c:pt idx="27">
                  <c:v>-0.15443997263213116</c:v>
                </c:pt>
                <c:pt idx="28">
                  <c:v>-0.14880137158361875</c:v>
                </c:pt>
                <c:pt idx="29">
                  <c:v>-0.14316277053510637</c:v>
                </c:pt>
                <c:pt idx="30">
                  <c:v>-0.13752416948659396</c:v>
                </c:pt>
                <c:pt idx="31">
                  <c:v>-0.13188556843808158</c:v>
                </c:pt>
                <c:pt idx="32">
                  <c:v>-0.12624696738956917</c:v>
                </c:pt>
                <c:pt idx="33">
                  <c:v>-0.12060836634105676</c:v>
                </c:pt>
                <c:pt idx="34">
                  <c:v>-0.11496976529254437</c:v>
                </c:pt>
                <c:pt idx="35">
                  <c:v>-0.10933116424403197</c:v>
                </c:pt>
                <c:pt idx="36">
                  <c:v>-0.10369256319551957</c:v>
                </c:pt>
                <c:pt idx="37">
                  <c:v>-9.8053962147007165E-2</c:v>
                </c:pt>
                <c:pt idx="38">
                  <c:v>-9.2415361098494769E-2</c:v>
                </c:pt>
                <c:pt idx="39">
                  <c:v>-8.6776760049982374E-2</c:v>
                </c:pt>
                <c:pt idx="40">
                  <c:v>-8.1138159001469978E-2</c:v>
                </c:pt>
                <c:pt idx="41">
                  <c:v>-7.5499557952957583E-2</c:v>
                </c:pt>
                <c:pt idx="42">
                  <c:v>-6.9860956904445187E-2</c:v>
                </c:pt>
                <c:pt idx="43">
                  <c:v>-6.4222355855932792E-2</c:v>
                </c:pt>
                <c:pt idx="44">
                  <c:v>-5.8583754807420382E-2</c:v>
                </c:pt>
                <c:pt idx="45">
                  <c:v>-5.2945153758907987E-2</c:v>
                </c:pt>
                <c:pt idx="46">
                  <c:v>-4.7306552710395591E-2</c:v>
                </c:pt>
                <c:pt idx="47">
                  <c:v>-4.1667951661883196E-2</c:v>
                </c:pt>
                <c:pt idx="48">
                  <c:v>-3.6029350613370793E-2</c:v>
                </c:pt>
                <c:pt idx="49">
                  <c:v>-3.0390749564858398E-2</c:v>
                </c:pt>
                <c:pt idx="50">
                  <c:v>-2.4752148516345999E-2</c:v>
                </c:pt>
                <c:pt idx="51">
                  <c:v>-1.91135474678336E-2</c:v>
                </c:pt>
                <c:pt idx="52">
                  <c:v>-1.3474946419321203E-2</c:v>
                </c:pt>
                <c:pt idx="53">
                  <c:v>-7.8363453708088053E-3</c:v>
                </c:pt>
                <c:pt idx="54">
                  <c:v>-2.1977443222964063E-3</c:v>
                </c:pt>
                <c:pt idx="55">
                  <c:v>3.4408567262159927E-3</c:v>
                </c:pt>
                <c:pt idx="56">
                  <c:v>9.0794577747283882E-3</c:v>
                </c:pt>
                <c:pt idx="57">
                  <c:v>1.4718058823240791E-2</c:v>
                </c:pt>
                <c:pt idx="58">
                  <c:v>2.0356659871753186E-2</c:v>
                </c:pt>
                <c:pt idx="59">
                  <c:v>2.5995260920265582E-2</c:v>
                </c:pt>
                <c:pt idx="60">
                  <c:v>3.1633861968777988E-2</c:v>
                </c:pt>
                <c:pt idx="61">
                  <c:v>3.7272463017290383E-2</c:v>
                </c:pt>
                <c:pt idx="62">
                  <c:v>4.2911064065802779E-2</c:v>
                </c:pt>
                <c:pt idx="63">
                  <c:v>4.8549665114315174E-2</c:v>
                </c:pt>
                <c:pt idx="64">
                  <c:v>5.4188266162827584E-2</c:v>
                </c:pt>
                <c:pt idx="65">
                  <c:v>5.9826867211339979E-2</c:v>
                </c:pt>
                <c:pt idx="66">
                  <c:v>6.5465468259852375E-2</c:v>
                </c:pt>
                <c:pt idx="67">
                  <c:v>7.110406930836477E-2</c:v>
                </c:pt>
                <c:pt idx="68">
                  <c:v>7.6742670356877166E-2</c:v>
                </c:pt>
                <c:pt idx="69">
                  <c:v>8.2381271405389575E-2</c:v>
                </c:pt>
                <c:pt idx="70">
                  <c:v>8.8019872453901971E-2</c:v>
                </c:pt>
                <c:pt idx="71">
                  <c:v>9.3658473502414366E-2</c:v>
                </c:pt>
                <c:pt idx="72">
                  <c:v>9.9297074550926762E-2</c:v>
                </c:pt>
                <c:pt idx="73">
                  <c:v>0.10493567559943917</c:v>
                </c:pt>
                <c:pt idx="74">
                  <c:v>0.11057427664795155</c:v>
                </c:pt>
                <c:pt idx="75">
                  <c:v>0.11621287769646396</c:v>
                </c:pt>
                <c:pt idx="76">
                  <c:v>0.12185147874497634</c:v>
                </c:pt>
                <c:pt idx="77">
                  <c:v>0.12749007979348875</c:v>
                </c:pt>
                <c:pt idx="78">
                  <c:v>0.13312868084200116</c:v>
                </c:pt>
                <c:pt idx="79">
                  <c:v>0.13876728189051354</c:v>
                </c:pt>
                <c:pt idx="80">
                  <c:v>0.14440588293902595</c:v>
                </c:pt>
                <c:pt idx="81">
                  <c:v>0.15004448398753834</c:v>
                </c:pt>
                <c:pt idx="82">
                  <c:v>0.15568308503605074</c:v>
                </c:pt>
                <c:pt idx="83">
                  <c:v>0.16132168608456315</c:v>
                </c:pt>
                <c:pt idx="84">
                  <c:v>0.16696028713307554</c:v>
                </c:pt>
                <c:pt idx="85">
                  <c:v>0.17259888818158794</c:v>
                </c:pt>
                <c:pt idx="86">
                  <c:v>0.17823748923010033</c:v>
                </c:pt>
                <c:pt idx="87">
                  <c:v>0.18387609027861274</c:v>
                </c:pt>
                <c:pt idx="88">
                  <c:v>0.18951469132712515</c:v>
                </c:pt>
                <c:pt idx="89">
                  <c:v>0.19515329237563753</c:v>
                </c:pt>
                <c:pt idx="90">
                  <c:v>0.20079189342414994</c:v>
                </c:pt>
                <c:pt idx="91">
                  <c:v>0.20643049447266232</c:v>
                </c:pt>
                <c:pt idx="92">
                  <c:v>0.21206909552117473</c:v>
                </c:pt>
                <c:pt idx="93">
                  <c:v>0.21770769656968714</c:v>
                </c:pt>
                <c:pt idx="94">
                  <c:v>0.22334629761819952</c:v>
                </c:pt>
                <c:pt idx="95">
                  <c:v>0.2289848986667119</c:v>
                </c:pt>
                <c:pt idx="96">
                  <c:v>0.23462349971522434</c:v>
                </c:pt>
                <c:pt idx="97">
                  <c:v>0.24026210076373672</c:v>
                </c:pt>
                <c:pt idx="98">
                  <c:v>0.2459007018122491</c:v>
                </c:pt>
                <c:pt idx="99">
                  <c:v>0.25153930286076154</c:v>
                </c:pt>
                <c:pt idx="100">
                  <c:v>0.25717790390927392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A9-4FDE-904D-37C531612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871792"/>
        <c:axId val="538823248"/>
      </c:scatterChart>
      <c:valAx>
        <c:axId val="589871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8823248"/>
        <c:crosses val="autoZero"/>
        <c:crossBetween val="midCat"/>
      </c:valAx>
      <c:valAx>
        <c:axId val="538823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89871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'Proxy Delta_S2'!$T$28:$T$128</c:f>
              <c:numCache>
                <c:formatCode>General</c:formatCode>
                <c:ptCount val="101"/>
                <c:pt idx="0">
                  <c:v>0.49504950495049505</c:v>
                </c:pt>
                <c:pt idx="1">
                  <c:v>1.4851485148514851</c:v>
                </c:pt>
                <c:pt idx="2">
                  <c:v>2.4752475247524752</c:v>
                </c:pt>
                <c:pt idx="3">
                  <c:v>3.4653465346534653</c:v>
                </c:pt>
                <c:pt idx="4">
                  <c:v>4.4554455445544559</c:v>
                </c:pt>
                <c:pt idx="5">
                  <c:v>5.4455445544554451</c:v>
                </c:pt>
                <c:pt idx="6">
                  <c:v>6.435643564356436</c:v>
                </c:pt>
                <c:pt idx="7">
                  <c:v>7.4257425742574252</c:v>
                </c:pt>
                <c:pt idx="8">
                  <c:v>8.4158415841584162</c:v>
                </c:pt>
                <c:pt idx="9">
                  <c:v>9.4059405940594072</c:v>
                </c:pt>
                <c:pt idx="10">
                  <c:v>10.396039603960396</c:v>
                </c:pt>
                <c:pt idx="11">
                  <c:v>11.386138613861386</c:v>
                </c:pt>
                <c:pt idx="12">
                  <c:v>12.376237623762377</c:v>
                </c:pt>
                <c:pt idx="13">
                  <c:v>13.366336633663368</c:v>
                </c:pt>
                <c:pt idx="14">
                  <c:v>14.356435643564357</c:v>
                </c:pt>
                <c:pt idx="15">
                  <c:v>15.346534653465346</c:v>
                </c:pt>
                <c:pt idx="16">
                  <c:v>16.336633663366335</c:v>
                </c:pt>
                <c:pt idx="17">
                  <c:v>17.326732673267326</c:v>
                </c:pt>
                <c:pt idx="18">
                  <c:v>18.316831683168317</c:v>
                </c:pt>
                <c:pt idx="19">
                  <c:v>19.306930693069305</c:v>
                </c:pt>
                <c:pt idx="20">
                  <c:v>20.297029702970296</c:v>
                </c:pt>
                <c:pt idx="21">
                  <c:v>21.287128712871286</c:v>
                </c:pt>
                <c:pt idx="22">
                  <c:v>22.277227722772274</c:v>
                </c:pt>
                <c:pt idx="23">
                  <c:v>23.267326732673265</c:v>
                </c:pt>
                <c:pt idx="24">
                  <c:v>24.257425742574256</c:v>
                </c:pt>
                <c:pt idx="25">
                  <c:v>25.247524752475247</c:v>
                </c:pt>
                <c:pt idx="26">
                  <c:v>26.237623762376238</c:v>
                </c:pt>
                <c:pt idx="27">
                  <c:v>27.227722772277225</c:v>
                </c:pt>
                <c:pt idx="28">
                  <c:v>28.217821782178216</c:v>
                </c:pt>
                <c:pt idx="29">
                  <c:v>29.207920792079207</c:v>
                </c:pt>
                <c:pt idx="30">
                  <c:v>30.198019801980195</c:v>
                </c:pt>
                <c:pt idx="31">
                  <c:v>31.188118811881186</c:v>
                </c:pt>
                <c:pt idx="32">
                  <c:v>32.178217821782177</c:v>
                </c:pt>
                <c:pt idx="33">
                  <c:v>33.168316831683164</c:v>
                </c:pt>
                <c:pt idx="34">
                  <c:v>34.158415841584159</c:v>
                </c:pt>
                <c:pt idx="35">
                  <c:v>35.148514851485146</c:v>
                </c:pt>
                <c:pt idx="36">
                  <c:v>36.138613861386141</c:v>
                </c:pt>
                <c:pt idx="37">
                  <c:v>37.128712871287128</c:v>
                </c:pt>
                <c:pt idx="38">
                  <c:v>38.118811881188115</c:v>
                </c:pt>
                <c:pt idx="39">
                  <c:v>39.10891089108911</c:v>
                </c:pt>
                <c:pt idx="40">
                  <c:v>40.099009900990097</c:v>
                </c:pt>
                <c:pt idx="41">
                  <c:v>41.089108910891085</c:v>
                </c:pt>
                <c:pt idx="42">
                  <c:v>42.079207920792079</c:v>
                </c:pt>
                <c:pt idx="43">
                  <c:v>43.069306930693067</c:v>
                </c:pt>
                <c:pt idx="44">
                  <c:v>44.059405940594054</c:v>
                </c:pt>
                <c:pt idx="45">
                  <c:v>45.049504950495049</c:v>
                </c:pt>
                <c:pt idx="46">
                  <c:v>46.039603960396036</c:v>
                </c:pt>
                <c:pt idx="47">
                  <c:v>47.029702970297031</c:v>
                </c:pt>
                <c:pt idx="48">
                  <c:v>48.019801980198018</c:v>
                </c:pt>
                <c:pt idx="49">
                  <c:v>49.009900990099005</c:v>
                </c:pt>
                <c:pt idx="50">
                  <c:v>50</c:v>
                </c:pt>
                <c:pt idx="51">
                  <c:v>50.990099009900987</c:v>
                </c:pt>
                <c:pt idx="52">
                  <c:v>51.980198019801982</c:v>
                </c:pt>
                <c:pt idx="53">
                  <c:v>52.970297029702969</c:v>
                </c:pt>
                <c:pt idx="54">
                  <c:v>53.960396039603957</c:v>
                </c:pt>
                <c:pt idx="55">
                  <c:v>54.950495049504951</c:v>
                </c:pt>
                <c:pt idx="56">
                  <c:v>55.940594059405939</c:v>
                </c:pt>
                <c:pt idx="57">
                  <c:v>56.930693069306926</c:v>
                </c:pt>
                <c:pt idx="58">
                  <c:v>57.920792079207921</c:v>
                </c:pt>
                <c:pt idx="59">
                  <c:v>58.910891089108908</c:v>
                </c:pt>
                <c:pt idx="60">
                  <c:v>59.900990099009896</c:v>
                </c:pt>
                <c:pt idx="61">
                  <c:v>60.89108910891089</c:v>
                </c:pt>
                <c:pt idx="62">
                  <c:v>61.881188118811878</c:v>
                </c:pt>
                <c:pt idx="63">
                  <c:v>62.871287128712872</c:v>
                </c:pt>
                <c:pt idx="64">
                  <c:v>63.861386138613859</c:v>
                </c:pt>
                <c:pt idx="65">
                  <c:v>64.851485148514854</c:v>
                </c:pt>
                <c:pt idx="66">
                  <c:v>65.841584158415841</c:v>
                </c:pt>
                <c:pt idx="67">
                  <c:v>66.831683168316843</c:v>
                </c:pt>
                <c:pt idx="68">
                  <c:v>67.821782178217831</c:v>
                </c:pt>
                <c:pt idx="69">
                  <c:v>68.811881188118818</c:v>
                </c:pt>
                <c:pt idx="70">
                  <c:v>69.801980198019805</c:v>
                </c:pt>
                <c:pt idx="71">
                  <c:v>70.792079207920793</c:v>
                </c:pt>
                <c:pt idx="72">
                  <c:v>71.782178217821794</c:v>
                </c:pt>
                <c:pt idx="73">
                  <c:v>72.772277227722782</c:v>
                </c:pt>
                <c:pt idx="74">
                  <c:v>73.762376237623769</c:v>
                </c:pt>
                <c:pt idx="75">
                  <c:v>74.752475247524757</c:v>
                </c:pt>
                <c:pt idx="76">
                  <c:v>75.742574257425744</c:v>
                </c:pt>
                <c:pt idx="77">
                  <c:v>76.732673267326732</c:v>
                </c:pt>
                <c:pt idx="78">
                  <c:v>77.722772277227733</c:v>
                </c:pt>
                <c:pt idx="79">
                  <c:v>78.712871287128721</c:v>
                </c:pt>
                <c:pt idx="80">
                  <c:v>79.702970297029708</c:v>
                </c:pt>
                <c:pt idx="81">
                  <c:v>80.693069306930695</c:v>
                </c:pt>
                <c:pt idx="82">
                  <c:v>81.683168316831683</c:v>
                </c:pt>
                <c:pt idx="83">
                  <c:v>82.673267326732685</c:v>
                </c:pt>
                <c:pt idx="84">
                  <c:v>83.663366336633672</c:v>
                </c:pt>
                <c:pt idx="85">
                  <c:v>84.653465346534659</c:v>
                </c:pt>
                <c:pt idx="86">
                  <c:v>85.643564356435647</c:v>
                </c:pt>
                <c:pt idx="87">
                  <c:v>86.633663366336634</c:v>
                </c:pt>
                <c:pt idx="88">
                  <c:v>87.623762376237622</c:v>
                </c:pt>
                <c:pt idx="89">
                  <c:v>88.613861386138623</c:v>
                </c:pt>
                <c:pt idx="90">
                  <c:v>89.603960396039611</c:v>
                </c:pt>
                <c:pt idx="91">
                  <c:v>90.594059405940598</c:v>
                </c:pt>
                <c:pt idx="92">
                  <c:v>91.584158415841586</c:v>
                </c:pt>
                <c:pt idx="93">
                  <c:v>92.574257425742573</c:v>
                </c:pt>
                <c:pt idx="94">
                  <c:v>93.564356435643575</c:v>
                </c:pt>
                <c:pt idx="95">
                  <c:v>94.554455445544562</c:v>
                </c:pt>
                <c:pt idx="96">
                  <c:v>95.544554455445549</c:v>
                </c:pt>
                <c:pt idx="97">
                  <c:v>96.534653465346537</c:v>
                </c:pt>
                <c:pt idx="98">
                  <c:v>97.524752475247524</c:v>
                </c:pt>
                <c:pt idx="99">
                  <c:v>98.514851485148526</c:v>
                </c:pt>
                <c:pt idx="100">
                  <c:v>99.504950495049513</c:v>
                </c:pt>
              </c:numCache>
            </c:numRef>
          </c:xVal>
          <c:yVal>
            <c:numRef>
              <c:f>'Proxy Delta_S2'!$U$28:$U$128</c:f>
              <c:numCache>
                <c:formatCode>General</c:formatCode>
                <c:ptCount val="101"/>
                <c:pt idx="0">
                  <c:v>-0.29668048790085777</c:v>
                </c:pt>
                <c:pt idx="1">
                  <c:v>-0.29351975623546878</c:v>
                </c:pt>
                <c:pt idx="2">
                  <c:v>-0.28917119366087718</c:v>
                </c:pt>
                <c:pt idx="3">
                  <c:v>-0.28317774390131945</c:v>
                </c:pt>
                <c:pt idx="4">
                  <c:v>-0.27808826480293192</c:v>
                </c:pt>
                <c:pt idx="5">
                  <c:v>-0.27259288467098486</c:v>
                </c:pt>
                <c:pt idx="6">
                  <c:v>-0.26823865907249456</c:v>
                </c:pt>
                <c:pt idx="7">
                  <c:v>-0.26616904085335591</c:v>
                </c:pt>
                <c:pt idx="8">
                  <c:v>-0.2543996059039273</c:v>
                </c:pt>
                <c:pt idx="9">
                  <c:v>-0.25011554057959984</c:v>
                </c:pt>
                <c:pt idx="10">
                  <c:v>-0.24753856877919134</c:v>
                </c:pt>
                <c:pt idx="11">
                  <c:v>-0.24269237144699218</c:v>
                </c:pt>
                <c:pt idx="12">
                  <c:v>-0.23965832168505585</c:v>
                </c:pt>
                <c:pt idx="13">
                  <c:v>-0.23710353025842323</c:v>
                </c:pt>
                <c:pt idx="14">
                  <c:v>-0.23172748011540989</c:v>
                </c:pt>
                <c:pt idx="15">
                  <c:v>-0.22715074058078244</c:v>
                </c:pt>
                <c:pt idx="16">
                  <c:v>-0.2188364591328309</c:v>
                </c:pt>
                <c:pt idx="17">
                  <c:v>-0.2105247707243052</c:v>
                </c:pt>
                <c:pt idx="18">
                  <c:v>-0.2059104246689003</c:v>
                </c:pt>
                <c:pt idx="19">
                  <c:v>-0.20342710034492484</c:v>
                </c:pt>
                <c:pt idx="20">
                  <c:v>-0.20149749991480803</c:v>
                </c:pt>
                <c:pt idx="21">
                  <c:v>-0.19690201362664084</c:v>
                </c:pt>
                <c:pt idx="22">
                  <c:v>-0.19231682300710418</c:v>
                </c:pt>
                <c:pt idx="23">
                  <c:v>-0.18826849416552704</c:v>
                </c:pt>
                <c:pt idx="24">
                  <c:v>-0.18116409922401999</c:v>
                </c:pt>
                <c:pt idx="25">
                  <c:v>-0.176630935122148</c:v>
                </c:pt>
                <c:pt idx="26">
                  <c:v>-0.17208491713859075</c:v>
                </c:pt>
                <c:pt idx="27">
                  <c:v>-0.16716345925919995</c:v>
                </c:pt>
                <c:pt idx="28">
                  <c:v>-0.16431635084472873</c:v>
                </c:pt>
                <c:pt idx="29">
                  <c:v>-0.16088482310078689</c:v>
                </c:pt>
                <c:pt idx="30">
                  <c:v>-0.14141768589843196</c:v>
                </c:pt>
                <c:pt idx="31">
                  <c:v>-0.1345049105372027</c:v>
                </c:pt>
                <c:pt idx="32">
                  <c:v>-0.12806783357552831</c:v>
                </c:pt>
                <c:pt idx="33">
                  <c:v>-0.1229019311463162</c:v>
                </c:pt>
                <c:pt idx="34">
                  <c:v>-0.12218717766950249</c:v>
                </c:pt>
                <c:pt idx="35">
                  <c:v>-0.12204620731438354</c:v>
                </c:pt>
                <c:pt idx="36">
                  <c:v>-0.12109970524238634</c:v>
                </c:pt>
                <c:pt idx="37">
                  <c:v>-0.11771765414005131</c:v>
                </c:pt>
                <c:pt idx="38">
                  <c:v>-0.11204847092051295</c:v>
                </c:pt>
                <c:pt idx="39">
                  <c:v>-0.10149088502362247</c:v>
                </c:pt>
                <c:pt idx="40">
                  <c:v>-9.6673726347944466E-2</c:v>
                </c:pt>
                <c:pt idx="41">
                  <c:v>-9.1462658768477922E-2</c:v>
                </c:pt>
                <c:pt idx="42">
                  <c:v>-7.6644820677529424E-2</c:v>
                </c:pt>
                <c:pt idx="43">
                  <c:v>-7.222525455097184E-2</c:v>
                </c:pt>
                <c:pt idx="44">
                  <c:v>-6.9340486377541311E-2</c:v>
                </c:pt>
                <c:pt idx="45">
                  <c:v>-3.9217660849658387E-2</c:v>
                </c:pt>
                <c:pt idx="46">
                  <c:v>-3.4789287866942686E-2</c:v>
                </c:pt>
                <c:pt idx="47">
                  <c:v>-2.9104781935188839E-2</c:v>
                </c:pt>
                <c:pt idx="48">
                  <c:v>-1.8787010310802543E-2</c:v>
                </c:pt>
                <c:pt idx="49">
                  <c:v>-1.548608544999297E-2</c:v>
                </c:pt>
                <c:pt idx="50">
                  <c:v>0</c:v>
                </c:pt>
                <c:pt idx="51">
                  <c:v>4.4001355095133476E-3</c:v>
                </c:pt>
                <c:pt idx="52">
                  <c:v>7.9624570990972643E-3</c:v>
                </c:pt>
                <c:pt idx="53">
                  <c:v>1.3068192242826626E-2</c:v>
                </c:pt>
                <c:pt idx="54">
                  <c:v>1.7611655948599036E-2</c:v>
                </c:pt>
                <c:pt idx="55">
                  <c:v>2.324879276034153E-2</c:v>
                </c:pt>
                <c:pt idx="56">
                  <c:v>2.7665758952821307E-2</c:v>
                </c:pt>
                <c:pt idx="57">
                  <c:v>3.0843508472571557E-2</c:v>
                </c:pt>
                <c:pt idx="58">
                  <c:v>3.3596977866864108E-2</c:v>
                </c:pt>
                <c:pt idx="59">
                  <c:v>3.7055615646409024E-2</c:v>
                </c:pt>
                <c:pt idx="60">
                  <c:v>3.9785124640161484E-2</c:v>
                </c:pt>
                <c:pt idx="61">
                  <c:v>4.6573430767352875E-2</c:v>
                </c:pt>
                <c:pt idx="62">
                  <c:v>5.4865080617446438E-2</c:v>
                </c:pt>
                <c:pt idx="63">
                  <c:v>5.9184903848858994E-2</c:v>
                </c:pt>
                <c:pt idx="64">
                  <c:v>5.9777335362241502E-2</c:v>
                </c:pt>
                <c:pt idx="65">
                  <c:v>6.1439419557132169E-2</c:v>
                </c:pt>
                <c:pt idx="66">
                  <c:v>6.4870758685515284E-2</c:v>
                </c:pt>
                <c:pt idx="67">
                  <c:v>7.039460675139253E-2</c:v>
                </c:pt>
                <c:pt idx="68">
                  <c:v>7.1508824385318803E-2</c:v>
                </c:pt>
                <c:pt idx="69">
                  <c:v>7.6770260235434762E-2</c:v>
                </c:pt>
                <c:pt idx="70">
                  <c:v>7.9484700485977555E-2</c:v>
                </c:pt>
                <c:pt idx="71">
                  <c:v>0.10161408281896911</c:v>
                </c:pt>
                <c:pt idx="72">
                  <c:v>0.10507086276277278</c:v>
                </c:pt>
                <c:pt idx="73">
                  <c:v>0.10881416237043595</c:v>
                </c:pt>
                <c:pt idx="74">
                  <c:v>0.11256222901863566</c:v>
                </c:pt>
                <c:pt idx="75">
                  <c:v>0.11937952092398518</c:v>
                </c:pt>
                <c:pt idx="76">
                  <c:v>0.12504159032118878</c:v>
                </c:pt>
                <c:pt idx="77">
                  <c:v>0.13496500268615819</c:v>
                </c:pt>
                <c:pt idx="78">
                  <c:v>0.1386426402991674</c:v>
                </c:pt>
                <c:pt idx="79">
                  <c:v>0.14183853565441495</c:v>
                </c:pt>
                <c:pt idx="80">
                  <c:v>0.14393583410014799</c:v>
                </c:pt>
                <c:pt idx="81">
                  <c:v>0.15189694500645601</c:v>
                </c:pt>
                <c:pt idx="82">
                  <c:v>0.1555485569525672</c:v>
                </c:pt>
                <c:pt idx="83">
                  <c:v>0.15893728317837486</c:v>
                </c:pt>
                <c:pt idx="84">
                  <c:v>0.16382990924512342</c:v>
                </c:pt>
                <c:pt idx="85">
                  <c:v>0.16799970951831256</c:v>
                </c:pt>
                <c:pt idx="86">
                  <c:v>0.17213587361800364</c:v>
                </c:pt>
                <c:pt idx="87">
                  <c:v>0.18042846940318213</c:v>
                </c:pt>
                <c:pt idx="88">
                  <c:v>0.18458346209592946</c:v>
                </c:pt>
                <c:pt idx="89">
                  <c:v>0.18765484434982227</c:v>
                </c:pt>
                <c:pt idx="90">
                  <c:v>0.19302782178124289</c:v>
                </c:pt>
                <c:pt idx="91">
                  <c:v>0.19628075032176184</c:v>
                </c:pt>
                <c:pt idx="92">
                  <c:v>0.21208700217550813</c:v>
                </c:pt>
                <c:pt idx="93">
                  <c:v>0.21620313749087927</c:v>
                </c:pt>
                <c:pt idx="94">
                  <c:v>0.21714428741131542</c:v>
                </c:pt>
                <c:pt idx="95">
                  <c:v>0.21879052205372318</c:v>
                </c:pt>
                <c:pt idx="96">
                  <c:v>0.22183394853698246</c:v>
                </c:pt>
                <c:pt idx="97">
                  <c:v>0.23003557180163625</c:v>
                </c:pt>
                <c:pt idx="98">
                  <c:v>0.2353976578124275</c:v>
                </c:pt>
                <c:pt idx="99">
                  <c:v>0.25201035405711991</c:v>
                </c:pt>
                <c:pt idx="100">
                  <c:v>0.25740148757211045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B1-42A2-9A35-F3F7D14EA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823904"/>
        <c:axId val="538810784"/>
      </c:scatterChart>
      <c:valAx>
        <c:axId val="53882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8810784"/>
        <c:crosses val="autoZero"/>
        <c:crossBetween val="midCat"/>
      </c:valAx>
      <c:valAx>
        <c:axId val="538810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882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'Proxy Delta_S3'!$B$4:$B$104</c:f>
              <c:numCache>
                <c:formatCode>General</c:formatCode>
                <c:ptCount val="101"/>
                <c:pt idx="0">
                  <c:v>969.01386123596046</c:v>
                </c:pt>
                <c:pt idx="1">
                  <c:v>969.02607284123235</c:v>
                </c:pt>
                <c:pt idx="2">
                  <c:v>969.03965541015361</c:v>
                </c:pt>
                <c:pt idx="3">
                  <c:v>969.05782724607604</c:v>
                </c:pt>
                <c:pt idx="4">
                  <c:v>969.06988956224063</c:v>
                </c:pt>
                <c:pt idx="5">
                  <c:v>969.11346978822417</c:v>
                </c:pt>
                <c:pt idx="6">
                  <c:v>969.12324014298406</c:v>
                </c:pt>
                <c:pt idx="7">
                  <c:v>969.14440098274861</c:v>
                </c:pt>
                <c:pt idx="8">
                  <c:v>969.15774469993562</c:v>
                </c:pt>
                <c:pt idx="9">
                  <c:v>969.17389517031324</c:v>
                </c:pt>
                <c:pt idx="10">
                  <c:v>969.1849881739281</c:v>
                </c:pt>
                <c:pt idx="11">
                  <c:v>969.19391953540435</c:v>
                </c:pt>
                <c:pt idx="12">
                  <c:v>969.19209039393206</c:v>
                </c:pt>
                <c:pt idx="13">
                  <c:v>969.20098505559793</c:v>
                </c:pt>
                <c:pt idx="14">
                  <c:v>969.20537544851823</c:v>
                </c:pt>
                <c:pt idx="15">
                  <c:v>969.21500155341812</c:v>
                </c:pt>
                <c:pt idx="16">
                  <c:v>969.22242269024593</c:v>
                </c:pt>
                <c:pt idx="17">
                  <c:v>969.23317622668503</c:v>
                </c:pt>
                <c:pt idx="18">
                  <c:v>969.24171866959603</c:v>
                </c:pt>
                <c:pt idx="19">
                  <c:v>969.2456107179313</c:v>
                </c:pt>
                <c:pt idx="20">
                  <c:v>969.25892809565016</c:v>
                </c:pt>
                <c:pt idx="21">
                  <c:v>969.27701933697699</c:v>
                </c:pt>
                <c:pt idx="22">
                  <c:v>969.28483824920045</c:v>
                </c:pt>
                <c:pt idx="23">
                  <c:v>969.30229186142287</c:v>
                </c:pt>
                <c:pt idx="24">
                  <c:v>969.32622661319408</c:v>
                </c:pt>
                <c:pt idx="25">
                  <c:v>969.33620047272791</c:v>
                </c:pt>
                <c:pt idx="26">
                  <c:v>969.35039753521528</c:v>
                </c:pt>
                <c:pt idx="27">
                  <c:v>969.35649356681972</c:v>
                </c:pt>
                <c:pt idx="28">
                  <c:v>969.36792227799322</c:v>
                </c:pt>
                <c:pt idx="29">
                  <c:v>969.37336541711124</c:v>
                </c:pt>
                <c:pt idx="30">
                  <c:v>969.38082283326662</c:v>
                </c:pt>
                <c:pt idx="31">
                  <c:v>969.38970418267536</c:v>
                </c:pt>
                <c:pt idx="32">
                  <c:v>969.39178650122074</c:v>
                </c:pt>
                <c:pt idx="33">
                  <c:v>969.40724524328789</c:v>
                </c:pt>
                <c:pt idx="34">
                  <c:v>969.42075137107247</c:v>
                </c:pt>
                <c:pt idx="35">
                  <c:v>969.42867313678983</c:v>
                </c:pt>
                <c:pt idx="36">
                  <c:v>969.4342766469066</c:v>
                </c:pt>
                <c:pt idx="37">
                  <c:v>969.43944741901112</c:v>
                </c:pt>
                <c:pt idx="38">
                  <c:v>969.44724125844596</c:v>
                </c:pt>
                <c:pt idx="39">
                  <c:v>969.45587280776999</c:v>
                </c:pt>
                <c:pt idx="40">
                  <c:v>969.46219580690195</c:v>
                </c:pt>
                <c:pt idx="41">
                  <c:v>969.47130275401344</c:v>
                </c:pt>
                <c:pt idx="42">
                  <c:v>969.47649420295875</c:v>
                </c:pt>
                <c:pt idx="43">
                  <c:v>969.48355504487176</c:v>
                </c:pt>
                <c:pt idx="44">
                  <c:v>969.48967054055765</c:v>
                </c:pt>
                <c:pt idx="45">
                  <c:v>969.49663484151347</c:v>
                </c:pt>
                <c:pt idx="46">
                  <c:v>969.50458485226568</c:v>
                </c:pt>
                <c:pt idx="47">
                  <c:v>969.50994377455743</c:v>
                </c:pt>
                <c:pt idx="48">
                  <c:v>969.51507503725088</c:v>
                </c:pt>
                <c:pt idx="49">
                  <c:v>969.52339118423833</c:v>
                </c:pt>
                <c:pt idx="50">
                  <c:v>969.53256536235142</c:v>
                </c:pt>
                <c:pt idx="51">
                  <c:v>969.58604728029241</c:v>
                </c:pt>
                <c:pt idx="52">
                  <c:v>969.59347537153167</c:v>
                </c:pt>
                <c:pt idx="53">
                  <c:v>969.59856148060669</c:v>
                </c:pt>
                <c:pt idx="54">
                  <c:v>969.60455015145465</c:v>
                </c:pt>
                <c:pt idx="55">
                  <c:v>969.61565657458539</c:v>
                </c:pt>
                <c:pt idx="56">
                  <c:v>969.62174759010907</c:v>
                </c:pt>
                <c:pt idx="57">
                  <c:v>969.63401183000838</c:v>
                </c:pt>
                <c:pt idx="58">
                  <c:v>969.64172262129011</c:v>
                </c:pt>
                <c:pt idx="59">
                  <c:v>969.65622818717293</c:v>
                </c:pt>
                <c:pt idx="60">
                  <c:v>969.67298768872377</c:v>
                </c:pt>
                <c:pt idx="61">
                  <c:v>969.68203821416114</c:v>
                </c:pt>
                <c:pt idx="62">
                  <c:v>969.68600359118227</c:v>
                </c:pt>
                <c:pt idx="63">
                  <c:v>969.69570790170792</c:v>
                </c:pt>
                <c:pt idx="64">
                  <c:v>969.70335288923377</c:v>
                </c:pt>
                <c:pt idx="65">
                  <c:v>969.72287099501261</c:v>
                </c:pt>
                <c:pt idx="66">
                  <c:v>969.72770382961858</c:v>
                </c:pt>
                <c:pt idx="67">
                  <c:v>969.73421977860119</c:v>
                </c:pt>
                <c:pt idx="68">
                  <c:v>969.74202514433648</c:v>
                </c:pt>
                <c:pt idx="69">
                  <c:v>969.7502867857927</c:v>
                </c:pt>
                <c:pt idx="70">
                  <c:v>969.7589910125364</c:v>
                </c:pt>
                <c:pt idx="71">
                  <c:v>969.76808529229231</c:v>
                </c:pt>
                <c:pt idx="72">
                  <c:v>969.77586747143528</c:v>
                </c:pt>
                <c:pt idx="73">
                  <c:v>969.78337446702039</c:v>
                </c:pt>
                <c:pt idx="74">
                  <c:v>969.78869786943346</c:v>
                </c:pt>
                <c:pt idx="75">
                  <c:v>969.79356630921586</c:v>
                </c:pt>
                <c:pt idx="76">
                  <c:v>969.79845596117138</c:v>
                </c:pt>
                <c:pt idx="77">
                  <c:v>969.80713765158373</c:v>
                </c:pt>
                <c:pt idx="78">
                  <c:v>969.81567794002456</c:v>
                </c:pt>
                <c:pt idx="79">
                  <c:v>969.8340369629243</c:v>
                </c:pt>
                <c:pt idx="80">
                  <c:v>969.84089515172138</c:v>
                </c:pt>
                <c:pt idx="81">
                  <c:v>969.85270957951366</c:v>
                </c:pt>
                <c:pt idx="82">
                  <c:v>969.86661170140485</c:v>
                </c:pt>
                <c:pt idx="83">
                  <c:v>969.87201278227303</c:v>
                </c:pt>
                <c:pt idx="84">
                  <c:v>969.87948084042796</c:v>
                </c:pt>
                <c:pt idx="85">
                  <c:v>969.88360194754739</c:v>
                </c:pt>
                <c:pt idx="86">
                  <c:v>969.88599533586557</c:v>
                </c:pt>
                <c:pt idx="87">
                  <c:v>969.88959536126072</c:v>
                </c:pt>
                <c:pt idx="88">
                  <c:v>969.8964753251721</c:v>
                </c:pt>
                <c:pt idx="89">
                  <c:v>969.89786548180405</c:v>
                </c:pt>
                <c:pt idx="90">
                  <c:v>969.90592084839807</c:v>
                </c:pt>
                <c:pt idx="91">
                  <c:v>969.91693158205203</c:v>
                </c:pt>
                <c:pt idx="92">
                  <c:v>969.93525157967792</c:v>
                </c:pt>
                <c:pt idx="93">
                  <c:v>969.94195294178712</c:v>
                </c:pt>
                <c:pt idx="94">
                  <c:v>969.96201959782275</c:v>
                </c:pt>
                <c:pt idx="95">
                  <c:v>969.96781841963502</c:v>
                </c:pt>
                <c:pt idx="96">
                  <c:v>969.97338977565801</c:v>
                </c:pt>
                <c:pt idx="97">
                  <c:v>969.97834057968805</c:v>
                </c:pt>
                <c:pt idx="98">
                  <c:v>969.98823526279659</c:v>
                </c:pt>
                <c:pt idx="99">
                  <c:v>970.00415907152205</c:v>
                </c:pt>
                <c:pt idx="100">
                  <c:v>970.00596770588686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C9-4972-941B-05996058A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886288"/>
        <c:axId val="540866280"/>
      </c:lineChart>
      <c:catAx>
        <c:axId val="540886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6280"/>
        <c:crosses val="autoZero"/>
        <c:auto val="1"/>
        <c:lblAlgn val="ctr"/>
        <c:lblOffset val="100"/>
        <c:noMultiLvlLbl val="0"/>
      </c:catAx>
      <c:valAx>
        <c:axId val="54086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8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'Proxy Delta_S3'!$N$4:$N$104</c:f>
              <c:numCache>
                <c:formatCode>General</c:formatCode>
                <c:ptCount val="101"/>
                <c:pt idx="0">
                  <c:v>-50</c:v>
                </c:pt>
                <c:pt idx="1">
                  <c:v>-49</c:v>
                </c:pt>
                <c:pt idx="2">
                  <c:v>-48</c:v>
                </c:pt>
                <c:pt idx="3">
                  <c:v>-47</c:v>
                </c:pt>
                <c:pt idx="4">
                  <c:v>-46</c:v>
                </c:pt>
                <c:pt idx="5">
                  <c:v>-45</c:v>
                </c:pt>
                <c:pt idx="6">
                  <c:v>-44</c:v>
                </c:pt>
                <c:pt idx="7">
                  <c:v>-43</c:v>
                </c:pt>
                <c:pt idx="8">
                  <c:v>-42</c:v>
                </c:pt>
                <c:pt idx="9">
                  <c:v>-41</c:v>
                </c:pt>
                <c:pt idx="10">
                  <c:v>-40</c:v>
                </c:pt>
                <c:pt idx="11">
                  <c:v>-39</c:v>
                </c:pt>
                <c:pt idx="12">
                  <c:v>-38</c:v>
                </c:pt>
                <c:pt idx="13">
                  <c:v>-37</c:v>
                </c:pt>
                <c:pt idx="14">
                  <c:v>-36</c:v>
                </c:pt>
                <c:pt idx="15">
                  <c:v>-35</c:v>
                </c:pt>
                <c:pt idx="16">
                  <c:v>-34</c:v>
                </c:pt>
                <c:pt idx="17">
                  <c:v>-33</c:v>
                </c:pt>
                <c:pt idx="18">
                  <c:v>-32</c:v>
                </c:pt>
                <c:pt idx="19">
                  <c:v>-31</c:v>
                </c:pt>
                <c:pt idx="20">
                  <c:v>-30</c:v>
                </c:pt>
                <c:pt idx="21">
                  <c:v>-29</c:v>
                </c:pt>
                <c:pt idx="22">
                  <c:v>-28</c:v>
                </c:pt>
                <c:pt idx="23">
                  <c:v>-27</c:v>
                </c:pt>
                <c:pt idx="24">
                  <c:v>-26</c:v>
                </c:pt>
                <c:pt idx="25">
                  <c:v>-25</c:v>
                </c:pt>
                <c:pt idx="26">
                  <c:v>-24</c:v>
                </c:pt>
                <c:pt idx="27">
                  <c:v>-23</c:v>
                </c:pt>
                <c:pt idx="28">
                  <c:v>-22</c:v>
                </c:pt>
                <c:pt idx="29">
                  <c:v>-21</c:v>
                </c:pt>
                <c:pt idx="30">
                  <c:v>-20</c:v>
                </c:pt>
                <c:pt idx="31">
                  <c:v>-19</c:v>
                </c:pt>
                <c:pt idx="32">
                  <c:v>-18</c:v>
                </c:pt>
                <c:pt idx="33">
                  <c:v>-17</c:v>
                </c:pt>
                <c:pt idx="34">
                  <c:v>-16</c:v>
                </c:pt>
                <c:pt idx="35">
                  <c:v>-15</c:v>
                </c:pt>
                <c:pt idx="36">
                  <c:v>-14</c:v>
                </c:pt>
                <c:pt idx="37">
                  <c:v>-13</c:v>
                </c:pt>
                <c:pt idx="38">
                  <c:v>-12</c:v>
                </c:pt>
                <c:pt idx="39">
                  <c:v>-11</c:v>
                </c:pt>
                <c:pt idx="40">
                  <c:v>-10</c:v>
                </c:pt>
                <c:pt idx="41">
                  <c:v>-9</c:v>
                </c:pt>
                <c:pt idx="42">
                  <c:v>-8</c:v>
                </c:pt>
                <c:pt idx="43">
                  <c:v>-7</c:v>
                </c:pt>
                <c:pt idx="44">
                  <c:v>-6</c:v>
                </c:pt>
                <c:pt idx="45">
                  <c:v>-5</c:v>
                </c:pt>
                <c:pt idx="46">
                  <c:v>-4</c:v>
                </c:pt>
                <c:pt idx="47">
                  <c:v>-3</c:v>
                </c:pt>
                <c:pt idx="48">
                  <c:v>-2</c:v>
                </c:pt>
                <c:pt idx="49">
                  <c:v>-1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10</c:v>
                </c:pt>
                <c:pt idx="61">
                  <c:v>11</c:v>
                </c:pt>
                <c:pt idx="62">
                  <c:v>12</c:v>
                </c:pt>
                <c:pt idx="63">
                  <c:v>13</c:v>
                </c:pt>
                <c:pt idx="64">
                  <c:v>14</c:v>
                </c:pt>
                <c:pt idx="65">
                  <c:v>15</c:v>
                </c:pt>
                <c:pt idx="66">
                  <c:v>16</c:v>
                </c:pt>
                <c:pt idx="67">
                  <c:v>17</c:v>
                </c:pt>
                <c:pt idx="68">
                  <c:v>18</c:v>
                </c:pt>
                <c:pt idx="69">
                  <c:v>19</c:v>
                </c:pt>
                <c:pt idx="70">
                  <c:v>20</c:v>
                </c:pt>
                <c:pt idx="71">
                  <c:v>21</c:v>
                </c:pt>
                <c:pt idx="72">
                  <c:v>22</c:v>
                </c:pt>
                <c:pt idx="73">
                  <c:v>23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28</c:v>
                </c:pt>
                <c:pt idx="79">
                  <c:v>29</c:v>
                </c:pt>
                <c:pt idx="80">
                  <c:v>30</c:v>
                </c:pt>
                <c:pt idx="81">
                  <c:v>31</c:v>
                </c:pt>
                <c:pt idx="82">
                  <c:v>32</c:v>
                </c:pt>
                <c:pt idx="83">
                  <c:v>33</c:v>
                </c:pt>
                <c:pt idx="84">
                  <c:v>34</c:v>
                </c:pt>
                <c:pt idx="85">
                  <c:v>35</c:v>
                </c:pt>
                <c:pt idx="86">
                  <c:v>36</c:v>
                </c:pt>
                <c:pt idx="87">
                  <c:v>37</c:v>
                </c:pt>
                <c:pt idx="88">
                  <c:v>38</c:v>
                </c:pt>
                <c:pt idx="89">
                  <c:v>39</c:v>
                </c:pt>
                <c:pt idx="90">
                  <c:v>40</c:v>
                </c:pt>
                <c:pt idx="91">
                  <c:v>41</c:v>
                </c:pt>
                <c:pt idx="92">
                  <c:v>42</c:v>
                </c:pt>
                <c:pt idx="93">
                  <c:v>43</c:v>
                </c:pt>
                <c:pt idx="94">
                  <c:v>44</c:v>
                </c:pt>
                <c:pt idx="95">
                  <c:v>45</c:v>
                </c:pt>
                <c:pt idx="96">
                  <c:v>46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50</c:v>
                </c:pt>
              </c:numCache>
            </c:numRef>
          </c:xVal>
          <c:yVal>
            <c:numRef>
              <c:f>'Proxy Delta_S3'!$O$4:$O$104</c:f>
              <c:numCache>
                <c:formatCode>General</c:formatCode>
                <c:ptCount val="101"/>
                <c:pt idx="0">
                  <c:v>-0.51870412639095775</c:v>
                </c:pt>
                <c:pt idx="1">
                  <c:v>-0.50649252111907117</c:v>
                </c:pt>
                <c:pt idx="2">
                  <c:v>-0.49290995219780598</c:v>
                </c:pt>
                <c:pt idx="3">
                  <c:v>-0.47473811627537543</c:v>
                </c:pt>
                <c:pt idx="4">
                  <c:v>-0.46267580011078735</c:v>
                </c:pt>
                <c:pt idx="5">
                  <c:v>-0.41909557412725462</c:v>
                </c:pt>
                <c:pt idx="6">
                  <c:v>-0.40932521936736066</c:v>
                </c:pt>
                <c:pt idx="7">
                  <c:v>-0.38816437960281291</c:v>
                </c:pt>
                <c:pt idx="8">
                  <c:v>-0.37482066241580014</c:v>
                </c:pt>
                <c:pt idx="9">
                  <c:v>-0.35867019203817563</c:v>
                </c:pt>
                <c:pt idx="10">
                  <c:v>-0.34757718842331542</c:v>
                </c:pt>
                <c:pt idx="11">
                  <c:v>-0.33864582694707224</c:v>
                </c:pt>
                <c:pt idx="12">
                  <c:v>-0.34047496841935754</c:v>
                </c:pt>
                <c:pt idx="13">
                  <c:v>-0.33158030675349437</c:v>
                </c:pt>
                <c:pt idx="14">
                  <c:v>-0.32718991383319462</c:v>
                </c:pt>
                <c:pt idx="15">
                  <c:v>-0.31756380893330061</c:v>
                </c:pt>
                <c:pt idx="16">
                  <c:v>-0.31014267210548496</c:v>
                </c:pt>
                <c:pt idx="17">
                  <c:v>-0.29938913566638803</c:v>
                </c:pt>
                <c:pt idx="18">
                  <c:v>-0.29084669275539454</c:v>
                </c:pt>
                <c:pt idx="19">
                  <c:v>-0.28695464442012053</c:v>
                </c:pt>
                <c:pt idx="20">
                  <c:v>-0.27363726670125743</c:v>
                </c:pt>
                <c:pt idx="21">
                  <c:v>-0.25554602537442861</c:v>
                </c:pt>
                <c:pt idx="22">
                  <c:v>-0.2477271131509724</c:v>
                </c:pt>
                <c:pt idx="23">
                  <c:v>-0.23027350092854704</c:v>
                </c:pt>
                <c:pt idx="24">
                  <c:v>-0.20633874915733941</c:v>
                </c:pt>
                <c:pt idx="25">
                  <c:v>-0.19636488962350995</c:v>
                </c:pt>
                <c:pt idx="26">
                  <c:v>-0.18216782713614066</c:v>
                </c:pt>
                <c:pt idx="27">
                  <c:v>-0.17607179553169772</c:v>
                </c:pt>
                <c:pt idx="28">
                  <c:v>-0.16464308435820385</c:v>
                </c:pt>
                <c:pt idx="29">
                  <c:v>-0.15919994524017511</c:v>
                </c:pt>
                <c:pt idx="30">
                  <c:v>-0.15174252908479957</c:v>
                </c:pt>
                <c:pt idx="31">
                  <c:v>-0.1428611796760606</c:v>
                </c:pt>
                <c:pt idx="32">
                  <c:v>-0.14077886113068416</c:v>
                </c:pt>
                <c:pt idx="33">
                  <c:v>-0.12532011906353091</c:v>
                </c:pt>
                <c:pt idx="34">
                  <c:v>-0.1118139912789502</c:v>
                </c:pt>
                <c:pt idx="35">
                  <c:v>-0.10389222556159439</c:v>
                </c:pt>
                <c:pt idx="36">
                  <c:v>-9.8288715444823538E-2</c:v>
                </c:pt>
                <c:pt idx="37">
                  <c:v>-9.31179433403031E-2</c:v>
                </c:pt>
                <c:pt idx="38">
                  <c:v>-8.5324103905463744E-2</c:v>
                </c:pt>
                <c:pt idx="39">
                  <c:v>-7.669255458142743E-2</c:v>
                </c:pt>
                <c:pt idx="40">
                  <c:v>-7.0369555449474319E-2</c:v>
                </c:pt>
                <c:pt idx="41">
                  <c:v>-6.1262608337983693E-2</c:v>
                </c:pt>
                <c:pt idx="42">
                  <c:v>-5.6071159392672598E-2</c:v>
                </c:pt>
                <c:pt idx="43">
                  <c:v>-4.9010317479655896E-2</c:v>
                </c:pt>
                <c:pt idx="44">
                  <c:v>-4.2894821793765914E-2</c:v>
                </c:pt>
                <c:pt idx="45">
                  <c:v>-3.5930520837951008E-2</c:v>
                </c:pt>
                <c:pt idx="46">
                  <c:v>-2.7980510085740207E-2</c:v>
                </c:pt>
                <c:pt idx="47">
                  <c:v>-2.2621587793992148E-2</c:v>
                </c:pt>
                <c:pt idx="48">
                  <c:v>-1.7490325100538939E-2</c:v>
                </c:pt>
                <c:pt idx="49">
                  <c:v>-9.1741781130849631E-3</c:v>
                </c:pt>
                <c:pt idx="50">
                  <c:v>0</c:v>
                </c:pt>
                <c:pt idx="51">
                  <c:v>5.3481917940985113E-2</c:v>
                </c:pt>
                <c:pt idx="52">
                  <c:v>6.0910009180247471E-2</c:v>
                </c:pt>
                <c:pt idx="53">
                  <c:v>6.599611825527063E-2</c:v>
                </c:pt>
                <c:pt idx="54">
                  <c:v>7.1984789103225921E-2</c:v>
                </c:pt>
                <c:pt idx="55">
                  <c:v>8.3091212233966871E-2</c:v>
                </c:pt>
                <c:pt idx="56">
                  <c:v>8.9182227757646615E-2</c:v>
                </c:pt>
                <c:pt idx="57">
                  <c:v>0.10144646765695597</c:v>
                </c:pt>
                <c:pt idx="58">
                  <c:v>0.10915725893869421</c:v>
                </c:pt>
                <c:pt idx="59">
                  <c:v>0.12366282482150837</c:v>
                </c:pt>
                <c:pt idx="60">
                  <c:v>0.1404223263723452</c:v>
                </c:pt>
                <c:pt idx="61">
                  <c:v>0.14947285180971903</c:v>
                </c:pt>
                <c:pt idx="62">
                  <c:v>0.15343822883085068</c:v>
                </c:pt>
                <c:pt idx="63">
                  <c:v>0.16314253935649958</c:v>
                </c:pt>
                <c:pt idx="64">
                  <c:v>0.17078752688234999</c:v>
                </c:pt>
                <c:pt idx="65">
                  <c:v>0.19030563266119316</c:v>
                </c:pt>
                <c:pt idx="66">
                  <c:v>0.19513846726715656</c:v>
                </c:pt>
                <c:pt idx="67">
                  <c:v>0.20165441624976665</c:v>
                </c:pt>
                <c:pt idx="68">
                  <c:v>0.20945978198506054</c:v>
                </c:pt>
                <c:pt idx="69">
                  <c:v>0.21772142344127587</c:v>
                </c:pt>
                <c:pt idx="70">
                  <c:v>0.22642565018497862</c:v>
                </c:pt>
                <c:pt idx="71">
                  <c:v>0.23551992994089233</c:v>
                </c:pt>
                <c:pt idx="72">
                  <c:v>0.24330210908385652</c:v>
                </c:pt>
                <c:pt idx="73">
                  <c:v>0.25080910466897421</c:v>
                </c:pt>
                <c:pt idx="74">
                  <c:v>0.25613250708204305</c:v>
                </c:pt>
                <c:pt idx="75">
                  <c:v>0.26100094686444208</c:v>
                </c:pt>
                <c:pt idx="76">
                  <c:v>0.26589059881996491</c:v>
                </c:pt>
                <c:pt idx="77">
                  <c:v>0.27457228923231014</c:v>
                </c:pt>
                <c:pt idx="78">
                  <c:v>0.28311257767313691</c:v>
                </c:pt>
                <c:pt idx="79">
                  <c:v>0.30147160057288147</c:v>
                </c:pt>
                <c:pt idx="80">
                  <c:v>0.30832978936996369</c:v>
                </c:pt>
                <c:pt idx="81">
                  <c:v>0.32014421716223751</c:v>
                </c:pt>
                <c:pt idx="82">
                  <c:v>0.33404633905342962</c:v>
                </c:pt>
                <c:pt idx="83">
                  <c:v>0.33944741992161198</c:v>
                </c:pt>
                <c:pt idx="84">
                  <c:v>0.34691547807653933</c:v>
                </c:pt>
                <c:pt idx="85">
                  <c:v>0.35103658519597047</c:v>
                </c:pt>
                <c:pt idx="86">
                  <c:v>0.35342997351415306</c:v>
                </c:pt>
                <c:pt idx="87">
                  <c:v>0.35702999890929732</c:v>
                </c:pt>
                <c:pt idx="88">
                  <c:v>0.363909962820685</c:v>
                </c:pt>
                <c:pt idx="89">
                  <c:v>0.36530011945262686</c:v>
                </c:pt>
                <c:pt idx="90">
                  <c:v>0.37335548604664837</c:v>
                </c:pt>
                <c:pt idx="91">
                  <c:v>0.38436621970060969</c:v>
                </c:pt>
                <c:pt idx="92">
                  <c:v>0.40268621732650445</c:v>
                </c:pt>
                <c:pt idx="93">
                  <c:v>0.40938757943570181</c:v>
                </c:pt>
                <c:pt idx="94">
                  <c:v>0.42945423547132577</c:v>
                </c:pt>
                <c:pt idx="95">
                  <c:v>0.43525305728360308</c:v>
                </c:pt>
                <c:pt idx="96">
                  <c:v>0.44082441330658639</c:v>
                </c:pt>
                <c:pt idx="97">
                  <c:v>0.44577521733663161</c:v>
                </c:pt>
                <c:pt idx="98">
                  <c:v>0.45566990044517297</c:v>
                </c:pt>
                <c:pt idx="99">
                  <c:v>0.4715937091706337</c:v>
                </c:pt>
                <c:pt idx="100">
                  <c:v>0.4734023435354402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17-4D0C-AAA6-10572F71B6CE}"/>
            </c:ext>
          </c:extLst>
        </c:ser>
        <c:ser>
          <c:idx val="1"/>
          <c:order val="1"/>
          <c:tx>
            <c:v>Predicted Y</c:v>
          </c:tx>
          <c:spPr>
            <a:ln w="19050">
              <a:noFill/>
            </a:ln>
          </c:spPr>
          <c:xVal>
            <c:numRef>
              <c:f>'Proxy Delta_S3'!$N$4:$N$104</c:f>
              <c:numCache>
                <c:formatCode>General</c:formatCode>
                <c:ptCount val="101"/>
                <c:pt idx="0">
                  <c:v>-50</c:v>
                </c:pt>
                <c:pt idx="1">
                  <c:v>-49</c:v>
                </c:pt>
                <c:pt idx="2">
                  <c:v>-48</c:v>
                </c:pt>
                <c:pt idx="3">
                  <c:v>-47</c:v>
                </c:pt>
                <c:pt idx="4">
                  <c:v>-46</c:v>
                </c:pt>
                <c:pt idx="5">
                  <c:v>-45</c:v>
                </c:pt>
                <c:pt idx="6">
                  <c:v>-44</c:v>
                </c:pt>
                <c:pt idx="7">
                  <c:v>-43</c:v>
                </c:pt>
                <c:pt idx="8">
                  <c:v>-42</c:v>
                </c:pt>
                <c:pt idx="9">
                  <c:v>-41</c:v>
                </c:pt>
                <c:pt idx="10">
                  <c:v>-40</c:v>
                </c:pt>
                <c:pt idx="11">
                  <c:v>-39</c:v>
                </c:pt>
                <c:pt idx="12">
                  <c:v>-38</c:v>
                </c:pt>
                <c:pt idx="13">
                  <c:v>-37</c:v>
                </c:pt>
                <c:pt idx="14">
                  <c:v>-36</c:v>
                </c:pt>
                <c:pt idx="15">
                  <c:v>-35</c:v>
                </c:pt>
                <c:pt idx="16">
                  <c:v>-34</c:v>
                </c:pt>
                <c:pt idx="17">
                  <c:v>-33</c:v>
                </c:pt>
                <c:pt idx="18">
                  <c:v>-32</c:v>
                </c:pt>
                <c:pt idx="19">
                  <c:v>-31</c:v>
                </c:pt>
                <c:pt idx="20">
                  <c:v>-30</c:v>
                </c:pt>
                <c:pt idx="21">
                  <c:v>-29</c:v>
                </c:pt>
                <c:pt idx="22">
                  <c:v>-28</c:v>
                </c:pt>
                <c:pt idx="23">
                  <c:v>-27</c:v>
                </c:pt>
                <c:pt idx="24">
                  <c:v>-26</c:v>
                </c:pt>
                <c:pt idx="25">
                  <c:v>-25</c:v>
                </c:pt>
                <c:pt idx="26">
                  <c:v>-24</c:v>
                </c:pt>
                <c:pt idx="27">
                  <c:v>-23</c:v>
                </c:pt>
                <c:pt idx="28">
                  <c:v>-22</c:v>
                </c:pt>
                <c:pt idx="29">
                  <c:v>-21</c:v>
                </c:pt>
                <c:pt idx="30">
                  <c:v>-20</c:v>
                </c:pt>
                <c:pt idx="31">
                  <c:v>-19</c:v>
                </c:pt>
                <c:pt idx="32">
                  <c:v>-18</c:v>
                </c:pt>
                <c:pt idx="33">
                  <c:v>-17</c:v>
                </c:pt>
                <c:pt idx="34">
                  <c:v>-16</c:v>
                </c:pt>
                <c:pt idx="35">
                  <c:v>-15</c:v>
                </c:pt>
                <c:pt idx="36">
                  <c:v>-14</c:v>
                </c:pt>
                <c:pt idx="37">
                  <c:v>-13</c:v>
                </c:pt>
                <c:pt idx="38">
                  <c:v>-12</c:v>
                </c:pt>
                <c:pt idx="39">
                  <c:v>-11</c:v>
                </c:pt>
                <c:pt idx="40">
                  <c:v>-10</c:v>
                </c:pt>
                <c:pt idx="41">
                  <c:v>-9</c:v>
                </c:pt>
                <c:pt idx="42">
                  <c:v>-8</c:v>
                </c:pt>
                <c:pt idx="43">
                  <c:v>-7</c:v>
                </c:pt>
                <c:pt idx="44">
                  <c:v>-6</c:v>
                </c:pt>
                <c:pt idx="45">
                  <c:v>-5</c:v>
                </c:pt>
                <c:pt idx="46">
                  <c:v>-4</c:v>
                </c:pt>
                <c:pt idx="47">
                  <c:v>-3</c:v>
                </c:pt>
                <c:pt idx="48">
                  <c:v>-2</c:v>
                </c:pt>
                <c:pt idx="49">
                  <c:v>-1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10</c:v>
                </c:pt>
                <c:pt idx="61">
                  <c:v>11</c:v>
                </c:pt>
                <c:pt idx="62">
                  <c:v>12</c:v>
                </c:pt>
                <c:pt idx="63">
                  <c:v>13</c:v>
                </c:pt>
                <c:pt idx="64">
                  <c:v>14</c:v>
                </c:pt>
                <c:pt idx="65">
                  <c:v>15</c:v>
                </c:pt>
                <c:pt idx="66">
                  <c:v>16</c:v>
                </c:pt>
                <c:pt idx="67">
                  <c:v>17</c:v>
                </c:pt>
                <c:pt idx="68">
                  <c:v>18</c:v>
                </c:pt>
                <c:pt idx="69">
                  <c:v>19</c:v>
                </c:pt>
                <c:pt idx="70">
                  <c:v>20</c:v>
                </c:pt>
                <c:pt idx="71">
                  <c:v>21</c:v>
                </c:pt>
                <c:pt idx="72">
                  <c:v>22</c:v>
                </c:pt>
                <c:pt idx="73">
                  <c:v>23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28</c:v>
                </c:pt>
                <c:pt idx="79">
                  <c:v>29</c:v>
                </c:pt>
                <c:pt idx="80">
                  <c:v>30</c:v>
                </c:pt>
                <c:pt idx="81">
                  <c:v>31</c:v>
                </c:pt>
                <c:pt idx="82">
                  <c:v>32</c:v>
                </c:pt>
                <c:pt idx="83">
                  <c:v>33</c:v>
                </c:pt>
                <c:pt idx="84">
                  <c:v>34</c:v>
                </c:pt>
                <c:pt idx="85">
                  <c:v>35</c:v>
                </c:pt>
                <c:pt idx="86">
                  <c:v>36</c:v>
                </c:pt>
                <c:pt idx="87">
                  <c:v>37</c:v>
                </c:pt>
                <c:pt idx="88">
                  <c:v>38</c:v>
                </c:pt>
                <c:pt idx="89">
                  <c:v>39</c:v>
                </c:pt>
                <c:pt idx="90">
                  <c:v>40</c:v>
                </c:pt>
                <c:pt idx="91">
                  <c:v>41</c:v>
                </c:pt>
                <c:pt idx="92">
                  <c:v>42</c:v>
                </c:pt>
                <c:pt idx="93">
                  <c:v>43</c:v>
                </c:pt>
                <c:pt idx="94">
                  <c:v>44</c:v>
                </c:pt>
                <c:pt idx="95">
                  <c:v>45</c:v>
                </c:pt>
                <c:pt idx="96">
                  <c:v>46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50</c:v>
                </c:pt>
              </c:numCache>
            </c:numRef>
          </c:xVal>
          <c:yVal>
            <c:numRef>
              <c:f>'Proxy Delta_S3'!$Q$28:$Q$128</c:f>
              <c:numCache>
                <c:formatCode>General</c:formatCode>
                <c:ptCount val="101"/>
                <c:pt idx="0">
                  <c:v>-0.45633959670495794</c:v>
                </c:pt>
                <c:pt idx="1">
                  <c:v>-0.44679706578257239</c:v>
                </c:pt>
                <c:pt idx="2">
                  <c:v>-0.43725453486018684</c:v>
                </c:pt>
                <c:pt idx="3">
                  <c:v>-0.42771200393780129</c:v>
                </c:pt>
                <c:pt idx="4">
                  <c:v>-0.41816947301541574</c:v>
                </c:pt>
                <c:pt idx="5">
                  <c:v>-0.40862694209303019</c:v>
                </c:pt>
                <c:pt idx="6">
                  <c:v>-0.39908441117064464</c:v>
                </c:pt>
                <c:pt idx="7">
                  <c:v>-0.38954188024825909</c:v>
                </c:pt>
                <c:pt idx="8">
                  <c:v>-0.37999934932587354</c:v>
                </c:pt>
                <c:pt idx="9">
                  <c:v>-0.37045681840348799</c:v>
                </c:pt>
                <c:pt idx="10">
                  <c:v>-0.36091428748110244</c:v>
                </c:pt>
                <c:pt idx="11">
                  <c:v>-0.35137175655871689</c:v>
                </c:pt>
                <c:pt idx="12">
                  <c:v>-0.34182922563633134</c:v>
                </c:pt>
                <c:pt idx="13">
                  <c:v>-0.33228669471394578</c:v>
                </c:pt>
                <c:pt idx="14">
                  <c:v>-0.32274416379156023</c:v>
                </c:pt>
                <c:pt idx="15">
                  <c:v>-0.31320163286917468</c:v>
                </c:pt>
                <c:pt idx="16">
                  <c:v>-0.30365910194678913</c:v>
                </c:pt>
                <c:pt idx="17">
                  <c:v>-0.29411657102440358</c:v>
                </c:pt>
                <c:pt idx="18">
                  <c:v>-0.28457404010201803</c:v>
                </c:pt>
                <c:pt idx="19">
                  <c:v>-0.27503150917963248</c:v>
                </c:pt>
                <c:pt idx="20">
                  <c:v>-0.26548897825724693</c:v>
                </c:pt>
                <c:pt idx="21">
                  <c:v>-0.25594644733486138</c:v>
                </c:pt>
                <c:pt idx="22">
                  <c:v>-0.24640391641247583</c:v>
                </c:pt>
                <c:pt idx="23">
                  <c:v>-0.23686138549009028</c:v>
                </c:pt>
                <c:pt idx="24">
                  <c:v>-0.22731885456770473</c:v>
                </c:pt>
                <c:pt idx="25">
                  <c:v>-0.21777632364531918</c:v>
                </c:pt>
                <c:pt idx="26">
                  <c:v>-0.20823379272293363</c:v>
                </c:pt>
                <c:pt idx="27">
                  <c:v>-0.19869126180054808</c:v>
                </c:pt>
                <c:pt idx="28">
                  <c:v>-0.18914873087816253</c:v>
                </c:pt>
                <c:pt idx="29">
                  <c:v>-0.17960619995577698</c:v>
                </c:pt>
                <c:pt idx="30">
                  <c:v>-0.17006366903339143</c:v>
                </c:pt>
                <c:pt idx="31">
                  <c:v>-0.16052113811100588</c:v>
                </c:pt>
                <c:pt idx="32">
                  <c:v>-0.15097860718862033</c:v>
                </c:pt>
                <c:pt idx="33">
                  <c:v>-0.14143607626623478</c:v>
                </c:pt>
                <c:pt idx="34">
                  <c:v>-0.13189354534384923</c:v>
                </c:pt>
                <c:pt idx="35">
                  <c:v>-0.12235101442146368</c:v>
                </c:pt>
                <c:pt idx="36">
                  <c:v>-0.11280848349907813</c:v>
                </c:pt>
                <c:pt idx="37">
                  <c:v>-0.10326595257669258</c:v>
                </c:pt>
                <c:pt idx="38">
                  <c:v>-9.3723421654307026E-2</c:v>
                </c:pt>
                <c:pt idx="39">
                  <c:v>-8.4180890731921476E-2</c:v>
                </c:pt>
                <c:pt idx="40">
                  <c:v>-7.4638359809535926E-2</c:v>
                </c:pt>
                <c:pt idx="41">
                  <c:v>-6.5095828887150375E-2</c:v>
                </c:pt>
                <c:pt idx="42">
                  <c:v>-5.5553297964764825E-2</c:v>
                </c:pt>
                <c:pt idx="43">
                  <c:v>-4.6010767042379275E-2</c:v>
                </c:pt>
                <c:pt idx="44">
                  <c:v>-3.6468236119993724E-2</c:v>
                </c:pt>
                <c:pt idx="45">
                  <c:v>-2.6925705197608171E-2</c:v>
                </c:pt>
                <c:pt idx="46">
                  <c:v>-1.738317427522262E-2</c:v>
                </c:pt>
                <c:pt idx="47">
                  <c:v>-7.8406433528370699E-3</c:v>
                </c:pt>
                <c:pt idx="48">
                  <c:v>1.7018875695484804E-3</c:v>
                </c:pt>
                <c:pt idx="49">
                  <c:v>1.1244418491934031E-2</c:v>
                </c:pt>
                <c:pt idx="50">
                  <c:v>2.0786949414319581E-2</c:v>
                </c:pt>
                <c:pt idx="51">
                  <c:v>3.0329480336705131E-2</c:v>
                </c:pt>
                <c:pt idx="52">
                  <c:v>3.9872011259090678E-2</c:v>
                </c:pt>
                <c:pt idx="53">
                  <c:v>4.9414542181476229E-2</c:v>
                </c:pt>
                <c:pt idx="54">
                  <c:v>5.8957073103861779E-2</c:v>
                </c:pt>
                <c:pt idx="55">
                  <c:v>6.8499604026247329E-2</c:v>
                </c:pt>
                <c:pt idx="56">
                  <c:v>7.804213494863288E-2</c:v>
                </c:pt>
                <c:pt idx="57">
                  <c:v>8.758466587101843E-2</c:v>
                </c:pt>
                <c:pt idx="58">
                  <c:v>9.712719679340398E-2</c:v>
                </c:pt>
                <c:pt idx="59">
                  <c:v>0.10666972771578953</c:v>
                </c:pt>
                <c:pt idx="60">
                  <c:v>0.11621225863817508</c:v>
                </c:pt>
                <c:pt idx="61">
                  <c:v>0.12575478956056063</c:v>
                </c:pt>
                <c:pt idx="62">
                  <c:v>0.13529732048294618</c:v>
                </c:pt>
                <c:pt idx="63">
                  <c:v>0.14483985140533173</c:v>
                </c:pt>
                <c:pt idx="64">
                  <c:v>0.15438238232771728</c:v>
                </c:pt>
                <c:pt idx="65">
                  <c:v>0.16392491325010283</c:v>
                </c:pt>
                <c:pt idx="66">
                  <c:v>0.17346744417248838</c:v>
                </c:pt>
                <c:pt idx="67">
                  <c:v>0.18300997509487393</c:v>
                </c:pt>
                <c:pt idx="68">
                  <c:v>0.19255250601725948</c:v>
                </c:pt>
                <c:pt idx="69">
                  <c:v>0.20209503693964503</c:v>
                </c:pt>
                <c:pt idx="70">
                  <c:v>0.21163756786203058</c:v>
                </c:pt>
                <c:pt idx="71">
                  <c:v>0.22118009878441613</c:v>
                </c:pt>
                <c:pt idx="72">
                  <c:v>0.23072262970680169</c:v>
                </c:pt>
                <c:pt idx="73">
                  <c:v>0.24026516062918724</c:v>
                </c:pt>
                <c:pt idx="74">
                  <c:v>0.24980769155157279</c:v>
                </c:pt>
                <c:pt idx="75">
                  <c:v>0.25935022247395834</c:v>
                </c:pt>
                <c:pt idx="76">
                  <c:v>0.26889275339634389</c:v>
                </c:pt>
                <c:pt idx="77">
                  <c:v>0.27843528431872944</c:v>
                </c:pt>
                <c:pt idx="78">
                  <c:v>0.28797781524111499</c:v>
                </c:pt>
                <c:pt idx="79">
                  <c:v>0.29752034616350054</c:v>
                </c:pt>
                <c:pt idx="80">
                  <c:v>0.30706287708588609</c:v>
                </c:pt>
                <c:pt idx="81">
                  <c:v>0.31660540800827164</c:v>
                </c:pt>
                <c:pt idx="82">
                  <c:v>0.32614793893065719</c:v>
                </c:pt>
                <c:pt idx="83">
                  <c:v>0.33569046985304274</c:v>
                </c:pt>
                <c:pt idx="84">
                  <c:v>0.34523300077542829</c:v>
                </c:pt>
                <c:pt idx="85">
                  <c:v>0.35477553169781384</c:v>
                </c:pt>
                <c:pt idx="86">
                  <c:v>0.36431806262019939</c:v>
                </c:pt>
                <c:pt idx="87">
                  <c:v>0.37386059354258494</c:v>
                </c:pt>
                <c:pt idx="88">
                  <c:v>0.38340312446497049</c:v>
                </c:pt>
                <c:pt idx="89">
                  <c:v>0.39294565538735604</c:v>
                </c:pt>
                <c:pt idx="90">
                  <c:v>0.40248818630974159</c:v>
                </c:pt>
                <c:pt idx="91">
                  <c:v>0.41203071723212714</c:v>
                </c:pt>
                <c:pt idx="92">
                  <c:v>0.42157324815451269</c:v>
                </c:pt>
                <c:pt idx="93">
                  <c:v>0.43111577907689824</c:v>
                </c:pt>
                <c:pt idx="94">
                  <c:v>0.44065830999928379</c:v>
                </c:pt>
                <c:pt idx="95">
                  <c:v>0.45020084092166934</c:v>
                </c:pt>
                <c:pt idx="96">
                  <c:v>0.45974337184405489</c:v>
                </c:pt>
                <c:pt idx="97">
                  <c:v>0.46928590276644044</c:v>
                </c:pt>
                <c:pt idx="98">
                  <c:v>0.47882843368882599</c:v>
                </c:pt>
                <c:pt idx="99">
                  <c:v>0.48837096461121154</c:v>
                </c:pt>
                <c:pt idx="100">
                  <c:v>0.49791349553359709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17-4D0C-AAA6-10572F71B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818000"/>
        <c:axId val="538819968"/>
      </c:scatterChart>
      <c:valAx>
        <c:axId val="538818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8819968"/>
        <c:crosses val="autoZero"/>
        <c:crossBetween val="midCat"/>
      </c:valAx>
      <c:valAx>
        <c:axId val="5388199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8818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046943350831143"/>
          <c:y val="0.48952122364014844"/>
          <c:w val="0.142368422221334"/>
          <c:h val="0.131035604245121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'Proxy Delta_S3'!$T$28:$T$128</c:f>
              <c:numCache>
                <c:formatCode>General</c:formatCode>
                <c:ptCount val="101"/>
                <c:pt idx="0">
                  <c:v>0.49504950495049505</c:v>
                </c:pt>
                <c:pt idx="1">
                  <c:v>1.4851485148514851</c:v>
                </c:pt>
                <c:pt idx="2">
                  <c:v>2.4752475247524752</c:v>
                </c:pt>
                <c:pt idx="3">
                  <c:v>3.4653465346534653</c:v>
                </c:pt>
                <c:pt idx="4">
                  <c:v>4.4554455445544559</c:v>
                </c:pt>
                <c:pt idx="5">
                  <c:v>5.4455445544554451</c:v>
                </c:pt>
                <c:pt idx="6">
                  <c:v>6.435643564356436</c:v>
                </c:pt>
                <c:pt idx="7">
                  <c:v>7.4257425742574252</c:v>
                </c:pt>
                <c:pt idx="8">
                  <c:v>8.4158415841584162</c:v>
                </c:pt>
                <c:pt idx="9">
                  <c:v>9.4059405940594072</c:v>
                </c:pt>
                <c:pt idx="10">
                  <c:v>10.396039603960396</c:v>
                </c:pt>
                <c:pt idx="11">
                  <c:v>11.386138613861386</c:v>
                </c:pt>
                <c:pt idx="12">
                  <c:v>12.376237623762377</c:v>
                </c:pt>
                <c:pt idx="13">
                  <c:v>13.366336633663368</c:v>
                </c:pt>
                <c:pt idx="14">
                  <c:v>14.356435643564357</c:v>
                </c:pt>
                <c:pt idx="15">
                  <c:v>15.346534653465346</c:v>
                </c:pt>
                <c:pt idx="16">
                  <c:v>16.336633663366335</c:v>
                </c:pt>
                <c:pt idx="17">
                  <c:v>17.326732673267326</c:v>
                </c:pt>
                <c:pt idx="18">
                  <c:v>18.316831683168317</c:v>
                </c:pt>
                <c:pt idx="19">
                  <c:v>19.306930693069305</c:v>
                </c:pt>
                <c:pt idx="20">
                  <c:v>20.297029702970296</c:v>
                </c:pt>
                <c:pt idx="21">
                  <c:v>21.287128712871286</c:v>
                </c:pt>
                <c:pt idx="22">
                  <c:v>22.277227722772274</c:v>
                </c:pt>
                <c:pt idx="23">
                  <c:v>23.267326732673265</c:v>
                </c:pt>
                <c:pt idx="24">
                  <c:v>24.257425742574256</c:v>
                </c:pt>
                <c:pt idx="25">
                  <c:v>25.247524752475247</c:v>
                </c:pt>
                <c:pt idx="26">
                  <c:v>26.237623762376238</c:v>
                </c:pt>
                <c:pt idx="27">
                  <c:v>27.227722772277225</c:v>
                </c:pt>
                <c:pt idx="28">
                  <c:v>28.217821782178216</c:v>
                </c:pt>
                <c:pt idx="29">
                  <c:v>29.207920792079207</c:v>
                </c:pt>
                <c:pt idx="30">
                  <c:v>30.198019801980195</c:v>
                </c:pt>
                <c:pt idx="31">
                  <c:v>31.188118811881186</c:v>
                </c:pt>
                <c:pt idx="32">
                  <c:v>32.178217821782177</c:v>
                </c:pt>
                <c:pt idx="33">
                  <c:v>33.168316831683164</c:v>
                </c:pt>
                <c:pt idx="34">
                  <c:v>34.158415841584159</c:v>
                </c:pt>
                <c:pt idx="35">
                  <c:v>35.148514851485146</c:v>
                </c:pt>
                <c:pt idx="36">
                  <c:v>36.138613861386141</c:v>
                </c:pt>
                <c:pt idx="37">
                  <c:v>37.128712871287128</c:v>
                </c:pt>
                <c:pt idx="38">
                  <c:v>38.118811881188115</c:v>
                </c:pt>
                <c:pt idx="39">
                  <c:v>39.10891089108911</c:v>
                </c:pt>
                <c:pt idx="40">
                  <c:v>40.099009900990097</c:v>
                </c:pt>
                <c:pt idx="41">
                  <c:v>41.089108910891085</c:v>
                </c:pt>
                <c:pt idx="42">
                  <c:v>42.079207920792079</c:v>
                </c:pt>
                <c:pt idx="43">
                  <c:v>43.069306930693067</c:v>
                </c:pt>
                <c:pt idx="44">
                  <c:v>44.059405940594054</c:v>
                </c:pt>
                <c:pt idx="45">
                  <c:v>45.049504950495049</c:v>
                </c:pt>
                <c:pt idx="46">
                  <c:v>46.039603960396036</c:v>
                </c:pt>
                <c:pt idx="47">
                  <c:v>47.029702970297031</c:v>
                </c:pt>
                <c:pt idx="48">
                  <c:v>48.019801980198018</c:v>
                </c:pt>
                <c:pt idx="49">
                  <c:v>49.009900990099005</c:v>
                </c:pt>
                <c:pt idx="50">
                  <c:v>50</c:v>
                </c:pt>
                <c:pt idx="51">
                  <c:v>50.990099009900987</c:v>
                </c:pt>
                <c:pt idx="52">
                  <c:v>51.980198019801982</c:v>
                </c:pt>
                <c:pt idx="53">
                  <c:v>52.970297029702969</c:v>
                </c:pt>
                <c:pt idx="54">
                  <c:v>53.960396039603957</c:v>
                </c:pt>
                <c:pt idx="55">
                  <c:v>54.950495049504951</c:v>
                </c:pt>
                <c:pt idx="56">
                  <c:v>55.940594059405939</c:v>
                </c:pt>
                <c:pt idx="57">
                  <c:v>56.930693069306926</c:v>
                </c:pt>
                <c:pt idx="58">
                  <c:v>57.920792079207921</c:v>
                </c:pt>
                <c:pt idx="59">
                  <c:v>58.910891089108908</c:v>
                </c:pt>
                <c:pt idx="60">
                  <c:v>59.900990099009896</c:v>
                </c:pt>
                <c:pt idx="61">
                  <c:v>60.89108910891089</c:v>
                </c:pt>
                <c:pt idx="62">
                  <c:v>61.881188118811878</c:v>
                </c:pt>
                <c:pt idx="63">
                  <c:v>62.871287128712872</c:v>
                </c:pt>
                <c:pt idx="64">
                  <c:v>63.861386138613859</c:v>
                </c:pt>
                <c:pt idx="65">
                  <c:v>64.851485148514854</c:v>
                </c:pt>
                <c:pt idx="66">
                  <c:v>65.841584158415841</c:v>
                </c:pt>
                <c:pt idx="67">
                  <c:v>66.831683168316843</c:v>
                </c:pt>
                <c:pt idx="68">
                  <c:v>67.821782178217831</c:v>
                </c:pt>
                <c:pt idx="69">
                  <c:v>68.811881188118818</c:v>
                </c:pt>
                <c:pt idx="70">
                  <c:v>69.801980198019805</c:v>
                </c:pt>
                <c:pt idx="71">
                  <c:v>70.792079207920793</c:v>
                </c:pt>
                <c:pt idx="72">
                  <c:v>71.782178217821794</c:v>
                </c:pt>
                <c:pt idx="73">
                  <c:v>72.772277227722782</c:v>
                </c:pt>
                <c:pt idx="74">
                  <c:v>73.762376237623769</c:v>
                </c:pt>
                <c:pt idx="75">
                  <c:v>74.752475247524757</c:v>
                </c:pt>
                <c:pt idx="76">
                  <c:v>75.742574257425744</c:v>
                </c:pt>
                <c:pt idx="77">
                  <c:v>76.732673267326732</c:v>
                </c:pt>
                <c:pt idx="78">
                  <c:v>77.722772277227733</c:v>
                </c:pt>
                <c:pt idx="79">
                  <c:v>78.712871287128721</c:v>
                </c:pt>
                <c:pt idx="80">
                  <c:v>79.702970297029708</c:v>
                </c:pt>
                <c:pt idx="81">
                  <c:v>80.693069306930695</c:v>
                </c:pt>
                <c:pt idx="82">
                  <c:v>81.683168316831683</c:v>
                </c:pt>
                <c:pt idx="83">
                  <c:v>82.673267326732685</c:v>
                </c:pt>
                <c:pt idx="84">
                  <c:v>83.663366336633672</c:v>
                </c:pt>
                <c:pt idx="85">
                  <c:v>84.653465346534659</c:v>
                </c:pt>
                <c:pt idx="86">
                  <c:v>85.643564356435647</c:v>
                </c:pt>
                <c:pt idx="87">
                  <c:v>86.633663366336634</c:v>
                </c:pt>
                <c:pt idx="88">
                  <c:v>87.623762376237622</c:v>
                </c:pt>
                <c:pt idx="89">
                  <c:v>88.613861386138623</c:v>
                </c:pt>
                <c:pt idx="90">
                  <c:v>89.603960396039611</c:v>
                </c:pt>
                <c:pt idx="91">
                  <c:v>90.594059405940598</c:v>
                </c:pt>
                <c:pt idx="92">
                  <c:v>91.584158415841586</c:v>
                </c:pt>
                <c:pt idx="93">
                  <c:v>92.574257425742573</c:v>
                </c:pt>
                <c:pt idx="94">
                  <c:v>93.564356435643575</c:v>
                </c:pt>
                <c:pt idx="95">
                  <c:v>94.554455445544562</c:v>
                </c:pt>
                <c:pt idx="96">
                  <c:v>95.544554455445549</c:v>
                </c:pt>
                <c:pt idx="97">
                  <c:v>96.534653465346537</c:v>
                </c:pt>
                <c:pt idx="98">
                  <c:v>97.524752475247524</c:v>
                </c:pt>
                <c:pt idx="99">
                  <c:v>98.514851485148526</c:v>
                </c:pt>
                <c:pt idx="100">
                  <c:v>99.504950495049513</c:v>
                </c:pt>
              </c:numCache>
            </c:numRef>
          </c:xVal>
          <c:yVal>
            <c:numRef>
              <c:f>'Proxy Delta_S3'!$U$28:$U$128</c:f>
              <c:numCache>
                <c:formatCode>General</c:formatCode>
                <c:ptCount val="101"/>
                <c:pt idx="0">
                  <c:v>-0.51870412639095775</c:v>
                </c:pt>
                <c:pt idx="1">
                  <c:v>-0.50649252111907117</c:v>
                </c:pt>
                <c:pt idx="2">
                  <c:v>-0.49290995219780598</c:v>
                </c:pt>
                <c:pt idx="3">
                  <c:v>-0.47473811627537543</c:v>
                </c:pt>
                <c:pt idx="4">
                  <c:v>-0.46267580011078735</c:v>
                </c:pt>
                <c:pt idx="5">
                  <c:v>-0.41909557412725462</c:v>
                </c:pt>
                <c:pt idx="6">
                  <c:v>-0.40932521936736066</c:v>
                </c:pt>
                <c:pt idx="7">
                  <c:v>-0.38816437960281291</c:v>
                </c:pt>
                <c:pt idx="8">
                  <c:v>-0.37482066241580014</c:v>
                </c:pt>
                <c:pt idx="9">
                  <c:v>-0.35867019203817563</c:v>
                </c:pt>
                <c:pt idx="10">
                  <c:v>-0.34757718842331542</c:v>
                </c:pt>
                <c:pt idx="11">
                  <c:v>-0.34047496841935754</c:v>
                </c:pt>
                <c:pt idx="12">
                  <c:v>-0.33864582694707224</c:v>
                </c:pt>
                <c:pt idx="13">
                  <c:v>-0.33158030675349437</c:v>
                </c:pt>
                <c:pt idx="14">
                  <c:v>-0.32718991383319462</c:v>
                </c:pt>
                <c:pt idx="15">
                  <c:v>-0.31756380893330061</c:v>
                </c:pt>
                <c:pt idx="16">
                  <c:v>-0.31014267210548496</c:v>
                </c:pt>
                <c:pt idx="17">
                  <c:v>-0.29938913566638803</c:v>
                </c:pt>
                <c:pt idx="18">
                  <c:v>-0.29084669275539454</c:v>
                </c:pt>
                <c:pt idx="19">
                  <c:v>-0.28695464442012053</c:v>
                </c:pt>
                <c:pt idx="20">
                  <c:v>-0.27363726670125743</c:v>
                </c:pt>
                <c:pt idx="21">
                  <c:v>-0.25554602537442861</c:v>
                </c:pt>
                <c:pt idx="22">
                  <c:v>-0.2477271131509724</c:v>
                </c:pt>
                <c:pt idx="23">
                  <c:v>-0.23027350092854704</c:v>
                </c:pt>
                <c:pt idx="24">
                  <c:v>-0.20633874915733941</c:v>
                </c:pt>
                <c:pt idx="25">
                  <c:v>-0.19636488962350995</c:v>
                </c:pt>
                <c:pt idx="26">
                  <c:v>-0.18216782713614066</c:v>
                </c:pt>
                <c:pt idx="27">
                  <c:v>-0.17607179553169772</c:v>
                </c:pt>
                <c:pt idx="28">
                  <c:v>-0.16464308435820385</c:v>
                </c:pt>
                <c:pt idx="29">
                  <c:v>-0.15919994524017511</c:v>
                </c:pt>
                <c:pt idx="30">
                  <c:v>-0.15174252908479957</c:v>
                </c:pt>
                <c:pt idx="31">
                  <c:v>-0.1428611796760606</c:v>
                </c:pt>
                <c:pt idx="32">
                  <c:v>-0.14077886113068416</c:v>
                </c:pt>
                <c:pt idx="33">
                  <c:v>-0.12532011906353091</c:v>
                </c:pt>
                <c:pt idx="34">
                  <c:v>-0.1118139912789502</c:v>
                </c:pt>
                <c:pt idx="35">
                  <c:v>-0.10389222556159439</c:v>
                </c:pt>
                <c:pt idx="36">
                  <c:v>-9.8288715444823538E-2</c:v>
                </c:pt>
                <c:pt idx="37">
                  <c:v>-9.31179433403031E-2</c:v>
                </c:pt>
                <c:pt idx="38">
                  <c:v>-8.5324103905463744E-2</c:v>
                </c:pt>
                <c:pt idx="39">
                  <c:v>-7.669255458142743E-2</c:v>
                </c:pt>
                <c:pt idx="40">
                  <c:v>-7.0369555449474319E-2</c:v>
                </c:pt>
                <c:pt idx="41">
                  <c:v>-6.1262608337983693E-2</c:v>
                </c:pt>
                <c:pt idx="42">
                  <c:v>-5.6071159392672598E-2</c:v>
                </c:pt>
                <c:pt idx="43">
                  <c:v>-4.9010317479655896E-2</c:v>
                </c:pt>
                <c:pt idx="44">
                  <c:v>-4.2894821793765914E-2</c:v>
                </c:pt>
                <c:pt idx="45">
                  <c:v>-3.5930520837951008E-2</c:v>
                </c:pt>
                <c:pt idx="46">
                  <c:v>-2.7980510085740207E-2</c:v>
                </c:pt>
                <c:pt idx="47">
                  <c:v>-2.2621587793992148E-2</c:v>
                </c:pt>
                <c:pt idx="48">
                  <c:v>-1.7490325100538939E-2</c:v>
                </c:pt>
                <c:pt idx="49">
                  <c:v>-9.1741781130849631E-3</c:v>
                </c:pt>
                <c:pt idx="50">
                  <c:v>0</c:v>
                </c:pt>
                <c:pt idx="51">
                  <c:v>5.3481917940985113E-2</c:v>
                </c:pt>
                <c:pt idx="52">
                  <c:v>6.0910009180247471E-2</c:v>
                </c:pt>
                <c:pt idx="53">
                  <c:v>6.599611825527063E-2</c:v>
                </c:pt>
                <c:pt idx="54">
                  <c:v>7.1984789103225921E-2</c:v>
                </c:pt>
                <c:pt idx="55">
                  <c:v>8.3091212233966871E-2</c:v>
                </c:pt>
                <c:pt idx="56">
                  <c:v>8.9182227757646615E-2</c:v>
                </c:pt>
                <c:pt idx="57">
                  <c:v>0.10144646765695597</c:v>
                </c:pt>
                <c:pt idx="58">
                  <c:v>0.10915725893869421</c:v>
                </c:pt>
                <c:pt idx="59">
                  <c:v>0.12366282482150837</c:v>
                </c:pt>
                <c:pt idx="60">
                  <c:v>0.1404223263723452</c:v>
                </c:pt>
                <c:pt idx="61">
                  <c:v>0.14947285180971903</c:v>
                </c:pt>
                <c:pt idx="62">
                  <c:v>0.15343822883085068</c:v>
                </c:pt>
                <c:pt idx="63">
                  <c:v>0.16314253935649958</c:v>
                </c:pt>
                <c:pt idx="64">
                  <c:v>0.17078752688234999</c:v>
                </c:pt>
                <c:pt idx="65">
                  <c:v>0.19030563266119316</c:v>
                </c:pt>
                <c:pt idx="66">
                  <c:v>0.19513846726715656</c:v>
                </c:pt>
                <c:pt idx="67">
                  <c:v>0.20165441624976665</c:v>
                </c:pt>
                <c:pt idx="68">
                  <c:v>0.20945978198506054</c:v>
                </c:pt>
                <c:pt idx="69">
                  <c:v>0.21772142344127587</c:v>
                </c:pt>
                <c:pt idx="70">
                  <c:v>0.22642565018497862</c:v>
                </c:pt>
                <c:pt idx="71">
                  <c:v>0.23551992994089233</c:v>
                </c:pt>
                <c:pt idx="72">
                  <c:v>0.24330210908385652</c:v>
                </c:pt>
                <c:pt idx="73">
                  <c:v>0.25080910466897421</c:v>
                </c:pt>
                <c:pt idx="74">
                  <c:v>0.25613250708204305</c:v>
                </c:pt>
                <c:pt idx="75">
                  <c:v>0.26100094686444208</c:v>
                </c:pt>
                <c:pt idx="76">
                  <c:v>0.26589059881996491</c:v>
                </c:pt>
                <c:pt idx="77">
                  <c:v>0.27457228923231014</c:v>
                </c:pt>
                <c:pt idx="78">
                  <c:v>0.28311257767313691</c:v>
                </c:pt>
                <c:pt idx="79">
                  <c:v>0.30147160057288147</c:v>
                </c:pt>
                <c:pt idx="80">
                  <c:v>0.30832978936996369</c:v>
                </c:pt>
                <c:pt idx="81">
                  <c:v>0.32014421716223751</c:v>
                </c:pt>
                <c:pt idx="82">
                  <c:v>0.33404633905342962</c:v>
                </c:pt>
                <c:pt idx="83">
                  <c:v>0.33944741992161198</c:v>
                </c:pt>
                <c:pt idx="84">
                  <c:v>0.34691547807653933</c:v>
                </c:pt>
                <c:pt idx="85">
                  <c:v>0.35103658519597047</c:v>
                </c:pt>
                <c:pt idx="86">
                  <c:v>0.35342997351415306</c:v>
                </c:pt>
                <c:pt idx="87">
                  <c:v>0.35702999890929732</c:v>
                </c:pt>
                <c:pt idx="88">
                  <c:v>0.363909962820685</c:v>
                </c:pt>
                <c:pt idx="89">
                  <c:v>0.36530011945262686</c:v>
                </c:pt>
                <c:pt idx="90">
                  <c:v>0.37335548604664837</c:v>
                </c:pt>
                <c:pt idx="91">
                  <c:v>0.38436621970060969</c:v>
                </c:pt>
                <c:pt idx="92">
                  <c:v>0.40268621732650445</c:v>
                </c:pt>
                <c:pt idx="93">
                  <c:v>0.40938757943570181</c:v>
                </c:pt>
                <c:pt idx="94">
                  <c:v>0.42945423547132577</c:v>
                </c:pt>
                <c:pt idx="95">
                  <c:v>0.43525305728360308</c:v>
                </c:pt>
                <c:pt idx="96">
                  <c:v>0.44082441330658639</c:v>
                </c:pt>
                <c:pt idx="97">
                  <c:v>0.44577521733663161</c:v>
                </c:pt>
                <c:pt idx="98">
                  <c:v>0.45566990044517297</c:v>
                </c:pt>
                <c:pt idx="99">
                  <c:v>0.4715937091706337</c:v>
                </c:pt>
                <c:pt idx="100">
                  <c:v>0.4734023435354402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F9-46E9-AA27-A1EE45AC6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832816"/>
        <c:axId val="691837736"/>
      </c:scatterChart>
      <c:valAx>
        <c:axId val="691832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91837736"/>
        <c:crosses val="autoZero"/>
        <c:crossBetween val="midCat"/>
      </c:valAx>
      <c:valAx>
        <c:axId val="6918377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9183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'Changes in S2'!$C$4:$C$104</c:f>
              <c:numCache>
                <c:formatCode>General</c:formatCode>
                <c:ptCount val="101"/>
                <c:pt idx="0">
                  <c:v>970.70075960419899</c:v>
                </c:pt>
                <c:pt idx="1">
                  <c:v>970.70106877832609</c:v>
                </c:pt>
                <c:pt idx="2">
                  <c:v>970.70138736851993</c:v>
                </c:pt>
                <c:pt idx="3">
                  <c:v>970.7016961726298</c:v>
                </c:pt>
                <c:pt idx="4">
                  <c:v>970.70087358748094</c:v>
                </c:pt>
                <c:pt idx="5">
                  <c:v>970.70118168941178</c:v>
                </c:pt>
                <c:pt idx="6">
                  <c:v>970.69866307364407</c:v>
                </c:pt>
                <c:pt idx="7">
                  <c:v>970.6989711755748</c:v>
                </c:pt>
                <c:pt idx="8">
                  <c:v>970.69927927750598</c:v>
                </c:pt>
                <c:pt idx="9">
                  <c:v>970.69958737943739</c:v>
                </c:pt>
                <c:pt idx="10">
                  <c:v>970.6998954813688</c:v>
                </c:pt>
                <c:pt idx="11">
                  <c:v>970.70020358330055</c:v>
                </c:pt>
                <c:pt idx="12">
                  <c:v>970.70051168523025</c:v>
                </c:pt>
                <c:pt idx="13">
                  <c:v>970.700819787162</c:v>
                </c:pt>
                <c:pt idx="14">
                  <c:v>970.70112788909478</c:v>
                </c:pt>
                <c:pt idx="15">
                  <c:v>970.69926630491079</c:v>
                </c:pt>
                <c:pt idx="16">
                  <c:v>970.69957440684141</c:v>
                </c:pt>
                <c:pt idx="17">
                  <c:v>970.69988250877259</c:v>
                </c:pt>
                <c:pt idx="18">
                  <c:v>970.70019061070309</c:v>
                </c:pt>
                <c:pt idx="19">
                  <c:v>970.70049694993611</c:v>
                </c:pt>
                <c:pt idx="20">
                  <c:v>970.70080317656789</c:v>
                </c:pt>
                <c:pt idx="21">
                  <c:v>970.70110940320194</c:v>
                </c:pt>
                <c:pt idx="22">
                  <c:v>970.70141562983565</c:v>
                </c:pt>
                <c:pt idx="23">
                  <c:v>970.7030423691923</c:v>
                </c:pt>
                <c:pt idx="24">
                  <c:v>970.70334859582431</c:v>
                </c:pt>
                <c:pt idx="25">
                  <c:v>970.7036548224587</c:v>
                </c:pt>
                <c:pt idx="26">
                  <c:v>970.70396104909298</c:v>
                </c:pt>
                <c:pt idx="27">
                  <c:v>970.70426727572647</c:v>
                </c:pt>
                <c:pt idx="28">
                  <c:v>970.70457350235972</c:v>
                </c:pt>
                <c:pt idx="29">
                  <c:v>970.7048797289923</c:v>
                </c:pt>
                <c:pt idx="30">
                  <c:v>970.70518595562612</c:v>
                </c:pt>
                <c:pt idx="31">
                  <c:v>970.70549218225995</c:v>
                </c:pt>
                <c:pt idx="32">
                  <c:v>970.70579840889422</c:v>
                </c:pt>
                <c:pt idx="33">
                  <c:v>970.7061046355268</c:v>
                </c:pt>
                <c:pt idx="34">
                  <c:v>970.70641086215915</c:v>
                </c:pt>
                <c:pt idx="35">
                  <c:v>970.70671708879354</c:v>
                </c:pt>
                <c:pt idx="36">
                  <c:v>970.70703273149377</c:v>
                </c:pt>
                <c:pt idx="37">
                  <c:v>970.70733895812702</c:v>
                </c:pt>
                <c:pt idx="38">
                  <c:v>970.70764518475994</c:v>
                </c:pt>
                <c:pt idx="39">
                  <c:v>970.70795141139399</c:v>
                </c:pt>
                <c:pt idx="40">
                  <c:v>970.70825763802839</c:v>
                </c:pt>
                <c:pt idx="41">
                  <c:v>970.70856350818292</c:v>
                </c:pt>
                <c:pt idx="42">
                  <c:v>970.70886866308467</c:v>
                </c:pt>
                <c:pt idx="43">
                  <c:v>970.70917381798392</c:v>
                </c:pt>
                <c:pt idx="44">
                  <c:v>970.71070657683867</c:v>
                </c:pt>
                <c:pt idx="45">
                  <c:v>970.71101173174043</c:v>
                </c:pt>
                <c:pt idx="46">
                  <c:v>970.71131688664138</c:v>
                </c:pt>
                <c:pt idx="47">
                  <c:v>970.71162204154314</c:v>
                </c:pt>
                <c:pt idx="48">
                  <c:v>970.71192719644262</c:v>
                </c:pt>
                <c:pt idx="49">
                  <c:v>970.7069189893665</c:v>
                </c:pt>
                <c:pt idx="50">
                  <c:v>970.70670495395723</c:v>
                </c:pt>
                <c:pt idx="51">
                  <c:v>970.70701010885819</c:v>
                </c:pt>
                <c:pt idx="52">
                  <c:v>970.70731526375971</c:v>
                </c:pt>
                <c:pt idx="53">
                  <c:v>970.70762041866078</c:v>
                </c:pt>
                <c:pt idx="54">
                  <c:v>970.70792557356106</c:v>
                </c:pt>
                <c:pt idx="55">
                  <c:v>970.70823072846179</c:v>
                </c:pt>
                <c:pt idx="56">
                  <c:v>970.70853588336297</c:v>
                </c:pt>
                <c:pt idx="57">
                  <c:v>970.70884103826404</c:v>
                </c:pt>
                <c:pt idx="58">
                  <c:v>970.70919224005036</c:v>
                </c:pt>
                <c:pt idx="59">
                  <c:v>970.70949739495325</c:v>
                </c:pt>
                <c:pt idx="60">
                  <c:v>970.70980254985272</c:v>
                </c:pt>
                <c:pt idx="61">
                  <c:v>970.71010770475391</c:v>
                </c:pt>
                <c:pt idx="62">
                  <c:v>970.71041285965532</c:v>
                </c:pt>
                <c:pt idx="63">
                  <c:v>970.71071801455514</c:v>
                </c:pt>
                <c:pt idx="64">
                  <c:v>970.7110231694578</c:v>
                </c:pt>
                <c:pt idx="65">
                  <c:v>970.71132743155465</c:v>
                </c:pt>
                <c:pt idx="66">
                  <c:v>970.7116315375996</c:v>
                </c:pt>
                <c:pt idx="67">
                  <c:v>970.71193564364228</c:v>
                </c:pt>
                <c:pt idx="68">
                  <c:v>970.71223974968575</c:v>
                </c:pt>
                <c:pt idx="69">
                  <c:v>970.70691927214557</c:v>
                </c:pt>
                <c:pt idx="70">
                  <c:v>970.70722337818927</c:v>
                </c:pt>
                <c:pt idx="71">
                  <c:v>970.70752748423308</c:v>
                </c:pt>
                <c:pt idx="72">
                  <c:v>970.70783159027712</c:v>
                </c:pt>
                <c:pt idx="73">
                  <c:v>970.70813569632128</c:v>
                </c:pt>
                <c:pt idx="74">
                  <c:v>970.70843980236498</c:v>
                </c:pt>
                <c:pt idx="75">
                  <c:v>970.70556188193098</c:v>
                </c:pt>
                <c:pt idx="76">
                  <c:v>970.70586598797399</c:v>
                </c:pt>
                <c:pt idx="77">
                  <c:v>970.70457908078015</c:v>
                </c:pt>
                <c:pt idx="78">
                  <c:v>970.70488318682453</c:v>
                </c:pt>
                <c:pt idx="79">
                  <c:v>970.70769760399821</c:v>
                </c:pt>
                <c:pt idx="80">
                  <c:v>970.70800171004259</c:v>
                </c:pt>
                <c:pt idx="81">
                  <c:v>970.70830581608516</c:v>
                </c:pt>
                <c:pt idx="82">
                  <c:v>970.70860992212886</c:v>
                </c:pt>
                <c:pt idx="83">
                  <c:v>970.70891402817381</c:v>
                </c:pt>
                <c:pt idx="84">
                  <c:v>970.70921813421614</c:v>
                </c:pt>
                <c:pt idx="85">
                  <c:v>970.70952224026053</c:v>
                </c:pt>
                <c:pt idx="86">
                  <c:v>970.7098263463032</c:v>
                </c:pt>
                <c:pt idx="87">
                  <c:v>970.71013045234781</c:v>
                </c:pt>
                <c:pt idx="88">
                  <c:v>970.71043455839185</c:v>
                </c:pt>
                <c:pt idx="89">
                  <c:v>970.70861680848964</c:v>
                </c:pt>
                <c:pt idx="90">
                  <c:v>970.70892091453322</c:v>
                </c:pt>
                <c:pt idx="91">
                  <c:v>970.70922502057726</c:v>
                </c:pt>
                <c:pt idx="92">
                  <c:v>970.70952912662221</c:v>
                </c:pt>
                <c:pt idx="93">
                  <c:v>970.70983323266535</c:v>
                </c:pt>
                <c:pt idx="94">
                  <c:v>970.71013733870939</c:v>
                </c:pt>
                <c:pt idx="95">
                  <c:v>970.71044144475195</c:v>
                </c:pt>
                <c:pt idx="96">
                  <c:v>970.7107455507952</c:v>
                </c:pt>
                <c:pt idx="97">
                  <c:v>970.70939960279634</c:v>
                </c:pt>
                <c:pt idx="98">
                  <c:v>970.71094052217154</c:v>
                </c:pt>
                <c:pt idx="99">
                  <c:v>970.71124462821535</c:v>
                </c:pt>
                <c:pt idx="100">
                  <c:v>970.71154873425905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B-4F9C-92A0-B31B69A8A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42144"/>
        <c:axId val="119554048"/>
      </c:lineChart>
      <c:catAx>
        <c:axId val="119542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54048"/>
        <c:crosses val="autoZero"/>
        <c:auto val="1"/>
        <c:lblAlgn val="ctr"/>
        <c:lblOffset val="100"/>
        <c:noMultiLvlLbl val="0"/>
      </c:catAx>
      <c:valAx>
        <c:axId val="11955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4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'Changes in S3'!$C$4:$C$104</c:f>
              <c:numCache>
                <c:formatCode>General</c:formatCode>
                <c:ptCount val="101"/>
                <c:pt idx="0">
                  <c:v>987.57474023364102</c:v>
                </c:pt>
                <c:pt idx="1">
                  <c:v>987.57544191994441</c:v>
                </c:pt>
                <c:pt idx="2">
                  <c:v>987.57614360625348</c:v>
                </c:pt>
                <c:pt idx="3">
                  <c:v>987.57684529255914</c:v>
                </c:pt>
                <c:pt idx="4">
                  <c:v>987.57754697886719</c:v>
                </c:pt>
                <c:pt idx="5">
                  <c:v>987.57824866517069</c:v>
                </c:pt>
                <c:pt idx="6">
                  <c:v>987.5789503514759</c:v>
                </c:pt>
                <c:pt idx="7">
                  <c:v>987.57965203778178</c:v>
                </c:pt>
                <c:pt idx="8">
                  <c:v>987.58035372409086</c:v>
                </c:pt>
                <c:pt idx="9">
                  <c:v>987.58105452208451</c:v>
                </c:pt>
                <c:pt idx="10">
                  <c:v>987.58175221371266</c:v>
                </c:pt>
                <c:pt idx="11">
                  <c:v>987.58244990533728</c:v>
                </c:pt>
                <c:pt idx="12">
                  <c:v>987.58314759696714</c:v>
                </c:pt>
                <c:pt idx="13">
                  <c:v>987.5838452885971</c:v>
                </c:pt>
                <c:pt idx="14">
                  <c:v>987.58454298022548</c:v>
                </c:pt>
                <c:pt idx="15">
                  <c:v>987.58524067185306</c:v>
                </c:pt>
                <c:pt idx="16">
                  <c:v>987.5859383634812</c:v>
                </c:pt>
                <c:pt idx="17">
                  <c:v>987.58663605510844</c:v>
                </c:pt>
                <c:pt idx="18">
                  <c:v>987.58733374673864</c:v>
                </c:pt>
                <c:pt idx="19">
                  <c:v>987.58749355457519</c:v>
                </c:pt>
                <c:pt idx="20">
                  <c:v>987.58819124620436</c:v>
                </c:pt>
                <c:pt idx="21">
                  <c:v>987.58888806778521</c:v>
                </c:pt>
                <c:pt idx="22">
                  <c:v>987.58958441002051</c:v>
                </c:pt>
                <c:pt idx="23">
                  <c:v>987.59028075225456</c:v>
                </c:pt>
                <c:pt idx="24">
                  <c:v>987.59097709448906</c:v>
                </c:pt>
                <c:pt idx="25">
                  <c:v>987.59167343672232</c:v>
                </c:pt>
                <c:pt idx="26">
                  <c:v>987.5923697789583</c:v>
                </c:pt>
                <c:pt idx="27">
                  <c:v>987.59306612119144</c:v>
                </c:pt>
                <c:pt idx="28">
                  <c:v>987.59376246342447</c:v>
                </c:pt>
                <c:pt idx="29">
                  <c:v>987.59445880565954</c:v>
                </c:pt>
                <c:pt idx="30">
                  <c:v>987.59515514789518</c:v>
                </c:pt>
                <c:pt idx="31">
                  <c:v>987.59585149013026</c:v>
                </c:pt>
                <c:pt idx="32">
                  <c:v>987.59654783236431</c:v>
                </c:pt>
                <c:pt idx="33">
                  <c:v>987.59724417459813</c:v>
                </c:pt>
                <c:pt idx="34">
                  <c:v>987.59794051683127</c:v>
                </c:pt>
                <c:pt idx="35">
                  <c:v>987.59863685906657</c:v>
                </c:pt>
                <c:pt idx="36">
                  <c:v>987.59933320130108</c:v>
                </c:pt>
                <c:pt idx="37">
                  <c:v>987.60002954353411</c:v>
                </c:pt>
                <c:pt idx="38">
                  <c:v>987.59247495278294</c:v>
                </c:pt>
                <c:pt idx="39">
                  <c:v>987.59317129501937</c:v>
                </c:pt>
                <c:pt idx="40">
                  <c:v>987.59170440270407</c:v>
                </c:pt>
                <c:pt idx="41">
                  <c:v>987.59240074493994</c:v>
                </c:pt>
                <c:pt idx="42">
                  <c:v>987.59309708717478</c:v>
                </c:pt>
                <c:pt idx="43">
                  <c:v>987.59379342940758</c:v>
                </c:pt>
                <c:pt idx="44">
                  <c:v>987.59448977164288</c:v>
                </c:pt>
                <c:pt idx="45">
                  <c:v>987.59518611387568</c:v>
                </c:pt>
                <c:pt idx="46">
                  <c:v>987.59837435750205</c:v>
                </c:pt>
                <c:pt idx="47">
                  <c:v>987.59907069973588</c:v>
                </c:pt>
                <c:pt idx="48">
                  <c:v>987.59976626038281</c:v>
                </c:pt>
                <c:pt idx="49">
                  <c:v>987.60047046312229</c:v>
                </c:pt>
                <c:pt idx="50">
                  <c:v>987.60116545648464</c:v>
                </c:pt>
                <c:pt idx="51">
                  <c:v>987.60190788337377</c:v>
                </c:pt>
                <c:pt idx="52">
                  <c:v>987.60260287673634</c:v>
                </c:pt>
                <c:pt idx="53">
                  <c:v>987.60329787009778</c:v>
                </c:pt>
                <c:pt idx="54">
                  <c:v>987.60399246172051</c:v>
                </c:pt>
                <c:pt idx="55">
                  <c:v>987.60468206009409</c:v>
                </c:pt>
                <c:pt idx="56">
                  <c:v>987.60537165846699</c:v>
                </c:pt>
                <c:pt idx="57">
                  <c:v>987.60606125684205</c:v>
                </c:pt>
                <c:pt idx="58">
                  <c:v>987.60675085521495</c:v>
                </c:pt>
                <c:pt idx="59">
                  <c:v>987.60744045358899</c:v>
                </c:pt>
                <c:pt idx="60">
                  <c:v>987.60812908342939</c:v>
                </c:pt>
                <c:pt idx="61">
                  <c:v>987.60881733315875</c:v>
                </c:pt>
                <c:pt idx="62">
                  <c:v>987.60950558288982</c:v>
                </c:pt>
                <c:pt idx="63">
                  <c:v>987.6101938326218</c:v>
                </c:pt>
                <c:pt idx="64">
                  <c:v>987.61088208234935</c:v>
                </c:pt>
                <c:pt idx="65">
                  <c:v>987.61164400709629</c:v>
                </c:pt>
                <c:pt idx="66">
                  <c:v>987.62229986239515</c:v>
                </c:pt>
                <c:pt idx="67">
                  <c:v>987.62298811212645</c:v>
                </c:pt>
                <c:pt idx="68">
                  <c:v>987.62367636185502</c:v>
                </c:pt>
                <c:pt idx="69">
                  <c:v>987.62436461158427</c:v>
                </c:pt>
                <c:pt idx="70">
                  <c:v>987.62505286131341</c:v>
                </c:pt>
                <c:pt idx="71">
                  <c:v>987.62574111104391</c:v>
                </c:pt>
                <c:pt idx="72">
                  <c:v>987.62642936077293</c:v>
                </c:pt>
                <c:pt idx="73">
                  <c:v>987.62230695588414</c:v>
                </c:pt>
                <c:pt idx="74">
                  <c:v>987.62299520561157</c:v>
                </c:pt>
                <c:pt idx="75">
                  <c:v>987.62368345534435</c:v>
                </c:pt>
                <c:pt idx="76">
                  <c:v>987.62437119943058</c:v>
                </c:pt>
                <c:pt idx="77">
                  <c:v>987.61479967851517</c:v>
                </c:pt>
                <c:pt idx="78">
                  <c:v>987.61551482811672</c:v>
                </c:pt>
                <c:pt idx="79">
                  <c:v>987.6162017295178</c:v>
                </c:pt>
                <c:pt idx="80">
                  <c:v>987.61688863091877</c:v>
                </c:pt>
                <c:pt idx="81">
                  <c:v>987.61757553231882</c:v>
                </c:pt>
                <c:pt idx="82">
                  <c:v>987.61826243372207</c:v>
                </c:pt>
                <c:pt idx="83">
                  <c:v>987.61894933512031</c:v>
                </c:pt>
                <c:pt idx="84">
                  <c:v>987.61963623652252</c:v>
                </c:pt>
                <c:pt idx="85">
                  <c:v>987.62032313792463</c:v>
                </c:pt>
                <c:pt idx="86">
                  <c:v>987.62101003932412</c:v>
                </c:pt>
                <c:pt idx="87">
                  <c:v>987.62169694072441</c:v>
                </c:pt>
                <c:pt idx="88">
                  <c:v>987.62242066160377</c:v>
                </c:pt>
                <c:pt idx="89">
                  <c:v>987.62310756300508</c:v>
                </c:pt>
                <c:pt idx="90">
                  <c:v>987.62379446440571</c:v>
                </c:pt>
                <c:pt idx="91">
                  <c:v>987.62452879933596</c:v>
                </c:pt>
                <c:pt idx="92">
                  <c:v>987.62521570073659</c:v>
                </c:pt>
                <c:pt idx="93">
                  <c:v>987.62590260213926</c:v>
                </c:pt>
                <c:pt idx="94">
                  <c:v>987.62658950353944</c:v>
                </c:pt>
                <c:pt idx="95">
                  <c:v>987.62727640493858</c:v>
                </c:pt>
                <c:pt idx="96">
                  <c:v>987.62796330633944</c:v>
                </c:pt>
                <c:pt idx="97">
                  <c:v>987.62865020773961</c:v>
                </c:pt>
                <c:pt idx="98">
                  <c:v>987.62933710914081</c:v>
                </c:pt>
                <c:pt idx="99">
                  <c:v>987.63002401054314</c:v>
                </c:pt>
                <c:pt idx="100">
                  <c:v>987.63071091194183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D-4643-90C2-6CE6FC68C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242368"/>
        <c:axId val="125244928"/>
      </c:lineChart>
      <c:catAx>
        <c:axId val="125242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4928"/>
        <c:crosses val="autoZero"/>
        <c:auto val="1"/>
        <c:lblAlgn val="ctr"/>
        <c:lblOffset val="100"/>
        <c:noMultiLvlLbl val="0"/>
      </c:catAx>
      <c:valAx>
        <c:axId val="12524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'Changes in sigma_S1'!$C$4:$C$104</c:f>
              <c:numCache>
                <c:formatCode>General</c:formatCode>
                <c:ptCount val="101"/>
                <c:pt idx="0">
                  <c:v>994.38593433101187</c:v>
                </c:pt>
                <c:pt idx="1">
                  <c:v>994.16351993304079</c:v>
                </c:pt>
                <c:pt idx="2">
                  <c:v>993.921843445013</c:v>
                </c:pt>
                <c:pt idx="3">
                  <c:v>993.6026068549304</c:v>
                </c:pt>
                <c:pt idx="4">
                  <c:v>993.35109153460667</c:v>
                </c:pt>
                <c:pt idx="5">
                  <c:v>993.09659170865825</c:v>
                </c:pt>
                <c:pt idx="6">
                  <c:v>992.78268676064499</c:v>
                </c:pt>
                <c:pt idx="7">
                  <c:v>992.53158314168434</c:v>
                </c:pt>
                <c:pt idx="8">
                  <c:v>992.23555527015424</c:v>
                </c:pt>
                <c:pt idx="9">
                  <c:v>991.98119845054089</c:v>
                </c:pt>
                <c:pt idx="10">
                  <c:v>991.7042100225832</c:v>
                </c:pt>
                <c:pt idx="11">
                  <c:v>991.41357765046689</c:v>
                </c:pt>
                <c:pt idx="12">
                  <c:v>991.12242151578062</c:v>
                </c:pt>
                <c:pt idx="13">
                  <c:v>990.85993270132997</c:v>
                </c:pt>
                <c:pt idx="14">
                  <c:v>990.57327523106073</c:v>
                </c:pt>
                <c:pt idx="15">
                  <c:v>990.26643244895729</c:v>
                </c:pt>
                <c:pt idx="16">
                  <c:v>989.978005112858</c:v>
                </c:pt>
                <c:pt idx="17">
                  <c:v>989.66294817594508</c:v>
                </c:pt>
                <c:pt idx="18">
                  <c:v>989.37159589240457</c:v>
                </c:pt>
                <c:pt idx="19">
                  <c:v>989.05170256431143</c:v>
                </c:pt>
                <c:pt idx="20">
                  <c:v>988.72123936637536</c:v>
                </c:pt>
                <c:pt idx="21">
                  <c:v>988.37801370924376</c:v>
                </c:pt>
                <c:pt idx="22">
                  <c:v>988.05601417826938</c:v>
                </c:pt>
                <c:pt idx="23">
                  <c:v>987.73799517852513</c:v>
                </c:pt>
                <c:pt idx="24">
                  <c:v>987.39909674172452</c:v>
                </c:pt>
                <c:pt idx="25">
                  <c:v>987.0473701184635</c:v>
                </c:pt>
                <c:pt idx="26">
                  <c:v>986.74341369848685</c:v>
                </c:pt>
                <c:pt idx="27">
                  <c:v>986.39438578903457</c:v>
                </c:pt>
                <c:pt idx="28">
                  <c:v>986.08958381705509</c:v>
                </c:pt>
                <c:pt idx="29">
                  <c:v>985.75668489096154</c:v>
                </c:pt>
                <c:pt idx="30">
                  <c:v>985.41967533677928</c:v>
                </c:pt>
                <c:pt idx="31">
                  <c:v>985.06116190796115</c:v>
                </c:pt>
                <c:pt idx="32">
                  <c:v>984.72012004518297</c:v>
                </c:pt>
                <c:pt idx="33">
                  <c:v>984.33592626570282</c:v>
                </c:pt>
                <c:pt idx="34">
                  <c:v>983.95093267825735</c:v>
                </c:pt>
                <c:pt idx="35">
                  <c:v>983.61635994238611</c:v>
                </c:pt>
                <c:pt idx="36">
                  <c:v>983.28995859452584</c:v>
                </c:pt>
                <c:pt idx="37">
                  <c:v>982.95049950448515</c:v>
                </c:pt>
                <c:pt idx="38">
                  <c:v>982.60066643147923</c:v>
                </c:pt>
                <c:pt idx="39">
                  <c:v>982.27097443524974</c:v>
                </c:pt>
                <c:pt idx="40">
                  <c:v>981.97588193630202</c:v>
                </c:pt>
                <c:pt idx="41">
                  <c:v>981.65248484564711</c:v>
                </c:pt>
                <c:pt idx="42">
                  <c:v>981.25790797252853</c:v>
                </c:pt>
                <c:pt idx="43">
                  <c:v>980.84943608194908</c:v>
                </c:pt>
                <c:pt idx="44">
                  <c:v>980.47735447859191</c:v>
                </c:pt>
                <c:pt idx="45">
                  <c:v>980.12021490892153</c:v>
                </c:pt>
                <c:pt idx="46">
                  <c:v>979.77976923318931</c:v>
                </c:pt>
                <c:pt idx="47">
                  <c:v>979.39297788796193</c:v>
                </c:pt>
                <c:pt idx="48">
                  <c:v>979.01068506842921</c:v>
                </c:pt>
                <c:pt idx="49">
                  <c:v>978.65680631526277</c:v>
                </c:pt>
                <c:pt idx="50">
                  <c:v>978.25147344368906</c:v>
                </c:pt>
                <c:pt idx="51">
                  <c:v>977.87331167843399</c:v>
                </c:pt>
                <c:pt idx="52">
                  <c:v>977.47194690977619</c:v>
                </c:pt>
                <c:pt idx="53">
                  <c:v>977.06707162492262</c:v>
                </c:pt>
                <c:pt idx="54">
                  <c:v>976.69354458379348</c:v>
                </c:pt>
                <c:pt idx="55">
                  <c:v>976.31973205384679</c:v>
                </c:pt>
                <c:pt idx="56">
                  <c:v>975.92288560822192</c:v>
                </c:pt>
                <c:pt idx="57">
                  <c:v>975.51679371079467</c:v>
                </c:pt>
                <c:pt idx="58">
                  <c:v>975.12523625872268</c:v>
                </c:pt>
                <c:pt idx="59">
                  <c:v>974.72813358928738</c:v>
                </c:pt>
                <c:pt idx="60">
                  <c:v>974.3033014913226</c:v>
                </c:pt>
                <c:pt idx="61">
                  <c:v>973.91487691241025</c:v>
                </c:pt>
                <c:pt idx="62">
                  <c:v>973.56444926817096</c:v>
                </c:pt>
                <c:pt idx="63">
                  <c:v>973.12946967136668</c:v>
                </c:pt>
                <c:pt idx="64">
                  <c:v>972.73201661891699</c:v>
                </c:pt>
                <c:pt idx="65">
                  <c:v>972.32213019064875</c:v>
                </c:pt>
                <c:pt idx="66">
                  <c:v>971.88637238295644</c:v>
                </c:pt>
                <c:pt idx="67">
                  <c:v>971.50392071892156</c:v>
                </c:pt>
                <c:pt idx="68">
                  <c:v>971.08825913516591</c:v>
                </c:pt>
                <c:pt idx="69">
                  <c:v>970.71668429209319</c:v>
                </c:pt>
                <c:pt idx="70">
                  <c:v>970.32943812033659</c:v>
                </c:pt>
                <c:pt idx="71">
                  <c:v>969.93700224923953</c:v>
                </c:pt>
                <c:pt idx="72">
                  <c:v>969.54316121261866</c:v>
                </c:pt>
                <c:pt idx="73">
                  <c:v>969.11910881967844</c:v>
                </c:pt>
                <c:pt idx="74">
                  <c:v>968.73621638897259</c:v>
                </c:pt>
                <c:pt idx="75">
                  <c:v>968.33499070439245</c:v>
                </c:pt>
                <c:pt idx="76">
                  <c:v>967.92699976614233</c:v>
                </c:pt>
                <c:pt idx="77">
                  <c:v>967.51651931504716</c:v>
                </c:pt>
                <c:pt idx="78">
                  <c:v>967.09420902593843</c:v>
                </c:pt>
                <c:pt idx="79">
                  <c:v>966.65536803497662</c:v>
                </c:pt>
                <c:pt idx="80">
                  <c:v>966.23501673606222</c:v>
                </c:pt>
                <c:pt idx="81">
                  <c:v>965.79407830501225</c:v>
                </c:pt>
                <c:pt idx="82">
                  <c:v>965.36963442901538</c:v>
                </c:pt>
                <c:pt idx="83">
                  <c:v>964.93381111868359</c:v>
                </c:pt>
                <c:pt idx="84">
                  <c:v>964.52812508309023</c:v>
                </c:pt>
                <c:pt idx="85">
                  <c:v>964.06449183425866</c:v>
                </c:pt>
                <c:pt idx="86">
                  <c:v>963.66798809438103</c:v>
                </c:pt>
                <c:pt idx="87">
                  <c:v>963.24534704220116</c:v>
                </c:pt>
                <c:pt idx="88">
                  <c:v>962.82938113846546</c:v>
                </c:pt>
                <c:pt idx="89">
                  <c:v>962.39904121538291</c:v>
                </c:pt>
                <c:pt idx="90">
                  <c:v>962.00479616183895</c:v>
                </c:pt>
                <c:pt idx="91">
                  <c:v>961.52797099978579</c:v>
                </c:pt>
                <c:pt idx="92">
                  <c:v>961.07255149605191</c:v>
                </c:pt>
                <c:pt idx="93">
                  <c:v>960.61011383606206</c:v>
                </c:pt>
                <c:pt idx="94">
                  <c:v>960.17604657943343</c:v>
                </c:pt>
                <c:pt idx="95">
                  <c:v>959.70012271087626</c:v>
                </c:pt>
                <c:pt idx="96">
                  <c:v>959.26015629527296</c:v>
                </c:pt>
                <c:pt idx="97">
                  <c:v>958.85867723463184</c:v>
                </c:pt>
                <c:pt idx="98">
                  <c:v>958.43399752830078</c:v>
                </c:pt>
                <c:pt idx="99">
                  <c:v>958.01333861903004</c:v>
                </c:pt>
                <c:pt idx="100">
                  <c:v>957.56181365871657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55-4DF4-8437-5F072B9DC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316608"/>
        <c:axId val="135318528"/>
      </c:lineChart>
      <c:catAx>
        <c:axId val="1353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318528"/>
        <c:crosses val="autoZero"/>
        <c:auto val="1"/>
        <c:lblAlgn val="ctr"/>
        <c:lblOffset val="100"/>
        <c:noMultiLvlLbl val="0"/>
      </c:catAx>
      <c:valAx>
        <c:axId val="13531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316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'Proxy Vega 1'!$B$4:$B$104</c:f>
              <c:numCache>
                <c:formatCode>General</c:formatCode>
                <c:ptCount val="101"/>
                <c:pt idx="0">
                  <c:v>993.16707330646727</c:v>
                </c:pt>
                <c:pt idx="1">
                  <c:v>992.96136125362773</c:v>
                </c:pt>
                <c:pt idx="2">
                  <c:v>992.77528917991208</c:v>
                </c:pt>
                <c:pt idx="3">
                  <c:v>992.49365000039722</c:v>
                </c:pt>
                <c:pt idx="4">
                  <c:v>992.30696235329083</c:v>
                </c:pt>
                <c:pt idx="5">
                  <c:v>992.01266249740627</c:v>
                </c:pt>
                <c:pt idx="6">
                  <c:v>991.79920417435801</c:v>
                </c:pt>
                <c:pt idx="7">
                  <c:v>991.48423521581071</c:v>
                </c:pt>
                <c:pt idx="8">
                  <c:v>991.17010104473161</c:v>
                </c:pt>
                <c:pt idx="9">
                  <c:v>990.85577789014269</c:v>
                </c:pt>
                <c:pt idx="10">
                  <c:v>990.43698712214348</c:v>
                </c:pt>
                <c:pt idx="11">
                  <c:v>990.13130925499308</c:v>
                </c:pt>
                <c:pt idx="12">
                  <c:v>989.69326219593006</c:v>
                </c:pt>
                <c:pt idx="13">
                  <c:v>989.26505255827726</c:v>
                </c:pt>
                <c:pt idx="14">
                  <c:v>988.8421643238778</c:v>
                </c:pt>
                <c:pt idx="15">
                  <c:v>988.41806342765005</c:v>
                </c:pt>
                <c:pt idx="16">
                  <c:v>988.09924892470553</c:v>
                </c:pt>
                <c:pt idx="17">
                  <c:v>987.57308682845041</c:v>
                </c:pt>
                <c:pt idx="18">
                  <c:v>987.14171391182686</c:v>
                </c:pt>
                <c:pt idx="19">
                  <c:v>986.71084555697132</c:v>
                </c:pt>
                <c:pt idx="20">
                  <c:v>986.23041199855777</c:v>
                </c:pt>
                <c:pt idx="21">
                  <c:v>985.73163932216039</c:v>
                </c:pt>
                <c:pt idx="22">
                  <c:v>985.18103498514984</c:v>
                </c:pt>
                <c:pt idx="23">
                  <c:v>984.67732375391097</c:v>
                </c:pt>
                <c:pt idx="24">
                  <c:v>984.14251167129669</c:v>
                </c:pt>
                <c:pt idx="25">
                  <c:v>983.53754697494014</c:v>
                </c:pt>
                <c:pt idx="26">
                  <c:v>982.93551249626603</c:v>
                </c:pt>
                <c:pt idx="27">
                  <c:v>982.29345458980504</c:v>
                </c:pt>
                <c:pt idx="28">
                  <c:v>981.66282611418069</c:v>
                </c:pt>
                <c:pt idx="29">
                  <c:v>980.99014178957043</c:v>
                </c:pt>
                <c:pt idx="30">
                  <c:v>980.47907541727477</c:v>
                </c:pt>
                <c:pt idx="31">
                  <c:v>979.81464530443895</c:v>
                </c:pt>
                <c:pt idx="32">
                  <c:v>979.12039695093267</c:v>
                </c:pt>
                <c:pt idx="33">
                  <c:v>978.45836568207426</c:v>
                </c:pt>
                <c:pt idx="34">
                  <c:v>977.73578949048215</c:v>
                </c:pt>
                <c:pt idx="35">
                  <c:v>976.94491960505195</c:v>
                </c:pt>
                <c:pt idx="36">
                  <c:v>976.28934326370518</c:v>
                </c:pt>
                <c:pt idx="37">
                  <c:v>975.53343183868913</c:v>
                </c:pt>
                <c:pt idx="38">
                  <c:v>974.78946488255497</c:v>
                </c:pt>
                <c:pt idx="39">
                  <c:v>974.05286261037725</c:v>
                </c:pt>
                <c:pt idx="40">
                  <c:v>973.30364038687208</c:v>
                </c:pt>
                <c:pt idx="41">
                  <c:v>972.54983503378469</c:v>
                </c:pt>
                <c:pt idx="42">
                  <c:v>971.72537437051869</c:v>
                </c:pt>
                <c:pt idx="43">
                  <c:v>970.8757562919119</c:v>
                </c:pt>
                <c:pt idx="44">
                  <c:v>970.10308585328244</c:v>
                </c:pt>
                <c:pt idx="45">
                  <c:v>969.22473286938202</c:v>
                </c:pt>
                <c:pt idx="46">
                  <c:v>968.40187077940743</c:v>
                </c:pt>
                <c:pt idx="47">
                  <c:v>967.56550842357137</c:v>
                </c:pt>
                <c:pt idx="48">
                  <c:v>966.69987237081364</c:v>
                </c:pt>
                <c:pt idx="49">
                  <c:v>965.85381693396891</c:v>
                </c:pt>
                <c:pt idx="50">
                  <c:v>964.99157548610424</c:v>
                </c:pt>
                <c:pt idx="51">
                  <c:v>964.07122337469764</c:v>
                </c:pt>
                <c:pt idx="52">
                  <c:v>963.20747027939797</c:v>
                </c:pt>
                <c:pt idx="53">
                  <c:v>962.33376339244649</c:v>
                </c:pt>
                <c:pt idx="54">
                  <c:v>961.40601899648846</c:v>
                </c:pt>
                <c:pt idx="55">
                  <c:v>960.47698419167864</c:v>
                </c:pt>
                <c:pt idx="56">
                  <c:v>959.56845315661417</c:v>
                </c:pt>
                <c:pt idx="57">
                  <c:v>958.55944711667178</c:v>
                </c:pt>
                <c:pt idx="58">
                  <c:v>957.54564290349003</c:v>
                </c:pt>
                <c:pt idx="59">
                  <c:v>956.60222371884743</c:v>
                </c:pt>
                <c:pt idx="60">
                  <c:v>955.6870813905183</c:v>
                </c:pt>
                <c:pt idx="61">
                  <c:v>954.73026894940165</c:v>
                </c:pt>
                <c:pt idx="62">
                  <c:v>953.85540771838362</c:v>
                </c:pt>
                <c:pt idx="63">
                  <c:v>952.87764279476801</c:v>
                </c:pt>
                <c:pt idx="64">
                  <c:v>951.90695335607029</c:v>
                </c:pt>
                <c:pt idx="65">
                  <c:v>950.93692851274056</c:v>
                </c:pt>
                <c:pt idx="66">
                  <c:v>949.9058793979309</c:v>
                </c:pt>
                <c:pt idx="67">
                  <c:v>948.95953533694183</c:v>
                </c:pt>
                <c:pt idx="68">
                  <c:v>947.89468221724337</c:v>
                </c:pt>
                <c:pt idx="69">
                  <c:v>946.81398819294827</c:v>
                </c:pt>
                <c:pt idx="70">
                  <c:v>945.71586351333588</c:v>
                </c:pt>
                <c:pt idx="71">
                  <c:v>944.6650087509787</c:v>
                </c:pt>
                <c:pt idx="72">
                  <c:v>943.75346774395973</c:v>
                </c:pt>
                <c:pt idx="73">
                  <c:v>942.71279316222569</c:v>
                </c:pt>
                <c:pt idx="74">
                  <c:v>941.70398613381531</c:v>
                </c:pt>
                <c:pt idx="75">
                  <c:v>940.64326082593425</c:v>
                </c:pt>
                <c:pt idx="76">
                  <c:v>939.75075150836381</c:v>
                </c:pt>
                <c:pt idx="77">
                  <c:v>938.74606543497441</c:v>
                </c:pt>
                <c:pt idx="78">
                  <c:v>937.59135216153504</c:v>
                </c:pt>
                <c:pt idx="79">
                  <c:v>936.54393975768437</c:v>
                </c:pt>
                <c:pt idx="80">
                  <c:v>935.58800551388254</c:v>
                </c:pt>
                <c:pt idx="81">
                  <c:v>934.50871187077871</c:v>
                </c:pt>
                <c:pt idx="82">
                  <c:v>933.42813072871638</c:v>
                </c:pt>
                <c:pt idx="83">
                  <c:v>932.46130301100789</c:v>
                </c:pt>
                <c:pt idx="84">
                  <c:v>931.41400685707731</c:v>
                </c:pt>
                <c:pt idx="85">
                  <c:v>930.30318192144227</c:v>
                </c:pt>
                <c:pt idx="86">
                  <c:v>929.33407251455606</c:v>
                </c:pt>
                <c:pt idx="87">
                  <c:v>928.31258231053948</c:v>
                </c:pt>
                <c:pt idx="88">
                  <c:v>927.27011311731098</c:v>
                </c:pt>
                <c:pt idx="89">
                  <c:v>926.38196931174161</c:v>
                </c:pt>
                <c:pt idx="90">
                  <c:v>925.34090700106844</c:v>
                </c:pt>
                <c:pt idx="91">
                  <c:v>924.19631618049721</c:v>
                </c:pt>
                <c:pt idx="92">
                  <c:v>923.04261494907678</c:v>
                </c:pt>
                <c:pt idx="93">
                  <c:v>921.92593313468069</c:v>
                </c:pt>
                <c:pt idx="94">
                  <c:v>920.84272559030182</c:v>
                </c:pt>
                <c:pt idx="95">
                  <c:v>919.81422843783309</c:v>
                </c:pt>
                <c:pt idx="96">
                  <c:v>918.80823946169733</c:v>
                </c:pt>
                <c:pt idx="97">
                  <c:v>917.91471567925623</c:v>
                </c:pt>
                <c:pt idx="98">
                  <c:v>916.78153069030816</c:v>
                </c:pt>
                <c:pt idx="99">
                  <c:v>915.87960530356872</c:v>
                </c:pt>
                <c:pt idx="100">
                  <c:v>914.75925917767267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C-4E8E-9824-A9631DA85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516288"/>
        <c:axId val="574514976"/>
      </c:lineChart>
      <c:catAx>
        <c:axId val="574516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514976"/>
        <c:crosses val="autoZero"/>
        <c:auto val="1"/>
        <c:lblAlgn val="ctr"/>
        <c:lblOffset val="100"/>
        <c:noMultiLvlLbl val="0"/>
      </c:catAx>
      <c:valAx>
        <c:axId val="57451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51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Changes_in_sigma_S2!$C$4:$C$104</c:f>
              <c:numCache>
                <c:formatCode>General</c:formatCode>
                <c:ptCount val="101"/>
                <c:pt idx="0">
                  <c:v>981.57870444109369</c:v>
                </c:pt>
                <c:pt idx="1">
                  <c:v>981.53973425423351</c:v>
                </c:pt>
                <c:pt idx="2">
                  <c:v>981.52835841650062</c:v>
                </c:pt>
                <c:pt idx="3">
                  <c:v>981.50254702410712</c:v>
                </c:pt>
                <c:pt idx="4">
                  <c:v>981.47976105272255</c:v>
                </c:pt>
                <c:pt idx="5">
                  <c:v>981.45603440266802</c:v>
                </c:pt>
                <c:pt idx="6">
                  <c:v>981.43266730251662</c:v>
                </c:pt>
                <c:pt idx="7">
                  <c:v>981.41365061919055</c:v>
                </c:pt>
                <c:pt idx="8">
                  <c:v>981.39138769965393</c:v>
                </c:pt>
                <c:pt idx="9">
                  <c:v>981.36634326325543</c:v>
                </c:pt>
                <c:pt idx="10">
                  <c:v>981.34220206268537</c:v>
                </c:pt>
                <c:pt idx="11">
                  <c:v>981.33786076317836</c:v>
                </c:pt>
                <c:pt idx="12">
                  <c:v>981.31285279161739</c:v>
                </c:pt>
                <c:pt idx="13">
                  <c:v>981.27080052735641</c:v>
                </c:pt>
                <c:pt idx="14">
                  <c:v>981.23652507831878</c:v>
                </c:pt>
                <c:pt idx="15">
                  <c:v>981.2096743489974</c:v>
                </c:pt>
                <c:pt idx="16">
                  <c:v>981.17860327713777</c:v>
                </c:pt>
                <c:pt idx="17">
                  <c:v>981.13653905497927</c:v>
                </c:pt>
                <c:pt idx="18">
                  <c:v>981.0999968186527</c:v>
                </c:pt>
                <c:pt idx="19">
                  <c:v>981.06913841494202</c:v>
                </c:pt>
                <c:pt idx="20">
                  <c:v>981.0338282489563</c:v>
                </c:pt>
                <c:pt idx="21">
                  <c:v>981.00249407988792</c:v>
                </c:pt>
                <c:pt idx="22">
                  <c:v>980.96551745432055</c:v>
                </c:pt>
                <c:pt idx="23">
                  <c:v>980.91843923497811</c:v>
                </c:pt>
                <c:pt idx="24">
                  <c:v>980.88466303154405</c:v>
                </c:pt>
                <c:pt idx="25">
                  <c:v>980.84279374568894</c:v>
                </c:pt>
                <c:pt idx="26">
                  <c:v>980.78387983964831</c:v>
                </c:pt>
                <c:pt idx="27">
                  <c:v>980.72586981442055</c:v>
                </c:pt>
                <c:pt idx="28">
                  <c:v>980.67955002614519</c:v>
                </c:pt>
                <c:pt idx="29">
                  <c:v>980.62967542903243</c:v>
                </c:pt>
                <c:pt idx="30">
                  <c:v>980.58223453727874</c:v>
                </c:pt>
                <c:pt idx="31">
                  <c:v>980.5204221749334</c:v>
                </c:pt>
                <c:pt idx="32">
                  <c:v>980.45435324174161</c:v>
                </c:pt>
                <c:pt idx="33">
                  <c:v>980.38363672489686</c:v>
                </c:pt>
                <c:pt idx="34">
                  <c:v>980.32232784516066</c:v>
                </c:pt>
                <c:pt idx="35">
                  <c:v>980.23649080649375</c:v>
                </c:pt>
                <c:pt idx="36">
                  <c:v>980.16576707544505</c:v>
                </c:pt>
                <c:pt idx="37">
                  <c:v>980.07890385700898</c:v>
                </c:pt>
                <c:pt idx="38">
                  <c:v>980.01330780748128</c:v>
                </c:pt>
                <c:pt idx="39">
                  <c:v>979.94003898731273</c:v>
                </c:pt>
                <c:pt idx="40">
                  <c:v>979.87579127632875</c:v>
                </c:pt>
                <c:pt idx="41">
                  <c:v>979.78927675849332</c:v>
                </c:pt>
                <c:pt idx="42">
                  <c:v>979.70146501695592</c:v>
                </c:pt>
                <c:pt idx="43">
                  <c:v>979.6267217323483</c:v>
                </c:pt>
                <c:pt idx="44">
                  <c:v>979.54309230438002</c:v>
                </c:pt>
                <c:pt idx="45">
                  <c:v>979.44711382729656</c:v>
                </c:pt>
                <c:pt idx="46">
                  <c:v>979.36238856038972</c:v>
                </c:pt>
                <c:pt idx="47">
                  <c:v>979.28009502680129</c:v>
                </c:pt>
                <c:pt idx="48">
                  <c:v>979.17964116677206</c:v>
                </c:pt>
                <c:pt idx="49">
                  <c:v>979.05916424803138</c:v>
                </c:pt>
                <c:pt idx="50">
                  <c:v>978.96141812757753</c:v>
                </c:pt>
                <c:pt idx="51">
                  <c:v>978.84793153021621</c:v>
                </c:pt>
                <c:pt idx="52">
                  <c:v>978.74229001772665</c:v>
                </c:pt>
                <c:pt idx="53">
                  <c:v>978.6269575188162</c:v>
                </c:pt>
                <c:pt idx="54">
                  <c:v>978.53656472435421</c:v>
                </c:pt>
                <c:pt idx="55">
                  <c:v>978.43034108193444</c:v>
                </c:pt>
                <c:pt idx="56">
                  <c:v>978.31562975385782</c:v>
                </c:pt>
                <c:pt idx="57">
                  <c:v>978.19894446049466</c:v>
                </c:pt>
                <c:pt idx="58">
                  <c:v>978.07632836046059</c:v>
                </c:pt>
                <c:pt idx="59">
                  <c:v>977.96507698478763</c:v>
                </c:pt>
                <c:pt idx="60">
                  <c:v>977.85043025664663</c:v>
                </c:pt>
                <c:pt idx="61">
                  <c:v>977.72972142659626</c:v>
                </c:pt>
                <c:pt idx="62">
                  <c:v>977.61462728571053</c:v>
                </c:pt>
                <c:pt idx="63">
                  <c:v>977.47597717840017</c:v>
                </c:pt>
                <c:pt idx="64">
                  <c:v>977.34756864002111</c:v>
                </c:pt>
                <c:pt idx="65">
                  <c:v>977.21868682416675</c:v>
                </c:pt>
                <c:pt idx="66">
                  <c:v>977.07602549750254</c:v>
                </c:pt>
                <c:pt idx="67">
                  <c:v>976.94166606823103</c:v>
                </c:pt>
                <c:pt idx="68">
                  <c:v>976.80356129691268</c:v>
                </c:pt>
                <c:pt idx="69">
                  <c:v>976.66425056104868</c:v>
                </c:pt>
                <c:pt idx="70">
                  <c:v>976.51673661861741</c:v>
                </c:pt>
                <c:pt idx="71">
                  <c:v>976.35497860812745</c:v>
                </c:pt>
                <c:pt idx="72">
                  <c:v>976.21034606158844</c:v>
                </c:pt>
                <c:pt idx="73">
                  <c:v>976.04472364834828</c:v>
                </c:pt>
                <c:pt idx="74">
                  <c:v>975.87243908237281</c:v>
                </c:pt>
                <c:pt idx="75">
                  <c:v>975.72307070520287</c:v>
                </c:pt>
                <c:pt idx="76">
                  <c:v>975.57121292723559</c:v>
                </c:pt>
                <c:pt idx="77">
                  <c:v>975.4005110879998</c:v>
                </c:pt>
                <c:pt idx="78">
                  <c:v>975.24450225123883</c:v>
                </c:pt>
                <c:pt idx="79">
                  <c:v>975.04310711050755</c:v>
                </c:pt>
                <c:pt idx="80">
                  <c:v>974.86872866776343</c:v>
                </c:pt>
                <c:pt idx="81">
                  <c:v>974.68869779100066</c:v>
                </c:pt>
                <c:pt idx="82">
                  <c:v>974.50329101328214</c:v>
                </c:pt>
                <c:pt idx="83">
                  <c:v>974.31968521604836</c:v>
                </c:pt>
                <c:pt idx="84">
                  <c:v>974.15695381116655</c:v>
                </c:pt>
                <c:pt idx="85">
                  <c:v>973.98677274371369</c:v>
                </c:pt>
                <c:pt idx="86">
                  <c:v>973.79027603686313</c:v>
                </c:pt>
                <c:pt idx="87">
                  <c:v>973.60816046628656</c:v>
                </c:pt>
                <c:pt idx="88">
                  <c:v>973.41268580531914</c:v>
                </c:pt>
                <c:pt idx="89">
                  <c:v>973.21922422120804</c:v>
                </c:pt>
                <c:pt idx="90">
                  <c:v>972.99263990600116</c:v>
                </c:pt>
                <c:pt idx="91">
                  <c:v>972.80623507512485</c:v>
                </c:pt>
                <c:pt idx="92">
                  <c:v>972.60633045894576</c:v>
                </c:pt>
                <c:pt idx="93">
                  <c:v>972.39201094857503</c:v>
                </c:pt>
                <c:pt idx="94">
                  <c:v>972.15908708858706</c:v>
                </c:pt>
                <c:pt idx="95">
                  <c:v>971.94650577682921</c:v>
                </c:pt>
                <c:pt idx="96">
                  <c:v>971.71237918924373</c:v>
                </c:pt>
                <c:pt idx="97">
                  <c:v>971.49415888945282</c:v>
                </c:pt>
                <c:pt idx="98">
                  <c:v>971.27035976556181</c:v>
                </c:pt>
                <c:pt idx="99">
                  <c:v>971.04025308963537</c:v>
                </c:pt>
                <c:pt idx="100">
                  <c:v>970.84019027813883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6C-4E8C-93CC-0232F7EC1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376896"/>
        <c:axId val="157378816"/>
      </c:lineChart>
      <c:catAx>
        <c:axId val="157376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57378816"/>
        <c:crosses val="autoZero"/>
        <c:auto val="1"/>
        <c:lblAlgn val="ctr"/>
        <c:lblOffset val="100"/>
        <c:noMultiLvlLbl val="0"/>
      </c:catAx>
      <c:valAx>
        <c:axId val="15737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376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6920384951881E-2"/>
          <c:y val="0.17171296296296298"/>
          <c:w val="0.89019685039370078"/>
          <c:h val="0.7084109798775153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'Proxy vega 2'!$B$4:$B$104</c:f>
              <c:numCache>
                <c:formatCode>General</c:formatCode>
                <c:ptCount val="101"/>
                <c:pt idx="0">
                  <c:v>970.94075449779882</c:v>
                </c:pt>
                <c:pt idx="1">
                  <c:v>971.02493054510296</c:v>
                </c:pt>
                <c:pt idx="2">
                  <c:v>970.99937362121057</c:v>
                </c:pt>
                <c:pt idx="3">
                  <c:v>971.13860274630474</c:v>
                </c:pt>
                <c:pt idx="4">
                  <c:v>971.09986582600084</c:v>
                </c:pt>
                <c:pt idx="5">
                  <c:v>971.17055672021127</c:v>
                </c:pt>
                <c:pt idx="6">
                  <c:v>971.1678218231109</c:v>
                </c:pt>
                <c:pt idx="7">
                  <c:v>971.15541634484885</c:v>
                </c:pt>
                <c:pt idx="8">
                  <c:v>971.11912752696935</c:v>
                </c:pt>
                <c:pt idx="9">
                  <c:v>971.09928967500275</c:v>
                </c:pt>
                <c:pt idx="10">
                  <c:v>971.09213723881862</c:v>
                </c:pt>
                <c:pt idx="11">
                  <c:v>971.13674690300559</c:v>
                </c:pt>
                <c:pt idx="12">
                  <c:v>971.12616013803188</c:v>
                </c:pt>
                <c:pt idx="13">
                  <c:v>971.11319920927724</c:v>
                </c:pt>
                <c:pt idx="14">
                  <c:v>971.10163005818856</c:v>
                </c:pt>
                <c:pt idx="15">
                  <c:v>971.06635493765862</c:v>
                </c:pt>
                <c:pt idx="16">
                  <c:v>971.06639137723027</c:v>
                </c:pt>
                <c:pt idx="17">
                  <c:v>971.05343576142866</c:v>
                </c:pt>
                <c:pt idx="18">
                  <c:v>971.03852640194702</c:v>
                </c:pt>
                <c:pt idx="19">
                  <c:v>971.00028020846128</c:v>
                </c:pt>
                <c:pt idx="20">
                  <c:v>970.98749806035653</c:v>
                </c:pt>
                <c:pt idx="21">
                  <c:v>970.94385575846741</c:v>
                </c:pt>
                <c:pt idx="22">
                  <c:v>970.91183181034842</c:v>
                </c:pt>
                <c:pt idx="23">
                  <c:v>970.87100589318447</c:v>
                </c:pt>
                <c:pt idx="24">
                  <c:v>970.85150256845316</c:v>
                </c:pt>
                <c:pt idx="25">
                  <c:v>970.82178856714734</c:v>
                </c:pt>
                <c:pt idx="26">
                  <c:v>970.78552047290941</c:v>
                </c:pt>
                <c:pt idx="27">
                  <c:v>970.74386299463276</c:v>
                </c:pt>
                <c:pt idx="28">
                  <c:v>970.71531030274639</c:v>
                </c:pt>
                <c:pt idx="29">
                  <c:v>970.674227125431</c:v>
                </c:pt>
                <c:pt idx="30">
                  <c:v>970.61846438861494</c:v>
                </c:pt>
                <c:pt idx="31">
                  <c:v>970.56981381942023</c:v>
                </c:pt>
                <c:pt idx="32">
                  <c:v>970.5136154351444</c:v>
                </c:pt>
                <c:pt idx="33">
                  <c:v>970.43302770513537</c:v>
                </c:pt>
                <c:pt idx="34">
                  <c:v>970.37847026431064</c:v>
                </c:pt>
                <c:pt idx="35">
                  <c:v>970.3062983214885</c:v>
                </c:pt>
                <c:pt idx="36">
                  <c:v>970.23842310704754</c:v>
                </c:pt>
                <c:pt idx="37">
                  <c:v>970.14807176389411</c:v>
                </c:pt>
                <c:pt idx="38">
                  <c:v>970.056069358576</c:v>
                </c:pt>
                <c:pt idx="39">
                  <c:v>969.96757745456239</c:v>
                </c:pt>
                <c:pt idx="40">
                  <c:v>969.85578798805636</c:v>
                </c:pt>
                <c:pt idx="41">
                  <c:v>969.71619768669859</c:v>
                </c:pt>
                <c:pt idx="42">
                  <c:v>969.58279774094331</c:v>
                </c:pt>
                <c:pt idx="43">
                  <c:v>969.46571695190096</c:v>
                </c:pt>
                <c:pt idx="44">
                  <c:v>969.33093377831267</c:v>
                </c:pt>
                <c:pt idx="45">
                  <c:v>969.18158740689637</c:v>
                </c:pt>
                <c:pt idx="46">
                  <c:v>969.03752858995369</c:v>
                </c:pt>
                <c:pt idx="47">
                  <c:v>968.84965020217624</c:v>
                </c:pt>
                <c:pt idx="48">
                  <c:v>968.66846291070954</c:v>
                </c:pt>
                <c:pt idx="49">
                  <c:v>968.46880449375772</c:v>
                </c:pt>
                <c:pt idx="50">
                  <c:v>968.25762794084858</c:v>
                </c:pt>
                <c:pt idx="51">
                  <c:v>968.04556663269432</c:v>
                </c:pt>
                <c:pt idx="52">
                  <c:v>967.79484570677425</c:v>
                </c:pt>
                <c:pt idx="53">
                  <c:v>967.53966968993495</c:v>
                </c:pt>
                <c:pt idx="54">
                  <c:v>967.3098763405261</c:v>
                </c:pt>
                <c:pt idx="55">
                  <c:v>967.05792071847861</c:v>
                </c:pt>
                <c:pt idx="56">
                  <c:v>966.80119975861032</c:v>
                </c:pt>
                <c:pt idx="57">
                  <c:v>966.52597278132089</c:v>
                </c:pt>
                <c:pt idx="58">
                  <c:v>966.21207937545762</c:v>
                </c:pt>
                <c:pt idx="59">
                  <c:v>965.87956526435141</c:v>
                </c:pt>
                <c:pt idx="60">
                  <c:v>965.6132312150462</c:v>
                </c:pt>
                <c:pt idx="61">
                  <c:v>965.31813556521024</c:v>
                </c:pt>
                <c:pt idx="62">
                  <c:v>964.95990795360001</c:v>
                </c:pt>
                <c:pt idx="63">
                  <c:v>964.58980786872542</c:v>
                </c:pt>
                <c:pt idx="64">
                  <c:v>964.28758102577797</c:v>
                </c:pt>
                <c:pt idx="65">
                  <c:v>963.92692102691865</c:v>
                </c:pt>
                <c:pt idx="66">
                  <c:v>963.57883626401849</c:v>
                </c:pt>
                <c:pt idx="67">
                  <c:v>963.21930651417779</c:v>
                </c:pt>
                <c:pt idx="68">
                  <c:v>962.81286846368835</c:v>
                </c:pt>
                <c:pt idx="69">
                  <c:v>962.40877654673568</c:v>
                </c:pt>
                <c:pt idx="70">
                  <c:v>961.9915736883944</c:v>
                </c:pt>
                <c:pt idx="71">
                  <c:v>961.56785059824858</c:v>
                </c:pt>
                <c:pt idx="72">
                  <c:v>961.13988389341262</c:v>
                </c:pt>
                <c:pt idx="73">
                  <c:v>960.67885243287253</c:v>
                </c:pt>
                <c:pt idx="74">
                  <c:v>960.21162437750274</c:v>
                </c:pt>
                <c:pt idx="75">
                  <c:v>959.74428103095147</c:v>
                </c:pt>
                <c:pt idx="76">
                  <c:v>959.22607112017135</c:v>
                </c:pt>
                <c:pt idx="77">
                  <c:v>958.7132546188958</c:v>
                </c:pt>
                <c:pt idx="78">
                  <c:v>958.21912728489508</c:v>
                </c:pt>
                <c:pt idx="79">
                  <c:v>957.69911472296917</c:v>
                </c:pt>
                <c:pt idx="80">
                  <c:v>957.14716610154426</c:v>
                </c:pt>
                <c:pt idx="81">
                  <c:v>956.59821303546403</c:v>
                </c:pt>
                <c:pt idx="82">
                  <c:v>956.04955244227676</c:v>
                </c:pt>
                <c:pt idx="83">
                  <c:v>955.53202065737275</c:v>
                </c:pt>
                <c:pt idx="84">
                  <c:v>954.98971453288482</c:v>
                </c:pt>
                <c:pt idx="85">
                  <c:v>954.43636464244253</c:v>
                </c:pt>
                <c:pt idx="86">
                  <c:v>953.81959554453181</c:v>
                </c:pt>
                <c:pt idx="87">
                  <c:v>953.21333095393015</c:v>
                </c:pt>
                <c:pt idx="88">
                  <c:v>952.64332472848662</c:v>
                </c:pt>
                <c:pt idx="89">
                  <c:v>952.07802417838104</c:v>
                </c:pt>
                <c:pt idx="90">
                  <c:v>951.45719983772221</c:v>
                </c:pt>
                <c:pt idx="91">
                  <c:v>950.77569159738584</c:v>
                </c:pt>
                <c:pt idx="92">
                  <c:v>950.11894672250378</c:v>
                </c:pt>
                <c:pt idx="93">
                  <c:v>949.45310582513207</c:v>
                </c:pt>
                <c:pt idx="94">
                  <c:v>948.76894759343134</c:v>
                </c:pt>
                <c:pt idx="95">
                  <c:v>948.10846821640882</c:v>
                </c:pt>
                <c:pt idx="96">
                  <c:v>947.44650507124197</c:v>
                </c:pt>
                <c:pt idx="97">
                  <c:v>946.74212524332665</c:v>
                </c:pt>
                <c:pt idx="98">
                  <c:v>946.03998222181008</c:v>
                </c:pt>
                <c:pt idx="99">
                  <c:v>945.36633393076841</c:v>
                </c:pt>
                <c:pt idx="100">
                  <c:v>944.68878173864744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F-48F7-A4F6-C529C3336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877184"/>
        <c:axId val="499884728"/>
      </c:lineChart>
      <c:catAx>
        <c:axId val="499877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84728"/>
        <c:crosses val="autoZero"/>
        <c:auto val="1"/>
        <c:lblAlgn val="ctr"/>
        <c:lblOffset val="100"/>
        <c:noMultiLvlLbl val="0"/>
      </c:catAx>
      <c:valAx>
        <c:axId val="49988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7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Changes_in_sigma_S3!$C$4:$C$104</c:f>
              <c:numCache>
                <c:formatCode>General</c:formatCode>
                <c:ptCount val="101"/>
                <c:pt idx="0">
                  <c:v>986.0373439149289</c:v>
                </c:pt>
                <c:pt idx="1">
                  <c:v>985.96775071372372</c:v>
                </c:pt>
                <c:pt idx="2">
                  <c:v>985.88399615664605</c:v>
                </c:pt>
                <c:pt idx="3">
                  <c:v>985.8118875103545</c:v>
                </c:pt>
                <c:pt idx="4">
                  <c:v>985.70783278077408</c:v>
                </c:pt>
                <c:pt idx="5">
                  <c:v>985.61196510461741</c:v>
                </c:pt>
                <c:pt idx="6">
                  <c:v>985.51972015481113</c:v>
                </c:pt>
                <c:pt idx="7">
                  <c:v>985.41279367931429</c:v>
                </c:pt>
                <c:pt idx="8">
                  <c:v>985.30328630082295</c:v>
                </c:pt>
                <c:pt idx="9">
                  <c:v>985.21868389995052</c:v>
                </c:pt>
                <c:pt idx="10">
                  <c:v>985.13591634176214</c:v>
                </c:pt>
                <c:pt idx="11">
                  <c:v>985.0252602785971</c:v>
                </c:pt>
                <c:pt idx="12">
                  <c:v>984.90371203021584</c:v>
                </c:pt>
                <c:pt idx="13">
                  <c:v>984.79230121515661</c:v>
                </c:pt>
                <c:pt idx="14">
                  <c:v>984.68094994426383</c:v>
                </c:pt>
                <c:pt idx="15">
                  <c:v>984.59064051892847</c:v>
                </c:pt>
                <c:pt idx="16">
                  <c:v>984.47952635191268</c:v>
                </c:pt>
                <c:pt idx="17">
                  <c:v>984.36235210309576</c:v>
                </c:pt>
                <c:pt idx="18">
                  <c:v>984.24639351911162</c:v>
                </c:pt>
                <c:pt idx="19">
                  <c:v>984.14823674315573</c:v>
                </c:pt>
                <c:pt idx="20">
                  <c:v>984.01525656550518</c:v>
                </c:pt>
                <c:pt idx="21">
                  <c:v>983.91818929325564</c:v>
                </c:pt>
                <c:pt idx="22">
                  <c:v>983.78091396740263</c:v>
                </c:pt>
                <c:pt idx="23">
                  <c:v>983.6465972255836</c:v>
                </c:pt>
                <c:pt idx="24">
                  <c:v>983.51921609469741</c:v>
                </c:pt>
                <c:pt idx="25">
                  <c:v>983.37517463098175</c:v>
                </c:pt>
                <c:pt idx="26">
                  <c:v>983.23923793395704</c:v>
                </c:pt>
                <c:pt idx="27">
                  <c:v>983.06620320791103</c:v>
                </c:pt>
                <c:pt idx="28">
                  <c:v>982.89120985877571</c:v>
                </c:pt>
                <c:pt idx="29">
                  <c:v>982.72952940284301</c:v>
                </c:pt>
                <c:pt idx="30">
                  <c:v>982.58776339430074</c:v>
                </c:pt>
                <c:pt idx="31">
                  <c:v>982.42847578090777</c:v>
                </c:pt>
                <c:pt idx="32">
                  <c:v>982.25753944602536</c:v>
                </c:pt>
                <c:pt idx="33">
                  <c:v>982.07164261616435</c:v>
                </c:pt>
                <c:pt idx="34">
                  <c:v>981.92320603185578</c:v>
                </c:pt>
                <c:pt idx="35">
                  <c:v>981.73957381806963</c:v>
                </c:pt>
                <c:pt idx="36">
                  <c:v>981.57162345389213</c:v>
                </c:pt>
                <c:pt idx="37">
                  <c:v>981.39626229600594</c:v>
                </c:pt>
                <c:pt idx="38">
                  <c:v>981.20694519025676</c:v>
                </c:pt>
                <c:pt idx="39">
                  <c:v>981.02932868591449</c:v>
                </c:pt>
                <c:pt idx="40">
                  <c:v>980.82076626600747</c:v>
                </c:pt>
                <c:pt idx="41">
                  <c:v>980.60239231164849</c:v>
                </c:pt>
                <c:pt idx="42">
                  <c:v>980.42310909555567</c:v>
                </c:pt>
                <c:pt idx="43">
                  <c:v>980.22156148106387</c:v>
                </c:pt>
                <c:pt idx="44">
                  <c:v>980.01943107774184</c:v>
                </c:pt>
                <c:pt idx="45">
                  <c:v>979.80311361848908</c:v>
                </c:pt>
                <c:pt idx="46">
                  <c:v>979.59139778714484</c:v>
                </c:pt>
                <c:pt idx="47">
                  <c:v>979.40467915966485</c:v>
                </c:pt>
                <c:pt idx="48">
                  <c:v>979.16042308543263</c:v>
                </c:pt>
                <c:pt idx="49">
                  <c:v>978.95145119952235</c:v>
                </c:pt>
                <c:pt idx="50">
                  <c:v>978.75470973659685</c:v>
                </c:pt>
                <c:pt idx="51">
                  <c:v>978.50776460226484</c:v>
                </c:pt>
                <c:pt idx="52">
                  <c:v>978.27443441831417</c:v>
                </c:pt>
                <c:pt idx="53">
                  <c:v>978.05200167784153</c:v>
                </c:pt>
                <c:pt idx="54">
                  <c:v>977.83166859674861</c:v>
                </c:pt>
                <c:pt idx="55">
                  <c:v>977.57770712060324</c:v>
                </c:pt>
                <c:pt idx="56">
                  <c:v>977.35056326490178</c:v>
                </c:pt>
                <c:pt idx="57">
                  <c:v>977.10400753449676</c:v>
                </c:pt>
                <c:pt idx="58">
                  <c:v>976.84478445540708</c:v>
                </c:pt>
                <c:pt idx="59">
                  <c:v>976.61358953853551</c:v>
                </c:pt>
                <c:pt idx="60">
                  <c:v>976.34738618262065</c:v>
                </c:pt>
                <c:pt idx="61">
                  <c:v>976.09884654803534</c:v>
                </c:pt>
                <c:pt idx="62">
                  <c:v>975.82928519091604</c:v>
                </c:pt>
                <c:pt idx="63">
                  <c:v>975.54534389289381</c:v>
                </c:pt>
                <c:pt idx="64">
                  <c:v>975.29827385690362</c:v>
                </c:pt>
                <c:pt idx="65">
                  <c:v>975.04928658774497</c:v>
                </c:pt>
                <c:pt idx="66">
                  <c:v>974.79003995554774</c:v>
                </c:pt>
                <c:pt idx="67">
                  <c:v>974.52508962130753</c:v>
                </c:pt>
                <c:pt idx="68">
                  <c:v>974.23819892309405</c:v>
                </c:pt>
                <c:pt idx="69">
                  <c:v>973.97341674354482</c:v>
                </c:pt>
                <c:pt idx="70">
                  <c:v>973.69363114203395</c:v>
                </c:pt>
                <c:pt idx="71">
                  <c:v>973.38946894344042</c:v>
                </c:pt>
                <c:pt idx="72">
                  <c:v>973.09980184924962</c:v>
                </c:pt>
                <c:pt idx="73">
                  <c:v>972.81519044782794</c:v>
                </c:pt>
                <c:pt idx="74">
                  <c:v>972.53000513235861</c:v>
                </c:pt>
                <c:pt idx="75">
                  <c:v>972.25665471920524</c:v>
                </c:pt>
                <c:pt idx="76">
                  <c:v>971.95188620172917</c:v>
                </c:pt>
                <c:pt idx="77">
                  <c:v>971.70563107762723</c:v>
                </c:pt>
                <c:pt idx="78">
                  <c:v>971.41904045351475</c:v>
                </c:pt>
                <c:pt idx="79">
                  <c:v>971.14981078035692</c:v>
                </c:pt>
                <c:pt idx="80">
                  <c:v>970.84670563767918</c:v>
                </c:pt>
                <c:pt idx="81">
                  <c:v>970.61835013296934</c:v>
                </c:pt>
                <c:pt idx="82">
                  <c:v>970.3257967555578</c:v>
                </c:pt>
                <c:pt idx="83">
                  <c:v>970.03813571928822</c:v>
                </c:pt>
                <c:pt idx="84">
                  <c:v>969.73452212233087</c:v>
                </c:pt>
                <c:pt idx="85">
                  <c:v>969.41691840721182</c:v>
                </c:pt>
                <c:pt idx="86">
                  <c:v>969.11905575636138</c:v>
                </c:pt>
                <c:pt idx="87">
                  <c:v>968.80262669880926</c:v>
                </c:pt>
                <c:pt idx="88">
                  <c:v>968.4985663152878</c:v>
                </c:pt>
                <c:pt idx="89">
                  <c:v>968.19790806650985</c:v>
                </c:pt>
                <c:pt idx="90">
                  <c:v>967.88498471051878</c:v>
                </c:pt>
                <c:pt idx="91">
                  <c:v>967.56629722156629</c:v>
                </c:pt>
                <c:pt idx="92">
                  <c:v>967.22270500665763</c:v>
                </c:pt>
                <c:pt idx="93">
                  <c:v>966.89810279298683</c:v>
                </c:pt>
                <c:pt idx="94">
                  <c:v>966.58424310044279</c:v>
                </c:pt>
                <c:pt idx="95">
                  <c:v>966.25829672648922</c:v>
                </c:pt>
                <c:pt idx="96">
                  <c:v>965.94565331459637</c:v>
                </c:pt>
                <c:pt idx="97">
                  <c:v>965.61850504498864</c:v>
                </c:pt>
                <c:pt idx="98">
                  <c:v>965.2999381557039</c:v>
                </c:pt>
                <c:pt idx="99">
                  <c:v>964.99702726124247</c:v>
                </c:pt>
                <c:pt idx="100">
                  <c:v>964.65660865151938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C1-4F2A-9E11-610FE87E5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15360"/>
        <c:axId val="93217152"/>
      </c:lineChart>
      <c:catAx>
        <c:axId val="93215360"/>
        <c:scaling>
          <c:orientation val="minMax"/>
        </c:scaling>
        <c:delete val="0"/>
        <c:axPos val="b"/>
        <c:majorTickMark val="out"/>
        <c:minorTickMark val="none"/>
        <c:tickLblPos val="nextTo"/>
        <c:crossAx val="93217152"/>
        <c:crosses val="autoZero"/>
        <c:auto val="1"/>
        <c:lblAlgn val="ctr"/>
        <c:lblOffset val="100"/>
        <c:noMultiLvlLbl val="0"/>
      </c:catAx>
      <c:valAx>
        <c:axId val="9321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215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3</xdr:row>
          <xdr:rowOff>47625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123825</xdr:colOff>
      <xdr:row>7</xdr:row>
      <xdr:rowOff>95250</xdr:rowOff>
    </xdr:from>
    <xdr:to>
      <xdr:col>14</xdr:col>
      <xdr:colOff>428625</xdr:colOff>
      <xdr:row>21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238124</xdr:colOff>
      <xdr:row>2</xdr:row>
      <xdr:rowOff>180975</xdr:rowOff>
    </xdr:from>
    <xdr:to>
      <xdr:col>35</xdr:col>
      <xdr:colOff>504826</xdr:colOff>
      <xdr:row>21</xdr:row>
      <xdr:rowOff>57151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561975</xdr:colOff>
      <xdr:row>27</xdr:row>
      <xdr:rowOff>66675</xdr:rowOff>
    </xdr:from>
    <xdr:to>
      <xdr:col>33</xdr:col>
      <xdr:colOff>561975</xdr:colOff>
      <xdr:row>37</xdr:row>
      <xdr:rowOff>85725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104775</xdr:rowOff>
        </xdr:from>
        <xdr:to>
          <xdr:col>6</xdr:col>
          <xdr:colOff>57150</xdr:colOff>
          <xdr:row>6</xdr:row>
          <xdr:rowOff>133350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142875</xdr:colOff>
      <xdr:row>10</xdr:row>
      <xdr:rowOff>42862</xdr:rowOff>
    </xdr:from>
    <xdr:to>
      <xdr:col>10</xdr:col>
      <xdr:colOff>447675</xdr:colOff>
      <xdr:row>24</xdr:row>
      <xdr:rowOff>119062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466725</xdr:colOff>
      <xdr:row>0</xdr:row>
      <xdr:rowOff>66676</xdr:rowOff>
    </xdr:from>
    <xdr:to>
      <xdr:col>34</xdr:col>
      <xdr:colOff>123825</xdr:colOff>
      <xdr:row>17</xdr:row>
      <xdr:rowOff>85726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85725</xdr:colOff>
      <xdr:row>21</xdr:row>
      <xdr:rowOff>104775</xdr:rowOff>
    </xdr:from>
    <xdr:to>
      <xdr:col>34</xdr:col>
      <xdr:colOff>85725</xdr:colOff>
      <xdr:row>31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114300</xdr:rowOff>
        </xdr:from>
        <xdr:to>
          <xdr:col>7</xdr:col>
          <xdr:colOff>9525</xdr:colOff>
          <xdr:row>8</xdr:row>
          <xdr:rowOff>57150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447675</xdr:colOff>
      <xdr:row>8</xdr:row>
      <xdr:rowOff>166687</xdr:rowOff>
    </xdr:from>
    <xdr:to>
      <xdr:col>11</xdr:col>
      <xdr:colOff>142875</xdr:colOff>
      <xdr:row>23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266700</xdr:colOff>
      <xdr:row>23</xdr:row>
      <xdr:rowOff>152400</xdr:rowOff>
    </xdr:from>
    <xdr:to>
      <xdr:col>13</xdr:col>
      <xdr:colOff>76200</xdr:colOff>
      <xdr:row>46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457200</xdr:colOff>
      <xdr:row>21</xdr:row>
      <xdr:rowOff>171450</xdr:rowOff>
    </xdr:from>
    <xdr:to>
      <xdr:col>31</xdr:col>
      <xdr:colOff>457200</xdr:colOff>
      <xdr:row>31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4</xdr:row>
          <xdr:rowOff>66675</xdr:rowOff>
        </xdr:from>
        <xdr:to>
          <xdr:col>6</xdr:col>
          <xdr:colOff>247650</xdr:colOff>
          <xdr:row>6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180975</xdr:colOff>
      <xdr:row>10</xdr:row>
      <xdr:rowOff>166687</xdr:rowOff>
    </xdr:from>
    <xdr:to>
      <xdr:col>9</xdr:col>
      <xdr:colOff>485775</xdr:colOff>
      <xdr:row>25</xdr:row>
      <xdr:rowOff>52387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257174</xdr:colOff>
      <xdr:row>28</xdr:row>
      <xdr:rowOff>19050</xdr:rowOff>
    </xdr:from>
    <xdr:to>
      <xdr:col>12</xdr:col>
      <xdr:colOff>400049</xdr:colOff>
      <xdr:row>46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238125</xdr:colOff>
      <xdr:row>3</xdr:row>
      <xdr:rowOff>0</xdr:rowOff>
    </xdr:from>
    <xdr:to>
      <xdr:col>31</xdr:col>
      <xdr:colOff>238125</xdr:colOff>
      <xdr:row>12</xdr:row>
      <xdr:rowOff>190500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</xdr:row>
          <xdr:rowOff>0</xdr:rowOff>
        </xdr:from>
        <xdr:to>
          <xdr:col>6</xdr:col>
          <xdr:colOff>114300</xdr:colOff>
          <xdr:row>5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114300</xdr:colOff>
      <xdr:row>9</xdr:row>
      <xdr:rowOff>85725</xdr:rowOff>
    </xdr:from>
    <xdr:to>
      <xdr:col>12</xdr:col>
      <xdr:colOff>419100</xdr:colOff>
      <xdr:row>23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171450</xdr:rowOff>
        </xdr:from>
        <xdr:to>
          <xdr:col>7</xdr:col>
          <xdr:colOff>276225</xdr:colOff>
          <xdr:row>5</xdr:row>
          <xdr:rowOff>85725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266700</xdr:colOff>
      <xdr:row>6</xdr:row>
      <xdr:rowOff>152400</xdr:rowOff>
    </xdr:from>
    <xdr:to>
      <xdr:col>11</xdr:col>
      <xdr:colOff>571500</xdr:colOff>
      <xdr:row>21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7</xdr:row>
          <xdr:rowOff>123825</xdr:rowOff>
        </xdr:from>
        <xdr:to>
          <xdr:col>7</xdr:col>
          <xdr:colOff>133350</xdr:colOff>
          <xdr:row>10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561975</xdr:colOff>
      <xdr:row>8</xdr:row>
      <xdr:rowOff>14287</xdr:rowOff>
    </xdr:from>
    <xdr:to>
      <xdr:col>15</xdr:col>
      <xdr:colOff>257175</xdr:colOff>
      <xdr:row>22</xdr:row>
      <xdr:rowOff>90487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3</xdr:row>
          <xdr:rowOff>152400</xdr:rowOff>
        </xdr:from>
        <xdr:to>
          <xdr:col>6</xdr:col>
          <xdr:colOff>133350</xdr:colOff>
          <xdr:row>7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485775</xdr:colOff>
      <xdr:row>6</xdr:row>
      <xdr:rowOff>23812</xdr:rowOff>
    </xdr:from>
    <xdr:to>
      <xdr:col>14</xdr:col>
      <xdr:colOff>180975</xdr:colOff>
      <xdr:row>20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7</xdr:row>
          <xdr:rowOff>123825</xdr:rowOff>
        </xdr:from>
        <xdr:to>
          <xdr:col>5</xdr:col>
          <xdr:colOff>200025</xdr:colOff>
          <xdr:row>9</xdr:row>
          <xdr:rowOff>104775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533400</xdr:colOff>
      <xdr:row>7</xdr:row>
      <xdr:rowOff>33337</xdr:rowOff>
    </xdr:from>
    <xdr:to>
      <xdr:col>13</xdr:col>
      <xdr:colOff>180975</xdr:colOff>
      <xdr:row>21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4</xdr:row>
          <xdr:rowOff>47625</xdr:rowOff>
        </xdr:from>
        <xdr:to>
          <xdr:col>6</xdr:col>
          <xdr:colOff>295275</xdr:colOff>
          <xdr:row>5</xdr:row>
          <xdr:rowOff>171450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457200</xdr:colOff>
      <xdr:row>9</xdr:row>
      <xdr:rowOff>166687</xdr:rowOff>
    </xdr:from>
    <xdr:to>
      <xdr:col>10</xdr:col>
      <xdr:colOff>152400</xdr:colOff>
      <xdr:row>24</xdr:row>
      <xdr:rowOff>52387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4</xdr:row>
          <xdr:rowOff>152400</xdr:rowOff>
        </xdr:from>
        <xdr:to>
          <xdr:col>5</xdr:col>
          <xdr:colOff>323850</xdr:colOff>
          <xdr:row>8</xdr:row>
          <xdr:rowOff>95250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504825</xdr:colOff>
      <xdr:row>7</xdr:row>
      <xdr:rowOff>100012</xdr:rowOff>
    </xdr:from>
    <xdr:to>
      <xdr:col>12</xdr:col>
      <xdr:colOff>361950</xdr:colOff>
      <xdr:row>21</xdr:row>
      <xdr:rowOff>176212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5</xdr:row>
          <xdr:rowOff>142875</xdr:rowOff>
        </xdr:from>
        <xdr:to>
          <xdr:col>5</xdr:col>
          <xdr:colOff>304800</xdr:colOff>
          <xdr:row>8</xdr:row>
          <xdr:rowOff>47625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5</xdr:row>
          <xdr:rowOff>104775</xdr:rowOff>
        </xdr:from>
        <xdr:to>
          <xdr:col>5</xdr:col>
          <xdr:colOff>371475</xdr:colOff>
          <xdr:row>7</xdr:row>
          <xdr:rowOff>104775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</xdr:row>
          <xdr:rowOff>66675</xdr:rowOff>
        </xdr:from>
        <xdr:to>
          <xdr:col>5</xdr:col>
          <xdr:colOff>419100</xdr:colOff>
          <xdr:row>6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3"/>
  <sheetViews>
    <sheetView tabSelected="1" workbookViewId="0"/>
  </sheetViews>
  <sheetFormatPr defaultRowHeight="15" x14ac:dyDescent="0.25"/>
  <sheetData>
    <row r="1" spans="1:1" x14ac:dyDescent="0.25">
      <c r="A1" t="s">
        <v>27</v>
      </c>
    </row>
    <row r="2" spans="1:1" x14ac:dyDescent="0.25">
      <c r="A2" t="s">
        <v>28</v>
      </c>
    </row>
    <row r="3" spans="1:1" x14ac:dyDescent="0.25">
      <c r="A3" t="s">
        <v>39</v>
      </c>
    </row>
    <row r="4" spans="1:1" x14ac:dyDescent="0.25">
      <c r="A4" t="s">
        <v>29</v>
      </c>
    </row>
    <row r="6" spans="1:1" x14ac:dyDescent="0.25">
      <c r="A6" t="s">
        <v>30</v>
      </c>
    </row>
    <row r="7" spans="1:1" x14ac:dyDescent="0.25">
      <c r="A7" t="s">
        <v>40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2" spans="1:1" x14ac:dyDescent="0.25">
      <c r="A12" t="s">
        <v>58</v>
      </c>
    </row>
    <row r="13" spans="1:1" x14ac:dyDescent="0.25">
      <c r="A13" t="s">
        <v>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0"/>
  <sheetViews>
    <sheetView workbookViewId="0"/>
  </sheetViews>
  <sheetFormatPr defaultRowHeight="15" x14ac:dyDescent="0.25"/>
  <cols>
    <col min="1" max="1" width="34.5703125" bestFit="1" customWidth="1"/>
    <col min="4" max="4" width="32.140625" customWidth="1"/>
    <col min="5" max="5" width="10.7109375" bestFit="1" customWidth="1"/>
    <col min="6" max="6" width="15.85546875" bestFit="1" customWidth="1"/>
    <col min="7" max="7" width="32.140625" bestFit="1" customWidth="1"/>
    <col min="8" max="8" width="15.140625" bestFit="1" customWidth="1"/>
    <col min="11" max="11" width="23.42578125" bestFit="1" customWidth="1"/>
    <col min="12" max="12" width="26.85546875" customWidth="1"/>
    <col min="13" max="13" width="16.5703125" bestFit="1" customWidth="1"/>
    <col min="14" max="14" width="19.140625" bestFit="1" customWidth="1"/>
    <col min="15" max="15" width="26.85546875" customWidth="1"/>
    <col min="16" max="16" width="14.85546875" bestFit="1" customWidth="1"/>
    <col min="17" max="17" width="24.28515625" bestFit="1" customWidth="1"/>
    <col min="18" max="18" width="36" bestFit="1" customWidth="1"/>
    <col min="19" max="19" width="23.5703125" bestFit="1" customWidth="1"/>
    <col min="20" max="20" width="26.85546875" bestFit="1" customWidth="1"/>
  </cols>
  <sheetData>
    <row r="1" spans="1:20" x14ac:dyDescent="0.25">
      <c r="A1" t="s">
        <v>8</v>
      </c>
      <c r="B1">
        <v>10000</v>
      </c>
      <c r="D1" t="s">
        <v>9</v>
      </c>
      <c r="E1" s="1">
        <v>43423</v>
      </c>
      <c r="G1" t="s">
        <v>18</v>
      </c>
      <c r="K1" t="s">
        <v>15</v>
      </c>
      <c r="L1" t="s">
        <v>17</v>
      </c>
      <c r="M1" t="s">
        <v>16</v>
      </c>
      <c r="N1" t="s">
        <v>11</v>
      </c>
      <c r="O1" t="s">
        <v>17</v>
      </c>
      <c r="P1" t="s">
        <v>24</v>
      </c>
      <c r="Q1" t="s">
        <v>19</v>
      </c>
      <c r="R1" t="s">
        <v>14</v>
      </c>
      <c r="S1" t="s">
        <v>22</v>
      </c>
      <c r="T1" t="s">
        <v>17</v>
      </c>
    </row>
    <row r="2" spans="1:20" x14ac:dyDescent="0.25">
      <c r="A2" t="s">
        <v>20</v>
      </c>
      <c r="B2">
        <v>1000</v>
      </c>
      <c r="D2" t="s">
        <v>12</v>
      </c>
      <c r="E2" s="1">
        <v>44130</v>
      </c>
      <c r="F2" t="s">
        <v>13</v>
      </c>
      <c r="G2">
        <f>NETWORKDAYS(E1,E2)</f>
        <v>506</v>
      </c>
      <c r="H2" t="s">
        <v>23</v>
      </c>
      <c r="I2">
        <v>2.8649999999999998E-2</v>
      </c>
      <c r="K2" s="1">
        <v>43486</v>
      </c>
      <c r="L2" s="2">
        <f>NETWORKDAYS($E$1,K2)</f>
        <v>46</v>
      </c>
      <c r="M2">
        <v>0.75</v>
      </c>
      <c r="N2" s="1">
        <v>43489</v>
      </c>
      <c r="O2">
        <f>NETWORKDAYS($E$1,N2)</f>
        <v>49</v>
      </c>
      <c r="P2">
        <f>0.052/4</f>
        <v>1.2999999999999999E-2</v>
      </c>
      <c r="Q2" s="1">
        <v>43486</v>
      </c>
      <c r="R2">
        <f>NETWORKDAYS($E$1,Q2)</f>
        <v>46</v>
      </c>
      <c r="S2" s="1">
        <v>43489</v>
      </c>
      <c r="T2">
        <f>NETWORKDAYS($E$1,S2)</f>
        <v>49</v>
      </c>
    </row>
    <row r="3" spans="1:20" x14ac:dyDescent="0.25">
      <c r="A3" t="s">
        <v>0</v>
      </c>
      <c r="D3" t="s">
        <v>4</v>
      </c>
      <c r="G3" t="s">
        <v>5</v>
      </c>
      <c r="K3" s="1">
        <v>43572</v>
      </c>
      <c r="L3" s="2">
        <f t="shared" ref="L3:L9" si="0">NETWORKDAYS($E$1,K3)</f>
        <v>108</v>
      </c>
      <c r="M3">
        <f>$M$2</f>
        <v>0.75</v>
      </c>
      <c r="N3" s="1">
        <v>43579</v>
      </c>
      <c r="O3">
        <f t="shared" ref="O3:O9" si="1">NETWORKDAYS($E$1,N3)</f>
        <v>113</v>
      </c>
      <c r="P3">
        <f>$P$2</f>
        <v>1.2999999999999999E-2</v>
      </c>
      <c r="Q3" s="1">
        <v>43572</v>
      </c>
      <c r="R3">
        <f t="shared" ref="R3:R8" si="2">NETWORKDAYS($E$1,Q3)</f>
        <v>108</v>
      </c>
      <c r="S3" s="1">
        <v>43579</v>
      </c>
      <c r="T3">
        <f t="shared" ref="T3:T8" si="3">NETWORKDAYS($E$1,S3)</f>
        <v>113</v>
      </c>
    </row>
    <row r="4" spans="1:20" x14ac:dyDescent="0.25">
      <c r="K4" s="1">
        <v>43665</v>
      </c>
      <c r="L4" s="2">
        <f t="shared" si="0"/>
        <v>175</v>
      </c>
      <c r="M4">
        <f t="shared" ref="M4:M9" si="4">$M$2</f>
        <v>0.75</v>
      </c>
      <c r="N4" s="1">
        <v>43670</v>
      </c>
      <c r="O4">
        <f t="shared" si="1"/>
        <v>178</v>
      </c>
      <c r="P4">
        <f t="shared" ref="P4:P9" si="5">$P$2</f>
        <v>1.2999999999999999E-2</v>
      </c>
      <c r="Q4" s="1">
        <v>43665</v>
      </c>
      <c r="R4">
        <f t="shared" si="2"/>
        <v>175</v>
      </c>
      <c r="S4" s="1">
        <v>43670</v>
      </c>
      <c r="T4">
        <f t="shared" si="3"/>
        <v>178</v>
      </c>
    </row>
    <row r="5" spans="1:20" x14ac:dyDescent="0.25">
      <c r="A5" t="s">
        <v>1</v>
      </c>
      <c r="B5">
        <v>-1.9499999999999999E-3</v>
      </c>
      <c r="D5" t="s">
        <v>1</v>
      </c>
      <c r="E5">
        <v>-4.6800000000000001E-3</v>
      </c>
      <c r="G5" t="s">
        <v>1</v>
      </c>
      <c r="H5" s="3">
        <v>9.1000000000000004E-3</v>
      </c>
      <c r="K5" s="1">
        <v>43759</v>
      </c>
      <c r="L5" s="2">
        <f t="shared" si="0"/>
        <v>241</v>
      </c>
      <c r="M5">
        <f t="shared" si="4"/>
        <v>0.75</v>
      </c>
      <c r="N5" s="1">
        <v>43762</v>
      </c>
      <c r="O5">
        <f t="shared" si="1"/>
        <v>244</v>
      </c>
      <c r="P5">
        <f t="shared" si="5"/>
        <v>1.2999999999999999E-2</v>
      </c>
      <c r="Q5" s="1">
        <v>43759</v>
      </c>
      <c r="R5">
        <f t="shared" si="2"/>
        <v>241</v>
      </c>
      <c r="S5" s="1">
        <v>43762</v>
      </c>
      <c r="T5">
        <f t="shared" si="3"/>
        <v>244</v>
      </c>
    </row>
    <row r="6" spans="1:20" x14ac:dyDescent="0.25">
      <c r="A6" t="s">
        <v>2</v>
      </c>
      <c r="B6">
        <v>0.19170000000000001</v>
      </c>
      <c r="D6" t="s">
        <v>2</v>
      </c>
      <c r="E6">
        <v>0.16717299999999999</v>
      </c>
      <c r="G6" t="s">
        <v>2</v>
      </c>
      <c r="H6">
        <v>0.19</v>
      </c>
      <c r="K6" s="1">
        <v>43851</v>
      </c>
      <c r="L6" s="2">
        <f t="shared" si="0"/>
        <v>307</v>
      </c>
      <c r="M6">
        <f t="shared" si="4"/>
        <v>0.75</v>
      </c>
      <c r="N6" s="1">
        <v>43854</v>
      </c>
      <c r="O6">
        <f t="shared" si="1"/>
        <v>310</v>
      </c>
      <c r="P6">
        <f t="shared" si="5"/>
        <v>1.2999999999999999E-2</v>
      </c>
      <c r="Q6" s="1">
        <v>43851</v>
      </c>
      <c r="R6">
        <f t="shared" si="2"/>
        <v>307</v>
      </c>
      <c r="S6" s="1">
        <v>43854</v>
      </c>
      <c r="T6">
        <f t="shared" si="3"/>
        <v>310</v>
      </c>
    </row>
    <row r="7" spans="1:20" x14ac:dyDescent="0.25">
      <c r="A7" t="s">
        <v>3</v>
      </c>
      <c r="B7">
        <v>7.3077863528177911E-2</v>
      </c>
      <c r="D7" t="s">
        <v>3</v>
      </c>
      <c r="E7">
        <v>6.7192547109866385E-2</v>
      </c>
      <c r="G7" t="s">
        <v>3</v>
      </c>
      <c r="H7">
        <v>8.4600696113314749E-2</v>
      </c>
      <c r="K7" s="1">
        <v>43942</v>
      </c>
      <c r="L7" s="2">
        <f t="shared" si="0"/>
        <v>372</v>
      </c>
      <c r="M7">
        <f t="shared" si="4"/>
        <v>0.75</v>
      </c>
      <c r="N7" s="1">
        <v>43945</v>
      </c>
      <c r="O7">
        <f t="shared" si="1"/>
        <v>375</v>
      </c>
      <c r="P7">
        <f t="shared" si="5"/>
        <v>1.2999999999999999E-2</v>
      </c>
      <c r="Q7" s="1">
        <v>43942</v>
      </c>
      <c r="R7">
        <f t="shared" si="2"/>
        <v>372</v>
      </c>
      <c r="S7" s="1">
        <v>43945</v>
      </c>
      <c r="T7">
        <f t="shared" si="3"/>
        <v>375</v>
      </c>
    </row>
    <row r="8" spans="1:20" x14ac:dyDescent="0.25">
      <c r="A8" t="s">
        <v>26</v>
      </c>
      <c r="B8">
        <v>3607.77</v>
      </c>
      <c r="D8" t="s">
        <v>26</v>
      </c>
      <c r="E8">
        <v>9269.86</v>
      </c>
      <c r="G8" t="s">
        <v>26</v>
      </c>
      <c r="H8">
        <v>7516.17</v>
      </c>
      <c r="K8" s="1">
        <v>44033</v>
      </c>
      <c r="L8" s="2">
        <f t="shared" si="0"/>
        <v>437</v>
      </c>
      <c r="M8">
        <f t="shared" si="4"/>
        <v>0.75</v>
      </c>
      <c r="N8" s="1">
        <v>44036</v>
      </c>
      <c r="O8">
        <f t="shared" si="1"/>
        <v>440</v>
      </c>
      <c r="P8">
        <f t="shared" si="5"/>
        <v>1.2999999999999999E-2</v>
      </c>
      <c r="Q8" s="1">
        <v>44033</v>
      </c>
      <c r="R8">
        <f t="shared" si="2"/>
        <v>437</v>
      </c>
      <c r="S8" s="1">
        <v>44036</v>
      </c>
      <c r="T8">
        <f t="shared" si="3"/>
        <v>440</v>
      </c>
    </row>
    <row r="9" spans="1:20" x14ac:dyDescent="0.25">
      <c r="A9" t="s">
        <v>6</v>
      </c>
      <c r="B9" s="2">
        <v>0.75</v>
      </c>
      <c r="D9" t="s">
        <v>6</v>
      </c>
      <c r="E9" s="2">
        <v>0.75</v>
      </c>
      <c r="G9" t="s">
        <v>6</v>
      </c>
      <c r="H9" s="2">
        <v>0.75</v>
      </c>
      <c r="K9" s="1">
        <v>44125</v>
      </c>
      <c r="L9" s="2">
        <f t="shared" si="0"/>
        <v>503</v>
      </c>
      <c r="M9">
        <f t="shared" si="4"/>
        <v>0.75</v>
      </c>
      <c r="N9" s="1">
        <v>44130</v>
      </c>
      <c r="O9">
        <f t="shared" si="1"/>
        <v>506</v>
      </c>
      <c r="P9">
        <f t="shared" si="5"/>
        <v>1.2999999999999999E-2</v>
      </c>
    </row>
    <row r="10" spans="1:20" x14ac:dyDescent="0.25">
      <c r="A10" t="s">
        <v>10</v>
      </c>
      <c r="B10">
        <v>3160.33</v>
      </c>
      <c r="D10" t="s">
        <v>10</v>
      </c>
      <c r="E10">
        <v>8812.61</v>
      </c>
      <c r="G10" t="s">
        <v>10</v>
      </c>
      <c r="H10">
        <v>7000.89</v>
      </c>
    </row>
    <row r="11" spans="1:20" x14ac:dyDescent="0.25">
      <c r="A11" t="s">
        <v>21</v>
      </c>
      <c r="B11">
        <v>0.10701490448714517</v>
      </c>
      <c r="D11" t="s">
        <v>21</v>
      </c>
      <c r="E11">
        <v>0.25439896626112007</v>
      </c>
      <c r="G11" t="s">
        <v>21</v>
      </c>
      <c r="H11">
        <v>0.28147541896719003</v>
      </c>
    </row>
    <row r="12" spans="1:20" x14ac:dyDescent="0.25">
      <c r="A12" t="s">
        <v>7</v>
      </c>
    </row>
    <row r="13" spans="1:20" x14ac:dyDescent="0.25">
      <c r="B13">
        <v>1</v>
      </c>
      <c r="C13">
        <v>2</v>
      </c>
      <c r="D13">
        <v>3</v>
      </c>
    </row>
    <row r="14" spans="1:20" x14ac:dyDescent="0.25">
      <c r="A14">
        <v>1</v>
      </c>
    </row>
    <row r="15" spans="1:20" x14ac:dyDescent="0.25">
      <c r="A15">
        <v>2</v>
      </c>
      <c r="B15">
        <v>0.78724433855904363</v>
      </c>
    </row>
    <row r="16" spans="1:20" x14ac:dyDescent="0.25">
      <c r="A16">
        <v>3</v>
      </c>
      <c r="B16">
        <v>0.7405238138088448</v>
      </c>
      <c r="C16">
        <v>0.70553809898358433</v>
      </c>
    </row>
    <row r="18" spans="1:32" x14ac:dyDescent="0.25">
      <c r="A18" t="s">
        <v>25</v>
      </c>
      <c r="B18">
        <v>980.7809542252046</v>
      </c>
    </row>
    <row r="20" spans="1:32" x14ac:dyDescent="0.25">
      <c r="A20">
        <v>1</v>
      </c>
      <c r="B20">
        <f>A20+1</f>
        <v>2</v>
      </c>
      <c r="C20">
        <f t="shared" ref="C20:AF20" si="6">B20+1</f>
        <v>3</v>
      </c>
      <c r="D20">
        <f t="shared" si="6"/>
        <v>4</v>
      </c>
      <c r="E20">
        <f t="shared" si="6"/>
        <v>5</v>
      </c>
      <c r="F20">
        <f t="shared" si="6"/>
        <v>6</v>
      </c>
      <c r="G20">
        <f t="shared" si="6"/>
        <v>7</v>
      </c>
      <c r="H20">
        <f t="shared" si="6"/>
        <v>8</v>
      </c>
      <c r="I20">
        <f t="shared" si="6"/>
        <v>9</v>
      </c>
      <c r="J20">
        <f t="shared" si="6"/>
        <v>10</v>
      </c>
      <c r="K20">
        <f t="shared" si="6"/>
        <v>11</v>
      </c>
      <c r="L20">
        <f t="shared" si="6"/>
        <v>12</v>
      </c>
      <c r="M20">
        <f t="shared" si="6"/>
        <v>13</v>
      </c>
      <c r="N20">
        <f t="shared" si="6"/>
        <v>14</v>
      </c>
      <c r="O20">
        <f t="shared" si="6"/>
        <v>15</v>
      </c>
      <c r="P20">
        <f t="shared" si="6"/>
        <v>16</v>
      </c>
      <c r="Q20">
        <f t="shared" si="6"/>
        <v>17</v>
      </c>
      <c r="R20">
        <f t="shared" si="6"/>
        <v>18</v>
      </c>
      <c r="S20">
        <f t="shared" si="6"/>
        <v>19</v>
      </c>
      <c r="T20">
        <f t="shared" si="6"/>
        <v>20</v>
      </c>
      <c r="U20">
        <f t="shared" si="6"/>
        <v>21</v>
      </c>
      <c r="V20">
        <f t="shared" si="6"/>
        <v>22</v>
      </c>
      <c r="W20">
        <f t="shared" si="6"/>
        <v>23</v>
      </c>
      <c r="X20">
        <f t="shared" si="6"/>
        <v>24</v>
      </c>
      <c r="Y20">
        <f t="shared" si="6"/>
        <v>25</v>
      </c>
      <c r="Z20">
        <f t="shared" si="6"/>
        <v>26</v>
      </c>
      <c r="AA20">
        <f t="shared" si="6"/>
        <v>27</v>
      </c>
      <c r="AB20">
        <f t="shared" si="6"/>
        <v>28</v>
      </c>
      <c r="AC20">
        <f t="shared" si="6"/>
        <v>29</v>
      </c>
      <c r="AD20">
        <f t="shared" si="6"/>
        <v>30</v>
      </c>
      <c r="AE20">
        <f t="shared" si="6"/>
        <v>31</v>
      </c>
      <c r="AF20">
        <f t="shared" si="6"/>
        <v>32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127"/>
  <sheetViews>
    <sheetView workbookViewId="0"/>
  </sheetViews>
  <sheetFormatPr defaultRowHeight="15" x14ac:dyDescent="0.25"/>
  <cols>
    <col min="1" max="1" width="6.5703125" bestFit="1" customWidth="1"/>
    <col min="2" max="2" width="10.140625" bestFit="1" customWidth="1"/>
    <col min="3" max="3" width="15.140625" bestFit="1" customWidth="1"/>
    <col min="4" max="4" width="5.28515625" bestFit="1" customWidth="1"/>
    <col min="5" max="6" width="5" bestFit="1" customWidth="1"/>
    <col min="9" max="9" width="6.5703125" bestFit="1" customWidth="1"/>
    <col min="10" max="10" width="15.140625" bestFit="1" customWidth="1"/>
    <col min="11" max="11" width="9.5703125" bestFit="1" customWidth="1"/>
    <col min="13" max="13" width="16" bestFit="1" customWidth="1"/>
    <col min="17" max="17" width="34.28515625" bestFit="1" customWidth="1"/>
    <col min="18" max="18" width="12" bestFit="1" customWidth="1"/>
    <col min="19" max="19" width="18" bestFit="1" customWidth="1"/>
    <col min="20" max="20" width="12" bestFit="1" customWidth="1"/>
    <col min="21" max="21" width="14.5703125" bestFit="1" customWidth="1"/>
    <col min="22" max="22" width="12" bestFit="1" customWidth="1"/>
    <col min="23" max="23" width="20.140625" bestFit="1" customWidth="1"/>
    <col min="24" max="24" width="13.42578125" bestFit="1" customWidth="1"/>
    <col min="25" max="25" width="12" bestFit="1" customWidth="1"/>
    <col min="26" max="26" width="12.42578125" bestFit="1" customWidth="1"/>
    <col min="27" max="27" width="12.5703125" bestFit="1" customWidth="1"/>
  </cols>
  <sheetData>
    <row r="1" spans="1:24" x14ac:dyDescent="0.25">
      <c r="B1" t="s">
        <v>34</v>
      </c>
      <c r="C1">
        <f>'Parameter Page'!B10</f>
        <v>3160.33</v>
      </c>
      <c r="E1">
        <f>3160-5</f>
        <v>3155</v>
      </c>
      <c r="F1">
        <f>3160+5</f>
        <v>3165</v>
      </c>
    </row>
    <row r="2" spans="1:24" x14ac:dyDescent="0.25">
      <c r="C2" t="s">
        <v>36</v>
      </c>
      <c r="D2">
        <f>COUNT(B4:B104)</f>
        <v>101</v>
      </c>
      <c r="J2" t="s">
        <v>46</v>
      </c>
      <c r="Q2" t="s">
        <v>78</v>
      </c>
    </row>
    <row r="3" spans="1:24" x14ac:dyDescent="0.25">
      <c r="B3" t="s">
        <v>42</v>
      </c>
      <c r="C3" t="s">
        <v>35</v>
      </c>
      <c r="I3" t="s">
        <v>42</v>
      </c>
      <c r="J3" t="s">
        <v>35</v>
      </c>
      <c r="K3" t="s">
        <v>47</v>
      </c>
      <c r="Q3" t="s">
        <v>79</v>
      </c>
      <c r="S3" t="s">
        <v>80</v>
      </c>
    </row>
    <row r="4" spans="1:24" ht="15.75" thickBot="1" x14ac:dyDescent="0.3">
      <c r="A4" t="str">
        <f>TEXT(B4,"0000.0")</f>
        <v>3155.0</v>
      </c>
      <c r="B4">
        <v>3155</v>
      </c>
      <c r="C4">
        <v>987.00843323850359</v>
      </c>
      <c r="I4" s="5" t="s">
        <v>57</v>
      </c>
      <c r="J4">
        <f>VLOOKUP(I4,$A$4:$C$104,3,0)</f>
        <v>987.32407428748729</v>
      </c>
      <c r="K4" t="s">
        <v>48</v>
      </c>
      <c r="M4" t="s">
        <v>116</v>
      </c>
      <c r="N4" s="14">
        <f>ABS(($J$6-$J$4)/$J$5)</f>
        <v>1.4413914851984448E-4</v>
      </c>
      <c r="Q4">
        <f>B4-$C$1</f>
        <v>-5.3299999999999272</v>
      </c>
      <c r="R4">
        <f>C4-'Parameter Page'!$B$18</f>
        <v>6.2274790132989892</v>
      </c>
    </row>
    <row r="5" spans="1:24" x14ac:dyDescent="0.25">
      <c r="A5" t="str">
        <f t="shared" ref="A5:A68" si="0">TEXT(B5,"0000.0")</f>
        <v>3155.1</v>
      </c>
      <c r="B5">
        <f>B4+0.1</f>
        <v>3155.1</v>
      </c>
      <c r="C5">
        <v>987.01251778430674</v>
      </c>
      <c r="D5" s="4">
        <f>(C5-C4)/(B5-B4)</f>
        <v>4.0845458031563656E-2</v>
      </c>
      <c r="I5" s="5" t="s">
        <v>55</v>
      </c>
      <c r="J5">
        <f t="shared" ref="J5:J6" si="1">VLOOKUP(I5,$A$4:$C$104,3,0)</f>
        <v>987.3987544371364</v>
      </c>
      <c r="K5" s="6">
        <f>(J5-J4)/J4</f>
        <v>7.563894327503898E-5</v>
      </c>
      <c r="M5" t="s">
        <v>117</v>
      </c>
      <c r="N5" s="15">
        <f>ABS(($I$6-$I$4)/$I$5)</f>
        <v>6.3285131158434321E-4</v>
      </c>
      <c r="Q5">
        <f t="shared" ref="Q5:Q68" si="2">B5-$C$1</f>
        <v>-5.2300000000000182</v>
      </c>
      <c r="R5">
        <f>C5-'Parameter Page'!$B$18</f>
        <v>6.2315635591021419</v>
      </c>
      <c r="S5" s="10" t="s">
        <v>81</v>
      </c>
      <c r="T5" s="10"/>
    </row>
    <row r="6" spans="1:24" x14ac:dyDescent="0.25">
      <c r="A6" t="str">
        <f t="shared" si="0"/>
        <v>3155.2</v>
      </c>
      <c r="B6">
        <f t="shared" ref="B6:B69" si="3">B5+0.1</f>
        <v>3155.2</v>
      </c>
      <c r="C6">
        <v>987.02638393901429</v>
      </c>
      <c r="D6" s="4">
        <f t="shared" ref="D6:D69" si="4">(C6-C5)/(B6-B5)</f>
        <v>0.13866154707569756</v>
      </c>
      <c r="I6" s="5" t="s">
        <v>56</v>
      </c>
      <c r="J6">
        <f t="shared" si="1"/>
        <v>987.46639710320142</v>
      </c>
      <c r="K6" s="6">
        <f>(J6-J5)/J5</f>
        <v>6.8505926061828711E-5</v>
      </c>
      <c r="M6" t="s">
        <v>118</v>
      </c>
      <c r="N6" s="15">
        <f>N4/(2*N5)</f>
        <v>0.11388073776681613</v>
      </c>
      <c r="Q6">
        <f t="shared" si="2"/>
        <v>-5.1300000000001091</v>
      </c>
      <c r="R6">
        <f>C6-'Parameter Page'!$B$18</f>
        <v>6.245429713809699</v>
      </c>
      <c r="S6" s="7" t="s">
        <v>82</v>
      </c>
      <c r="T6" s="7">
        <v>0.99524168626385634</v>
      </c>
    </row>
    <row r="7" spans="1:24" x14ac:dyDescent="0.25">
      <c r="A7" t="str">
        <f t="shared" si="0"/>
        <v>3155.3</v>
      </c>
      <c r="B7">
        <f t="shared" si="3"/>
        <v>3155.2999999999997</v>
      </c>
      <c r="C7">
        <v>987.03043589350887</v>
      </c>
      <c r="D7" s="4">
        <f t="shared" si="4"/>
        <v>4.0519544945746493E-2</v>
      </c>
      <c r="Q7">
        <f t="shared" si="2"/>
        <v>-5.0300000000002001</v>
      </c>
      <c r="R7">
        <f>C7-'Parameter Page'!$B$18</f>
        <v>6.24948166830427</v>
      </c>
      <c r="S7" s="7" t="s">
        <v>83</v>
      </c>
      <c r="T7" s="7">
        <v>0.9905060140773243</v>
      </c>
    </row>
    <row r="8" spans="1:24" x14ac:dyDescent="0.25">
      <c r="A8" t="str">
        <f t="shared" si="0"/>
        <v>3155.4</v>
      </c>
      <c r="B8">
        <f t="shared" si="3"/>
        <v>3155.3999999999996</v>
      </c>
      <c r="C8">
        <v>987.03343243250811</v>
      </c>
      <c r="D8" s="4">
        <f t="shared" si="4"/>
        <v>2.9965389992439636E-2</v>
      </c>
      <c r="Q8">
        <f t="shared" si="2"/>
        <v>-4.930000000000291</v>
      </c>
      <c r="R8">
        <f>C8-'Parameter Page'!$B$18</f>
        <v>6.2524782073035112</v>
      </c>
      <c r="S8" s="7" t="s">
        <v>84</v>
      </c>
      <c r="T8" s="7">
        <v>0.99041011522962052</v>
      </c>
    </row>
    <row r="9" spans="1:24" x14ac:dyDescent="0.25">
      <c r="A9" t="str">
        <f t="shared" si="0"/>
        <v>3155.5</v>
      </c>
      <c r="B9">
        <f t="shared" si="3"/>
        <v>3155.4999999999995</v>
      </c>
      <c r="C9">
        <v>987.03837709130619</v>
      </c>
      <c r="D9" s="4">
        <f t="shared" si="4"/>
        <v>4.9446587980855335E-2</v>
      </c>
      <c r="Q9">
        <f t="shared" si="2"/>
        <v>-4.830000000000382</v>
      </c>
      <c r="R9">
        <f>C9-'Parameter Page'!$B$18</f>
        <v>6.2574228661015923</v>
      </c>
      <c r="S9" s="7" t="s">
        <v>85</v>
      </c>
      <c r="T9" s="7">
        <v>1.9703500996910449E-2</v>
      </c>
    </row>
    <row r="10" spans="1:24" ht="15.75" thickBot="1" x14ac:dyDescent="0.3">
      <c r="A10" t="str">
        <f t="shared" si="0"/>
        <v>3155.6</v>
      </c>
      <c r="B10">
        <f t="shared" si="3"/>
        <v>3155.5999999999995</v>
      </c>
      <c r="C10">
        <v>987.04815009572485</v>
      </c>
      <c r="D10" s="4">
        <f t="shared" si="4"/>
        <v>9.7730044186708012E-2</v>
      </c>
      <c r="Q10">
        <f t="shared" si="2"/>
        <v>-4.7300000000004729</v>
      </c>
      <c r="R10">
        <f>C10-'Parameter Page'!$B$18</f>
        <v>6.2671958705202542</v>
      </c>
      <c r="S10" s="8" t="s">
        <v>86</v>
      </c>
      <c r="T10" s="8">
        <v>101</v>
      </c>
    </row>
    <row r="11" spans="1:24" x14ac:dyDescent="0.25">
      <c r="A11" t="str">
        <f t="shared" si="0"/>
        <v>3155.7</v>
      </c>
      <c r="B11">
        <f t="shared" si="3"/>
        <v>3155.6999999999994</v>
      </c>
      <c r="C11">
        <v>987.05414849280487</v>
      </c>
      <c r="D11" s="4">
        <f t="shared" si="4"/>
        <v>5.9983970800258232E-2</v>
      </c>
      <c r="Q11">
        <f t="shared" si="2"/>
        <v>-4.6300000000005639</v>
      </c>
      <c r="R11">
        <f>C11-'Parameter Page'!$B$18</f>
        <v>6.2731942676002745</v>
      </c>
    </row>
    <row r="12" spans="1:24" ht="15.75" thickBot="1" x14ac:dyDescent="0.3">
      <c r="A12" t="str">
        <f t="shared" si="0"/>
        <v>3155.8</v>
      </c>
      <c r="B12">
        <f t="shared" si="3"/>
        <v>3155.7999999999993</v>
      </c>
      <c r="C12">
        <v>987.0643391960557</v>
      </c>
      <c r="D12" s="4">
        <f t="shared" si="4"/>
        <v>0.10190703250837206</v>
      </c>
      <c r="Q12">
        <f t="shared" si="2"/>
        <v>-4.5300000000006548</v>
      </c>
      <c r="R12">
        <f>C12-'Parameter Page'!$B$18</f>
        <v>6.2833849708511025</v>
      </c>
      <c r="S12" t="s">
        <v>87</v>
      </c>
    </row>
    <row r="13" spans="1:24" x14ac:dyDescent="0.25">
      <c r="A13" t="str">
        <f t="shared" si="0"/>
        <v>3155.9</v>
      </c>
      <c r="B13">
        <f t="shared" si="3"/>
        <v>3155.8999999999992</v>
      </c>
      <c r="C13">
        <v>987.07083788257626</v>
      </c>
      <c r="D13" s="4">
        <f t="shared" si="4"/>
        <v>6.498686520564205E-2</v>
      </c>
      <c r="Q13">
        <f t="shared" si="2"/>
        <v>-4.4300000000007458</v>
      </c>
      <c r="R13">
        <f>C13-'Parameter Page'!$B$18</f>
        <v>6.2898836573716608</v>
      </c>
      <c r="S13" s="9"/>
      <c r="T13" s="9" t="s">
        <v>92</v>
      </c>
      <c r="U13" s="9" t="s">
        <v>93</v>
      </c>
      <c r="V13" s="9" t="s">
        <v>94</v>
      </c>
      <c r="W13" s="9" t="s">
        <v>95</v>
      </c>
      <c r="X13" s="9" t="s">
        <v>96</v>
      </c>
    </row>
    <row r="14" spans="1:24" x14ac:dyDescent="0.25">
      <c r="A14" t="str">
        <f t="shared" si="0"/>
        <v>3156.0</v>
      </c>
      <c r="B14">
        <f t="shared" si="3"/>
        <v>3155.9999999999991</v>
      </c>
      <c r="C14">
        <v>987.07623893515392</v>
      </c>
      <c r="D14" s="4">
        <f t="shared" si="4"/>
        <v>5.4010525776724543E-2</v>
      </c>
      <c r="Q14">
        <f t="shared" si="2"/>
        <v>-4.3300000000008367</v>
      </c>
      <c r="R14">
        <f>C14-'Parameter Page'!$B$18</f>
        <v>6.2952847099493283</v>
      </c>
      <c r="S14" s="7" t="s">
        <v>88</v>
      </c>
      <c r="T14" s="7">
        <v>1</v>
      </c>
      <c r="U14" s="7">
        <v>4.0098721729830284</v>
      </c>
      <c r="V14" s="7">
        <v>4.0098721729830284</v>
      </c>
      <c r="W14" s="7">
        <v>10328.653970240812</v>
      </c>
      <c r="X14" s="7">
        <v>6.148382750720518E-102</v>
      </c>
    </row>
    <row r="15" spans="1:24" x14ac:dyDescent="0.25">
      <c r="A15" t="str">
        <f t="shared" si="0"/>
        <v>3156.1</v>
      </c>
      <c r="B15">
        <f t="shared" si="3"/>
        <v>3156.099999999999</v>
      </c>
      <c r="C15">
        <v>987.08409447540703</v>
      </c>
      <c r="D15" s="4">
        <f t="shared" si="4"/>
        <v>7.8555402531108987E-2</v>
      </c>
      <c r="Q15">
        <f t="shared" si="2"/>
        <v>-4.2300000000009277</v>
      </c>
      <c r="R15">
        <f>C15-'Parameter Page'!$B$18</f>
        <v>6.3031402502024321</v>
      </c>
      <c r="S15" s="7" t="s">
        <v>89</v>
      </c>
      <c r="T15" s="7">
        <v>99</v>
      </c>
      <c r="U15" s="7">
        <v>3.8434567201989858E-2</v>
      </c>
      <c r="V15" s="7">
        <v>3.8822795153525109E-4</v>
      </c>
      <c r="W15" s="7"/>
      <c r="X15" s="7"/>
    </row>
    <row r="16" spans="1:24" ht="15.75" thickBot="1" x14ac:dyDescent="0.3">
      <c r="A16" t="str">
        <f t="shared" si="0"/>
        <v>3156.2</v>
      </c>
      <c r="B16">
        <f t="shared" si="3"/>
        <v>3156.1999999999989</v>
      </c>
      <c r="C16">
        <v>987.08604434627466</v>
      </c>
      <c r="D16" s="4">
        <f t="shared" si="4"/>
        <v>1.9498708676355361E-2</v>
      </c>
      <c r="Q16">
        <f t="shared" si="2"/>
        <v>-4.1300000000010186</v>
      </c>
      <c r="R16">
        <f>C16-'Parameter Page'!$B$18</f>
        <v>6.3050901210700658</v>
      </c>
      <c r="S16" s="8" t="s">
        <v>90</v>
      </c>
      <c r="T16" s="8">
        <v>100</v>
      </c>
      <c r="U16" s="8">
        <v>4.0483067401850183</v>
      </c>
      <c r="V16" s="8"/>
      <c r="W16" s="8"/>
      <c r="X16" s="8"/>
    </row>
    <row r="17" spans="1:27" ht="15.75" thickBot="1" x14ac:dyDescent="0.3">
      <c r="A17" t="str">
        <f t="shared" si="0"/>
        <v>3156.3</v>
      </c>
      <c r="B17">
        <f t="shared" si="3"/>
        <v>3156.2999999999988</v>
      </c>
      <c r="C17">
        <v>987.08853408467417</v>
      </c>
      <c r="D17" s="4">
        <f t="shared" si="4"/>
        <v>2.4897383995062135E-2</v>
      </c>
      <c r="Q17">
        <f t="shared" si="2"/>
        <v>-4.0300000000011096</v>
      </c>
      <c r="R17">
        <f>C17-'Parameter Page'!$B$18</f>
        <v>6.3075798594695698</v>
      </c>
    </row>
    <row r="18" spans="1:27" x14ac:dyDescent="0.25">
      <c r="A18" t="str">
        <f t="shared" si="0"/>
        <v>3156.4</v>
      </c>
      <c r="B18">
        <f t="shared" si="3"/>
        <v>3156.3999999999987</v>
      </c>
      <c r="C18">
        <v>987.09513508894292</v>
      </c>
      <c r="D18" s="4">
        <f t="shared" si="4"/>
        <v>6.6010042687654286E-2</v>
      </c>
      <c r="Q18">
        <f t="shared" si="2"/>
        <v>-3.9300000000012005</v>
      </c>
      <c r="R18">
        <f>C18-'Parameter Page'!$B$18</f>
        <v>6.3141808637383292</v>
      </c>
      <c r="S18" s="9"/>
      <c r="T18" s="9" t="s">
        <v>97</v>
      </c>
      <c r="U18" s="9" t="s">
        <v>85</v>
      </c>
      <c r="V18" s="9" t="s">
        <v>98</v>
      </c>
      <c r="W18" s="9" t="s">
        <v>99</v>
      </c>
      <c r="X18" s="9" t="s">
        <v>100</v>
      </c>
      <c r="Y18" s="9" t="s">
        <v>101</v>
      </c>
      <c r="Z18" s="9" t="s">
        <v>102</v>
      </c>
      <c r="AA18" s="9" t="s">
        <v>103</v>
      </c>
    </row>
    <row r="19" spans="1:27" x14ac:dyDescent="0.25">
      <c r="A19" t="str">
        <f t="shared" si="0"/>
        <v>3156.5</v>
      </c>
      <c r="B19">
        <f t="shared" si="3"/>
        <v>3156.4999999999986</v>
      </c>
      <c r="C19">
        <v>987.09699796207747</v>
      </c>
      <c r="D19" s="4">
        <f t="shared" si="4"/>
        <v>1.8628731345432813E-2</v>
      </c>
      <c r="Q19">
        <f t="shared" si="2"/>
        <v>-3.8300000000012915</v>
      </c>
      <c r="R19">
        <f>C19-'Parameter Page'!$B$18</f>
        <v>6.3160437368728708</v>
      </c>
      <c r="S19" s="7" t="s">
        <v>91</v>
      </c>
      <c r="T19" s="7">
        <v>6.5976793160898159</v>
      </c>
      <c r="U19" s="7">
        <v>1.9730908474031431E-3</v>
      </c>
      <c r="V19" s="7">
        <v>3343.8294667340142</v>
      </c>
      <c r="W19" s="7">
        <v>6.1180288076494267E-252</v>
      </c>
      <c r="X19" s="7">
        <v>6.5937642757833785</v>
      </c>
      <c r="Y19" s="7">
        <v>6.6015943563962534</v>
      </c>
      <c r="Z19" s="7">
        <v>6.5937642757833785</v>
      </c>
      <c r="AA19" s="7">
        <v>6.6015943563962534</v>
      </c>
    </row>
    <row r="20" spans="1:27" ht="15.75" thickBot="1" x14ac:dyDescent="0.3">
      <c r="A20" t="str">
        <f t="shared" si="0"/>
        <v>3156.6</v>
      </c>
      <c r="B20">
        <f t="shared" si="3"/>
        <v>3156.5999999999985</v>
      </c>
      <c r="C20">
        <v>987.09837339263481</v>
      </c>
      <c r="D20" s="4">
        <f t="shared" si="4"/>
        <v>1.3754305573469313E-2</v>
      </c>
      <c r="Q20">
        <f t="shared" si="2"/>
        <v>-3.7300000000013824</v>
      </c>
      <c r="R20">
        <f>C20-'Parameter Page'!$B$18</f>
        <v>6.3174191674302165</v>
      </c>
      <c r="S20" s="8" t="s">
        <v>104</v>
      </c>
      <c r="T20" s="8">
        <v>6.8343169272750443E-2</v>
      </c>
      <c r="U20" s="8">
        <v>6.724705201775113E-4</v>
      </c>
      <c r="V20" s="8">
        <v>101.62998558614878</v>
      </c>
      <c r="W20" s="8">
        <v>6.148382750720518E-102</v>
      </c>
      <c r="X20" s="8">
        <v>6.7008841867172084E-2</v>
      </c>
      <c r="Y20" s="8">
        <v>6.9677496678328801E-2</v>
      </c>
      <c r="Z20" s="8">
        <v>6.7008841867172084E-2</v>
      </c>
      <c r="AA20" s="8">
        <v>6.9677496678328801E-2</v>
      </c>
    </row>
    <row r="21" spans="1:27" x14ac:dyDescent="0.25">
      <c r="A21" t="str">
        <f t="shared" si="0"/>
        <v>3156.7</v>
      </c>
      <c r="B21">
        <f t="shared" si="3"/>
        <v>3156.6999999999985</v>
      </c>
      <c r="C21">
        <v>987.1024484712276</v>
      </c>
      <c r="D21" s="4">
        <f t="shared" si="4"/>
        <v>4.0750785927949208E-2</v>
      </c>
      <c r="Q21">
        <f t="shared" si="2"/>
        <v>-3.6300000000014734</v>
      </c>
      <c r="R21">
        <f>C21-'Parameter Page'!$B$18</f>
        <v>6.3214942460230077</v>
      </c>
    </row>
    <row r="22" spans="1:27" x14ac:dyDescent="0.25">
      <c r="A22" t="str">
        <f t="shared" si="0"/>
        <v>3156.8</v>
      </c>
      <c r="B22">
        <f t="shared" si="3"/>
        <v>3156.7999999999984</v>
      </c>
      <c r="C22">
        <v>987.10922408093688</v>
      </c>
      <c r="D22" s="4">
        <f t="shared" si="4"/>
        <v>6.775609709285868E-2</v>
      </c>
      <c r="Q22">
        <f t="shared" si="2"/>
        <v>-3.5300000000015643</v>
      </c>
      <c r="R22">
        <f>C22-'Parameter Page'!$B$18</f>
        <v>6.3282698557322874</v>
      </c>
    </row>
    <row r="23" spans="1:27" x14ac:dyDescent="0.25">
      <c r="A23" t="str">
        <f t="shared" si="0"/>
        <v>3156.9</v>
      </c>
      <c r="B23">
        <f t="shared" si="3"/>
        <v>3156.8999999999983</v>
      </c>
      <c r="C23">
        <v>987.11328367737087</v>
      </c>
      <c r="D23" s="4">
        <f t="shared" si="4"/>
        <v>4.0595964339937014E-2</v>
      </c>
      <c r="Q23">
        <f t="shared" si="2"/>
        <v>-3.4300000000016553</v>
      </c>
      <c r="R23">
        <f>C23-'Parameter Page'!$B$18</f>
        <v>6.3323294521662774</v>
      </c>
    </row>
    <row r="24" spans="1:27" x14ac:dyDescent="0.25">
      <c r="A24" t="str">
        <f t="shared" si="0"/>
        <v>3157.0</v>
      </c>
      <c r="B24">
        <f t="shared" si="3"/>
        <v>3156.9999999999982</v>
      </c>
      <c r="C24">
        <v>987.11619813216612</v>
      </c>
      <c r="D24" s="4">
        <f t="shared" si="4"/>
        <v>2.9144547952481975E-2</v>
      </c>
      <c r="Q24">
        <f t="shared" si="2"/>
        <v>-3.3300000000017462</v>
      </c>
      <c r="R24">
        <f>C24-'Parameter Page'!$B$18</f>
        <v>6.335243906961523</v>
      </c>
      <c r="S24" t="s">
        <v>105</v>
      </c>
      <c r="W24" t="s">
        <v>109</v>
      </c>
    </row>
    <row r="25" spans="1:27" ht="15.75" thickBot="1" x14ac:dyDescent="0.3">
      <c r="A25" t="str">
        <f t="shared" si="0"/>
        <v>3157.1</v>
      </c>
      <c r="B25">
        <f t="shared" si="3"/>
        <v>3157.0999999999981</v>
      </c>
      <c r="C25">
        <v>987.12279406448226</v>
      </c>
      <c r="D25" s="4">
        <f t="shared" si="4"/>
        <v>6.5959323161510805E-2</v>
      </c>
      <c r="Q25">
        <f t="shared" si="2"/>
        <v>-3.2300000000018372</v>
      </c>
      <c r="R25">
        <f>C25-'Parameter Page'!$B$18</f>
        <v>6.341839839277668</v>
      </c>
    </row>
    <row r="26" spans="1:27" x14ac:dyDescent="0.25">
      <c r="A26" t="str">
        <f t="shared" si="0"/>
        <v>3157.2</v>
      </c>
      <c r="B26">
        <f t="shared" si="3"/>
        <v>3157.199999999998</v>
      </c>
      <c r="C26">
        <v>987.12418590637674</v>
      </c>
      <c r="D26" s="4">
        <f t="shared" si="4"/>
        <v>1.391841894475321E-2</v>
      </c>
      <c r="Q26">
        <f t="shared" si="2"/>
        <v>-3.1300000000019281</v>
      </c>
      <c r="R26">
        <f>C26-'Parameter Page'!$B$18</f>
        <v>6.3432316811721421</v>
      </c>
      <c r="S26" s="9" t="s">
        <v>106</v>
      </c>
      <c r="T26" s="9" t="s">
        <v>107</v>
      </c>
      <c r="U26" s="9" t="s">
        <v>108</v>
      </c>
      <c r="W26" s="9" t="s">
        <v>110</v>
      </c>
      <c r="X26" s="9" t="s">
        <v>111</v>
      </c>
    </row>
    <row r="27" spans="1:27" x14ac:dyDescent="0.25">
      <c r="A27" t="str">
        <f t="shared" si="0"/>
        <v>3157.3</v>
      </c>
      <c r="B27">
        <f t="shared" si="3"/>
        <v>3157.2999999999979</v>
      </c>
      <c r="C27">
        <v>987.17853476712116</v>
      </c>
      <c r="D27" s="4">
        <f t="shared" si="4"/>
        <v>0.54348860744475447</v>
      </c>
      <c r="Q27">
        <f t="shared" si="2"/>
        <v>-3.0300000000020191</v>
      </c>
      <c r="R27">
        <f>C27-'Parameter Page'!$B$18</f>
        <v>6.3975805419165681</v>
      </c>
      <c r="S27" s="7">
        <v>1</v>
      </c>
      <c r="T27" s="7">
        <v>6.2334102238660609</v>
      </c>
      <c r="U27" s="7">
        <v>-5.9312105670716875E-3</v>
      </c>
      <c r="W27" s="7">
        <v>0.49504950495049505</v>
      </c>
      <c r="X27" s="7">
        <v>6.2274790132989892</v>
      </c>
    </row>
    <row r="28" spans="1:27" x14ac:dyDescent="0.25">
      <c r="A28" t="str">
        <f t="shared" si="0"/>
        <v>3157.4</v>
      </c>
      <c r="B28">
        <f t="shared" si="3"/>
        <v>3157.3999999999978</v>
      </c>
      <c r="C28">
        <v>987.18148386341636</v>
      </c>
      <c r="D28" s="4">
        <f t="shared" si="4"/>
        <v>2.9490962951994781E-2</v>
      </c>
      <c r="Q28">
        <f t="shared" si="2"/>
        <v>-2.93000000000211</v>
      </c>
      <c r="R28">
        <f>C28-'Parameter Page'!$B$18</f>
        <v>6.4005296382117649</v>
      </c>
      <c r="S28" s="7">
        <v>2</v>
      </c>
      <c r="T28" s="7">
        <v>6.2402445407933298</v>
      </c>
      <c r="U28" s="7">
        <v>-8.6809816911879167E-3</v>
      </c>
      <c r="W28" s="7">
        <v>1.4851485148514851</v>
      </c>
      <c r="X28" s="7">
        <v>6.2315635591021419</v>
      </c>
    </row>
    <row r="29" spans="1:27" x14ac:dyDescent="0.25">
      <c r="A29" t="str">
        <f t="shared" si="0"/>
        <v>3157.5</v>
      </c>
      <c r="B29">
        <f t="shared" si="3"/>
        <v>3157.4999999999977</v>
      </c>
      <c r="C29">
        <v>987.18500760977713</v>
      </c>
      <c r="D29" s="4">
        <f t="shared" si="4"/>
        <v>3.5237463607732243E-2</v>
      </c>
      <c r="Q29">
        <f t="shared" si="2"/>
        <v>-2.830000000002201</v>
      </c>
      <c r="R29">
        <f>C29-'Parameter Page'!$B$18</f>
        <v>6.4040533845725349</v>
      </c>
      <c r="S29" s="7">
        <v>3</v>
      </c>
      <c r="T29" s="7">
        <v>6.2470788577205987</v>
      </c>
      <c r="U29" s="7">
        <v>-1.6491439108996531E-3</v>
      </c>
      <c r="W29" s="7">
        <v>2.4752475247524752</v>
      </c>
      <c r="X29" s="7">
        <v>6.245429713809699</v>
      </c>
    </row>
    <row r="30" spans="1:27" x14ac:dyDescent="0.25">
      <c r="A30" t="str">
        <f t="shared" si="0"/>
        <v>3157.6</v>
      </c>
      <c r="B30">
        <f t="shared" si="3"/>
        <v>3157.5999999999976</v>
      </c>
      <c r="C30">
        <v>987.18909658484552</v>
      </c>
      <c r="D30" s="4">
        <f t="shared" si="4"/>
        <v>4.0889750683882897E-2</v>
      </c>
      <c r="Q30">
        <f t="shared" si="2"/>
        <v>-2.7300000000022919</v>
      </c>
      <c r="R30">
        <f>C30-'Parameter Page'!$B$18</f>
        <v>6.4081423596409195</v>
      </c>
      <c r="S30" s="7">
        <v>4</v>
      </c>
      <c r="T30" s="7">
        <v>6.2539131746478676</v>
      </c>
      <c r="U30" s="7">
        <v>-4.4315063435975688E-3</v>
      </c>
      <c r="W30" s="7">
        <v>3.4653465346534653</v>
      </c>
      <c r="X30" s="7">
        <v>6.24948166830427</v>
      </c>
    </row>
    <row r="31" spans="1:27" x14ac:dyDescent="0.25">
      <c r="A31" t="str">
        <f t="shared" si="0"/>
        <v>3157.7</v>
      </c>
      <c r="B31">
        <f t="shared" si="3"/>
        <v>3157.6999999999975</v>
      </c>
      <c r="C31">
        <v>987.19906318376638</v>
      </c>
      <c r="D31" s="4">
        <f t="shared" si="4"/>
        <v>9.9665989208778838E-2</v>
      </c>
      <c r="Q31">
        <f t="shared" si="2"/>
        <v>-2.6300000000023829</v>
      </c>
      <c r="R31">
        <f>C31-'Parameter Page'!$B$18</f>
        <v>6.4181089585617883</v>
      </c>
      <c r="S31" s="7">
        <v>5</v>
      </c>
      <c r="T31" s="7">
        <v>6.2607474915751364</v>
      </c>
      <c r="U31" s="7">
        <v>-8.2692842716252102E-3</v>
      </c>
      <c r="W31" s="7">
        <v>4.4554455445544559</v>
      </c>
      <c r="X31" s="7">
        <v>6.2524782073035112</v>
      </c>
    </row>
    <row r="32" spans="1:27" x14ac:dyDescent="0.25">
      <c r="A32" t="str">
        <f t="shared" si="0"/>
        <v>3157.8</v>
      </c>
      <c r="B32">
        <f t="shared" si="3"/>
        <v>3157.7999999999975</v>
      </c>
      <c r="C32">
        <v>987.20308770705162</v>
      </c>
      <c r="D32" s="4">
        <f t="shared" si="4"/>
        <v>4.0245232852421618E-2</v>
      </c>
      <c r="Q32">
        <f t="shared" si="2"/>
        <v>-2.5300000000024738</v>
      </c>
      <c r="R32">
        <f>C32-'Parameter Page'!$B$18</f>
        <v>6.4221334818470268</v>
      </c>
      <c r="S32" s="7">
        <v>6</v>
      </c>
      <c r="T32" s="7">
        <v>6.2675818085024053</v>
      </c>
      <c r="U32" s="7">
        <v>-1.0158942400813054E-2</v>
      </c>
      <c r="W32" s="7">
        <v>5.4455445544554451</v>
      </c>
      <c r="X32" s="7">
        <v>6.2574228661015923</v>
      </c>
    </row>
    <row r="33" spans="1:24" x14ac:dyDescent="0.25">
      <c r="A33" t="str">
        <f t="shared" si="0"/>
        <v>3157.9</v>
      </c>
      <c r="B33">
        <f t="shared" si="3"/>
        <v>3157.8999999999974</v>
      </c>
      <c r="C33">
        <v>987.2078295021123</v>
      </c>
      <c r="D33" s="4">
        <f t="shared" si="4"/>
        <v>4.74179506068571E-2</v>
      </c>
      <c r="Q33">
        <f t="shared" si="2"/>
        <v>-2.4300000000025648</v>
      </c>
      <c r="R33">
        <f>C33-'Parameter Page'!$B$18</f>
        <v>6.4268752769077082</v>
      </c>
      <c r="S33" s="7">
        <v>7</v>
      </c>
      <c r="T33" s="7">
        <v>6.2744161254296742</v>
      </c>
      <c r="U33" s="7">
        <v>-7.2202549094200208E-3</v>
      </c>
      <c r="W33" s="7">
        <v>6.435643564356436</v>
      </c>
      <c r="X33" s="7">
        <v>6.2671958705202542</v>
      </c>
    </row>
    <row r="34" spans="1:24" x14ac:dyDescent="0.25">
      <c r="A34" t="str">
        <f t="shared" si="0"/>
        <v>3158.0</v>
      </c>
      <c r="B34">
        <f t="shared" si="3"/>
        <v>3157.9999999999973</v>
      </c>
      <c r="C34">
        <v>987.20922482400601</v>
      </c>
      <c r="D34" s="4">
        <f t="shared" si="4"/>
        <v>1.3953218937116575E-2</v>
      </c>
      <c r="Q34">
        <f t="shared" si="2"/>
        <v>-2.3300000000026557</v>
      </c>
      <c r="R34">
        <f>C34-'Parameter Page'!$B$18</f>
        <v>6.4282705988014186</v>
      </c>
      <c r="S34" s="7">
        <v>8</v>
      </c>
      <c r="T34" s="7">
        <v>6.2812504423569431</v>
      </c>
      <c r="U34" s="7">
        <v>-8.0561747566685327E-3</v>
      </c>
      <c r="W34" s="7">
        <v>7.4257425742574252</v>
      </c>
      <c r="X34" s="7">
        <v>6.2731942676002745</v>
      </c>
    </row>
    <row r="35" spans="1:24" x14ac:dyDescent="0.25">
      <c r="A35" t="str">
        <f t="shared" si="0"/>
        <v>3158.1</v>
      </c>
      <c r="B35">
        <f t="shared" si="3"/>
        <v>3158.0999999999972</v>
      </c>
      <c r="C35">
        <v>987.21705136170124</v>
      </c>
      <c r="D35" s="4">
        <f t="shared" si="4"/>
        <v>7.8265376952302415E-2</v>
      </c>
      <c r="Q35">
        <f t="shared" si="2"/>
        <v>-2.2300000000027467</v>
      </c>
      <c r="R35">
        <f>C35-'Parameter Page'!$B$18</f>
        <v>6.4360971364966417</v>
      </c>
      <c r="S35" s="7">
        <v>9</v>
      </c>
      <c r="T35" s="7">
        <v>6.288084759284212</v>
      </c>
      <c r="U35" s="7">
        <v>-4.6997884331094752E-3</v>
      </c>
      <c r="W35" s="7">
        <v>8.4158415841584162</v>
      </c>
      <c r="X35" s="7">
        <v>6.2833849708511025</v>
      </c>
    </row>
    <row r="36" spans="1:24" x14ac:dyDescent="0.25">
      <c r="A36" t="str">
        <f t="shared" si="0"/>
        <v>3158.2</v>
      </c>
      <c r="B36">
        <f t="shared" si="3"/>
        <v>3158.1999999999971</v>
      </c>
      <c r="C36">
        <v>987.22295430537247</v>
      </c>
      <c r="D36" s="4">
        <f t="shared" si="4"/>
        <v>5.9029436712361556E-2</v>
      </c>
      <c r="Q36">
        <f t="shared" si="2"/>
        <v>-2.1300000000028376</v>
      </c>
      <c r="R36">
        <f>C36-'Parameter Page'!$B$18</f>
        <v>6.4420000801678725</v>
      </c>
      <c r="S36" s="7">
        <v>10</v>
      </c>
      <c r="T36" s="7">
        <v>6.2949190762114808</v>
      </c>
      <c r="U36" s="7">
        <v>-5.0354188398200606E-3</v>
      </c>
      <c r="W36" s="7">
        <v>9.4059405940594072</v>
      </c>
      <c r="X36" s="7">
        <v>6.2898836573716608</v>
      </c>
    </row>
    <row r="37" spans="1:24" x14ac:dyDescent="0.25">
      <c r="A37" t="str">
        <f t="shared" si="0"/>
        <v>3158.3</v>
      </c>
      <c r="B37">
        <f t="shared" si="3"/>
        <v>3158.299999999997</v>
      </c>
      <c r="C37">
        <v>987.23069013181066</v>
      </c>
      <c r="D37" s="4">
        <f t="shared" si="4"/>
        <v>7.7358264381998526E-2</v>
      </c>
      <c r="Q37">
        <f t="shared" si="2"/>
        <v>-2.0300000000029286</v>
      </c>
      <c r="R37">
        <f>C37-'Parameter Page'!$B$18</f>
        <v>6.4497359066060653</v>
      </c>
      <c r="S37" s="7">
        <v>11</v>
      </c>
      <c r="T37" s="7">
        <v>6.3017533931387497</v>
      </c>
      <c r="U37" s="7">
        <v>-6.4686831894213981E-3</v>
      </c>
      <c r="W37" s="7">
        <v>10.396039603960396</v>
      </c>
      <c r="X37" s="7">
        <v>6.2952847099493283</v>
      </c>
    </row>
    <row r="38" spans="1:24" x14ac:dyDescent="0.25">
      <c r="A38" t="str">
        <f t="shared" si="0"/>
        <v>3158.4</v>
      </c>
      <c r="B38">
        <f t="shared" si="3"/>
        <v>3158.3999999999969</v>
      </c>
      <c r="C38">
        <v>987.23471483720346</v>
      </c>
      <c r="D38" s="4">
        <f t="shared" si="4"/>
        <v>4.0247053927978636E-2</v>
      </c>
      <c r="Q38">
        <f t="shared" si="2"/>
        <v>-1.9300000000030195</v>
      </c>
      <c r="R38">
        <f>C38-'Parameter Page'!$B$18</f>
        <v>6.4537606119988595</v>
      </c>
      <c r="S38" s="7">
        <v>12</v>
      </c>
      <c r="T38" s="7">
        <v>6.3085877100660177</v>
      </c>
      <c r="U38" s="7">
        <v>-5.4474598635856353E-3</v>
      </c>
      <c r="W38" s="7">
        <v>11.386138613861386</v>
      </c>
      <c r="X38" s="7">
        <v>6.3031402502024321</v>
      </c>
    </row>
    <row r="39" spans="1:24" x14ac:dyDescent="0.25">
      <c r="A39" t="str">
        <f t="shared" si="0"/>
        <v>3158.5</v>
      </c>
      <c r="B39">
        <f t="shared" si="3"/>
        <v>3158.4999999999968</v>
      </c>
      <c r="C39">
        <v>987.25266336787172</v>
      </c>
      <c r="D39" s="4">
        <f t="shared" si="4"/>
        <v>0.17948530668279952</v>
      </c>
      <c r="Q39">
        <f t="shared" si="2"/>
        <v>-1.8300000000031105</v>
      </c>
      <c r="R39">
        <f>C39-'Parameter Page'!$B$18</f>
        <v>6.4717091426671232</v>
      </c>
      <c r="S39" s="7">
        <v>13</v>
      </c>
      <c r="T39" s="7">
        <v>6.3154220269932875</v>
      </c>
      <c r="U39" s="7">
        <v>-1.033190592322164E-2</v>
      </c>
      <c r="W39" s="7">
        <v>12.376237623762377</v>
      </c>
      <c r="X39" s="7">
        <v>6.3050901210700658</v>
      </c>
    </row>
    <row r="40" spans="1:24" x14ac:dyDescent="0.25">
      <c r="A40" t="str">
        <f t="shared" si="0"/>
        <v>3158.6</v>
      </c>
      <c r="B40">
        <f t="shared" si="3"/>
        <v>3158.5999999999967</v>
      </c>
      <c r="C40">
        <v>987.2696440082658</v>
      </c>
      <c r="D40" s="4">
        <f t="shared" si="4"/>
        <v>0.16980640394096536</v>
      </c>
      <c r="Q40">
        <f t="shared" si="2"/>
        <v>-1.7300000000032014</v>
      </c>
      <c r="R40">
        <f>C40-'Parameter Page'!$B$18</f>
        <v>6.4886897830612043</v>
      </c>
      <c r="S40" s="7">
        <v>14</v>
      </c>
      <c r="T40" s="7">
        <v>6.3222563439205555</v>
      </c>
      <c r="U40" s="7">
        <v>-1.4676484450985683E-2</v>
      </c>
      <c r="W40" s="7">
        <v>13.366336633663368</v>
      </c>
      <c r="X40" s="7">
        <v>6.3075798594695698</v>
      </c>
    </row>
    <row r="41" spans="1:24" x14ac:dyDescent="0.25">
      <c r="A41" t="str">
        <f t="shared" si="0"/>
        <v>3158.7</v>
      </c>
      <c r="B41">
        <f t="shared" si="3"/>
        <v>3158.6999999999966</v>
      </c>
      <c r="C41">
        <v>987.29387996756509</v>
      </c>
      <c r="D41" s="4">
        <f t="shared" si="4"/>
        <v>0.24235959299311832</v>
      </c>
      <c r="Q41">
        <f t="shared" si="2"/>
        <v>-1.6300000000032924</v>
      </c>
      <c r="R41">
        <f>C41-'Parameter Page'!$B$18</f>
        <v>6.512925742360494</v>
      </c>
      <c r="S41" s="7">
        <v>15</v>
      </c>
      <c r="T41" s="7">
        <v>6.3290906608478243</v>
      </c>
      <c r="U41" s="7">
        <v>-1.4909797109495138E-2</v>
      </c>
      <c r="W41" s="7">
        <v>14.356435643564357</v>
      </c>
      <c r="X41" s="7">
        <v>6.3141808637383292</v>
      </c>
    </row>
    <row r="42" spans="1:24" x14ac:dyDescent="0.25">
      <c r="A42" t="str">
        <f t="shared" si="0"/>
        <v>3158.8</v>
      </c>
      <c r="B42">
        <f t="shared" si="3"/>
        <v>3158.7999999999965</v>
      </c>
      <c r="C42">
        <v>987.29788238926903</v>
      </c>
      <c r="D42" s="4">
        <f t="shared" si="4"/>
        <v>4.0024217039481322E-2</v>
      </c>
      <c r="Q42">
        <f t="shared" si="2"/>
        <v>-1.5300000000033833</v>
      </c>
      <c r="R42">
        <f>C42-'Parameter Page'!$B$18</f>
        <v>6.5169281640644385</v>
      </c>
      <c r="S42" s="7">
        <v>16</v>
      </c>
      <c r="T42" s="7">
        <v>6.3359249777750932</v>
      </c>
      <c r="U42" s="7">
        <v>-1.988124090222243E-2</v>
      </c>
      <c r="W42" s="7">
        <v>15.346534653465346</v>
      </c>
      <c r="X42" s="7">
        <v>6.3160437368728708</v>
      </c>
    </row>
    <row r="43" spans="1:24" x14ac:dyDescent="0.25">
      <c r="A43" t="str">
        <f t="shared" si="0"/>
        <v>3158.9</v>
      </c>
      <c r="B43">
        <f t="shared" si="3"/>
        <v>3158.8999999999965</v>
      </c>
      <c r="C43">
        <v>987.30189401584425</v>
      </c>
      <c r="D43" s="4">
        <f t="shared" si="4"/>
        <v>4.0116265752240102E-2</v>
      </c>
      <c r="Q43">
        <f t="shared" si="2"/>
        <v>-1.4300000000034743</v>
      </c>
      <c r="R43">
        <f>C43-'Parameter Page'!$B$18</f>
        <v>6.5209397906396589</v>
      </c>
      <c r="S43" s="7">
        <v>17</v>
      </c>
      <c r="T43" s="7">
        <v>6.3427592947023621</v>
      </c>
      <c r="U43" s="7">
        <v>-2.5340127272145629E-2</v>
      </c>
      <c r="W43" s="7">
        <v>16.336633663366335</v>
      </c>
      <c r="X43" s="7">
        <v>6.3174191674302165</v>
      </c>
    </row>
    <row r="44" spans="1:24" x14ac:dyDescent="0.25">
      <c r="A44" t="str">
        <f t="shared" si="0"/>
        <v>3159.0</v>
      </c>
      <c r="B44">
        <f t="shared" si="3"/>
        <v>3158.9999999999964</v>
      </c>
      <c r="C44">
        <v>987.30434900113255</v>
      </c>
      <c r="D44" s="4">
        <f t="shared" si="4"/>
        <v>2.4549852882978077E-2</v>
      </c>
      <c r="Q44">
        <f t="shared" si="2"/>
        <v>-1.3300000000035652</v>
      </c>
      <c r="R44">
        <f>C44-'Parameter Page'!$B$18</f>
        <v>6.5233947759279545</v>
      </c>
      <c r="S44" s="7">
        <v>18</v>
      </c>
      <c r="T44" s="7">
        <v>6.349593611629631</v>
      </c>
      <c r="U44" s="7">
        <v>-2.8099365606623294E-2</v>
      </c>
      <c r="W44" s="7">
        <v>17.326732673267326</v>
      </c>
      <c r="X44" s="7">
        <v>6.3214942460230077</v>
      </c>
    </row>
    <row r="45" spans="1:24" x14ac:dyDescent="0.25">
      <c r="A45" t="str">
        <f t="shared" si="0"/>
        <v>3159.1</v>
      </c>
      <c r="B45">
        <f t="shared" si="3"/>
        <v>3159.0999999999963</v>
      </c>
      <c r="C45">
        <v>987.30569562775042</v>
      </c>
      <c r="D45" s="4">
        <f t="shared" si="4"/>
        <v>1.3466266178751053E-2</v>
      </c>
      <c r="Q45">
        <f t="shared" si="2"/>
        <v>-1.2300000000036562</v>
      </c>
      <c r="R45">
        <f>C45-'Parameter Page'!$B$18</f>
        <v>6.5247414025458284</v>
      </c>
      <c r="S45" s="7">
        <v>19</v>
      </c>
      <c r="T45" s="7">
        <v>6.3564279285568999</v>
      </c>
      <c r="U45" s="7">
        <v>-2.8158072824612468E-2</v>
      </c>
      <c r="W45" s="7">
        <v>18.316831683168317</v>
      </c>
      <c r="X45" s="7">
        <v>6.3282698557322874</v>
      </c>
    </row>
    <row r="46" spans="1:24" x14ac:dyDescent="0.25">
      <c r="A46" t="str">
        <f t="shared" si="0"/>
        <v>3159.2</v>
      </c>
      <c r="B46">
        <f t="shared" si="3"/>
        <v>3159.1999999999962</v>
      </c>
      <c r="C46">
        <v>987.31806576091583</v>
      </c>
      <c r="D46" s="4">
        <f t="shared" si="4"/>
        <v>0.12370133165415946</v>
      </c>
      <c r="Q46">
        <f t="shared" si="2"/>
        <v>-1.1300000000037471</v>
      </c>
      <c r="R46">
        <f>C46-'Parameter Page'!$B$18</f>
        <v>6.537111535711233</v>
      </c>
      <c r="S46" s="7">
        <v>20</v>
      </c>
      <c r="T46" s="7">
        <v>6.3632622454841687</v>
      </c>
      <c r="U46" s="7">
        <v>-3.0932793317891338E-2</v>
      </c>
      <c r="W46" s="7">
        <v>19.306930693069305</v>
      </c>
      <c r="X46" s="7">
        <v>6.3323294521662774</v>
      </c>
    </row>
    <row r="47" spans="1:24" x14ac:dyDescent="0.25">
      <c r="A47" t="str">
        <f t="shared" si="0"/>
        <v>3159.3</v>
      </c>
      <c r="B47">
        <f t="shared" si="3"/>
        <v>3159.2999999999961</v>
      </c>
      <c r="C47">
        <v>987.32407428748729</v>
      </c>
      <c r="D47" s="4">
        <f t="shared" si="4"/>
        <v>6.0085265714687995E-2</v>
      </c>
      <c r="Q47">
        <f t="shared" si="2"/>
        <v>-1.0300000000038381</v>
      </c>
      <c r="R47">
        <f>C47-'Parameter Page'!$B$18</f>
        <v>6.5431200622826964</v>
      </c>
      <c r="S47" s="7">
        <v>21</v>
      </c>
      <c r="T47" s="7">
        <v>6.3700965624114376</v>
      </c>
      <c r="U47" s="7">
        <v>-3.4852655449914671E-2</v>
      </c>
      <c r="W47" s="7">
        <v>20.297029702970296</v>
      </c>
      <c r="X47" s="7">
        <v>6.335243906961523</v>
      </c>
    </row>
    <row r="48" spans="1:24" x14ac:dyDescent="0.25">
      <c r="A48" t="str">
        <f t="shared" si="0"/>
        <v>3159.4</v>
      </c>
      <c r="B48">
        <f t="shared" si="3"/>
        <v>3159.399999999996</v>
      </c>
      <c r="C48">
        <v>987.33678149236152</v>
      </c>
      <c r="D48" s="4">
        <f t="shared" si="4"/>
        <v>0.12707204874243605</v>
      </c>
      <c r="Q48">
        <f t="shared" si="2"/>
        <v>-0.93000000000392902</v>
      </c>
      <c r="R48">
        <f>C48-'Parameter Page'!$B$18</f>
        <v>6.5558272671569284</v>
      </c>
      <c r="S48" s="7">
        <v>22</v>
      </c>
      <c r="T48" s="7">
        <v>6.3769308793387065</v>
      </c>
      <c r="U48" s="7">
        <v>-3.509104006103847E-2</v>
      </c>
      <c r="W48" s="7">
        <v>21.287128712871286</v>
      </c>
      <c r="X48" s="7">
        <v>6.341839839277668</v>
      </c>
    </row>
    <row r="49" spans="1:24" x14ac:dyDescent="0.25">
      <c r="A49" t="str">
        <f t="shared" si="0"/>
        <v>3159.5</v>
      </c>
      <c r="B49">
        <f t="shared" si="3"/>
        <v>3159.4999999999959</v>
      </c>
      <c r="C49">
        <v>987.34570513925246</v>
      </c>
      <c r="D49" s="4">
        <f t="shared" si="4"/>
        <v>8.9236468909429489E-2</v>
      </c>
      <c r="Q49">
        <f t="shared" si="2"/>
        <v>-0.83000000000401997</v>
      </c>
      <c r="R49">
        <f>C49-'Parameter Page'!$B$18</f>
        <v>6.5647509140478633</v>
      </c>
      <c r="S49" s="7">
        <v>23</v>
      </c>
      <c r="T49" s="7">
        <v>6.3837651962659754</v>
      </c>
      <c r="U49" s="7">
        <v>-4.0533515093833294E-2</v>
      </c>
      <c r="W49" s="7">
        <v>22.277227722772274</v>
      </c>
      <c r="X49" s="7">
        <v>6.3432316811721421</v>
      </c>
    </row>
    <row r="50" spans="1:24" x14ac:dyDescent="0.25">
      <c r="A50" t="str">
        <f t="shared" si="0"/>
        <v>3159.6</v>
      </c>
      <c r="B50">
        <f t="shared" si="3"/>
        <v>3159.5999999999958</v>
      </c>
      <c r="C50">
        <v>987.35843109623431</v>
      </c>
      <c r="D50" s="4">
        <f t="shared" si="4"/>
        <v>0.12725956981864989</v>
      </c>
      <c r="Q50">
        <f t="shared" si="2"/>
        <v>-0.73000000000411092</v>
      </c>
      <c r="R50">
        <f>C50-'Parameter Page'!$B$18</f>
        <v>6.5774768710297167</v>
      </c>
      <c r="S50" s="7">
        <v>24</v>
      </c>
      <c r="T50" s="7">
        <v>6.3905995131932443</v>
      </c>
      <c r="U50" s="7">
        <v>6.9810287233238455E-3</v>
      </c>
      <c r="W50" s="7">
        <v>23.267326732673265</v>
      </c>
      <c r="X50" s="7">
        <v>6.3975805419165681</v>
      </c>
    </row>
    <row r="51" spans="1:24" x14ac:dyDescent="0.25">
      <c r="A51" t="str">
        <f t="shared" si="0"/>
        <v>3159.7</v>
      </c>
      <c r="B51">
        <f t="shared" si="3"/>
        <v>3159.6999999999957</v>
      </c>
      <c r="C51">
        <v>987.36263686672112</v>
      </c>
      <c r="D51" s="4">
        <f t="shared" si="4"/>
        <v>4.2057704868095298E-2</v>
      </c>
      <c r="Q51">
        <f t="shared" si="2"/>
        <v>-0.63000000000420187</v>
      </c>
      <c r="R51">
        <f>C51-'Parameter Page'!$B$18</f>
        <v>6.5816826415165224</v>
      </c>
      <c r="S51" s="7">
        <v>25</v>
      </c>
      <c r="T51" s="7">
        <v>6.3974338301205131</v>
      </c>
      <c r="U51" s="7">
        <v>3.0958080912517616E-3</v>
      </c>
      <c r="W51" s="7">
        <v>24.257425742574256</v>
      </c>
      <c r="X51" s="7">
        <v>6.4005296382117649</v>
      </c>
    </row>
    <row r="52" spans="1:24" x14ac:dyDescent="0.25">
      <c r="A52" t="str">
        <f t="shared" si="0"/>
        <v>3159.8</v>
      </c>
      <c r="B52">
        <f t="shared" si="3"/>
        <v>3159.7999999999956</v>
      </c>
      <c r="C52">
        <v>987.369169593533</v>
      </c>
      <c r="D52" s="4">
        <f t="shared" si="4"/>
        <v>6.5327268118894902E-2</v>
      </c>
      <c r="Q52">
        <f t="shared" si="2"/>
        <v>-0.53000000000429281</v>
      </c>
      <c r="R52">
        <f>C52-'Parameter Page'!$B$18</f>
        <v>6.5882153683284059</v>
      </c>
      <c r="S52" s="7">
        <v>26</v>
      </c>
      <c r="T52" s="7">
        <v>6.404268147047782</v>
      </c>
      <c r="U52" s="7">
        <v>-2.1476247524709891E-4</v>
      </c>
      <c r="W52" s="7">
        <v>25.247524752475247</v>
      </c>
      <c r="X52" s="7">
        <v>6.4040533845725349</v>
      </c>
    </row>
    <row r="53" spans="1:24" x14ac:dyDescent="0.25">
      <c r="A53" t="str">
        <f t="shared" si="0"/>
        <v>3159.9</v>
      </c>
      <c r="B53">
        <f t="shared" si="3"/>
        <v>3159.8999999999955</v>
      </c>
      <c r="C53">
        <v>987.36888012098518</v>
      </c>
      <c r="D53" s="4">
        <f t="shared" si="4"/>
        <v>-2.8947254782023218E-3</v>
      </c>
      <c r="Q53">
        <f t="shared" si="2"/>
        <v>-0.43000000000438376</v>
      </c>
      <c r="R53">
        <f>C53-'Parameter Page'!$B$18</f>
        <v>6.587925895780586</v>
      </c>
      <c r="S53" s="7">
        <v>27</v>
      </c>
      <c r="T53" s="7">
        <v>6.4111024639750509</v>
      </c>
      <c r="U53" s="7">
        <v>-2.9601043341314082E-3</v>
      </c>
      <c r="W53" s="7">
        <v>26.237623762376238</v>
      </c>
      <c r="X53" s="7">
        <v>6.4081423596409195</v>
      </c>
    </row>
    <row r="54" spans="1:24" x14ac:dyDescent="0.25">
      <c r="A54" t="str">
        <f t="shared" si="0"/>
        <v>3160.0</v>
      </c>
      <c r="B54">
        <f t="shared" si="3"/>
        <v>3159.9999999999955</v>
      </c>
      <c r="C54">
        <v>987.37411536383775</v>
      </c>
      <c r="D54" s="4">
        <f t="shared" si="4"/>
        <v>5.2352428525684766E-2</v>
      </c>
      <c r="Q54">
        <f t="shared" si="2"/>
        <v>-0.33000000000447471</v>
      </c>
      <c r="R54">
        <f>C54-'Parameter Page'!$B$18</f>
        <v>6.5931611386331497</v>
      </c>
      <c r="S54" s="7">
        <v>28</v>
      </c>
      <c r="T54" s="7">
        <v>6.4179367809023198</v>
      </c>
      <c r="U54" s="7">
        <v>1.7217765946853092E-4</v>
      </c>
      <c r="W54" s="7">
        <v>27.227722772277225</v>
      </c>
      <c r="X54" s="7">
        <v>6.4181089585617883</v>
      </c>
    </row>
    <row r="55" spans="1:24" x14ac:dyDescent="0.25">
      <c r="A55" t="str">
        <f t="shared" si="0"/>
        <v>3160.1</v>
      </c>
      <c r="B55">
        <f t="shared" si="3"/>
        <v>3160.0999999999954</v>
      </c>
      <c r="C55">
        <v>987.3845336117181</v>
      </c>
      <c r="D55" s="4">
        <f t="shared" si="4"/>
        <v>0.10418247880361758</v>
      </c>
      <c r="Q55">
        <f t="shared" si="2"/>
        <v>-0.23000000000456566</v>
      </c>
      <c r="R55">
        <f>C55-'Parameter Page'!$B$18</f>
        <v>6.603579386513502</v>
      </c>
      <c r="S55" s="7">
        <v>29</v>
      </c>
      <c r="T55" s="7">
        <v>6.4247710978295887</v>
      </c>
      <c r="U55" s="7">
        <v>-2.6376159825618473E-3</v>
      </c>
      <c r="W55" s="7">
        <v>28.217821782178216</v>
      </c>
      <c r="X55" s="7">
        <v>6.4221334818470268</v>
      </c>
    </row>
    <row r="56" spans="1:24" x14ac:dyDescent="0.25">
      <c r="A56" t="str">
        <f t="shared" si="0"/>
        <v>3160.2</v>
      </c>
      <c r="B56">
        <f t="shared" si="3"/>
        <v>3160.1999999999953</v>
      </c>
      <c r="C56">
        <v>987.3885227313383</v>
      </c>
      <c r="D56" s="4">
        <f t="shared" si="4"/>
        <v>3.9891196202042824E-2</v>
      </c>
      <c r="Q56">
        <f t="shared" si="2"/>
        <v>-0.13000000000465661</v>
      </c>
      <c r="R56">
        <f>C56-'Parameter Page'!$B$18</f>
        <v>6.6075685061337026</v>
      </c>
      <c r="S56" s="7">
        <v>30</v>
      </c>
      <c r="T56" s="7">
        <v>6.4316054147568575</v>
      </c>
      <c r="U56" s="7">
        <v>-4.7301378491493296E-3</v>
      </c>
      <c r="W56" s="7">
        <v>29.207920792079207</v>
      </c>
      <c r="X56" s="7">
        <v>6.4268752769077082</v>
      </c>
    </row>
    <row r="57" spans="1:24" x14ac:dyDescent="0.25">
      <c r="A57" t="str">
        <f t="shared" si="0"/>
        <v>3160.3</v>
      </c>
      <c r="B57">
        <f t="shared" si="3"/>
        <v>3160.2999999999952</v>
      </c>
      <c r="C57">
        <v>987.3987544371364</v>
      </c>
      <c r="D57" s="4">
        <f t="shared" si="4"/>
        <v>0.102317057981147</v>
      </c>
      <c r="Q57">
        <f t="shared" si="2"/>
        <v>-3.0000000004747562E-2</v>
      </c>
      <c r="R57">
        <f>C57-'Parameter Page'!$B$18</f>
        <v>6.617800211931808</v>
      </c>
      <c r="S57" s="7">
        <v>31</v>
      </c>
      <c r="T57" s="7">
        <v>6.4384397316841255</v>
      </c>
      <c r="U57" s="7">
        <v>-1.0169132882706933E-2</v>
      </c>
      <c r="W57" s="7">
        <v>30.198019801980195</v>
      </c>
      <c r="X57" s="7">
        <v>6.4282705988014186</v>
      </c>
    </row>
    <row r="58" spans="1:24" x14ac:dyDescent="0.25">
      <c r="A58" t="str">
        <f t="shared" si="0"/>
        <v>3160.4</v>
      </c>
      <c r="B58">
        <f t="shared" si="3"/>
        <v>3160.3999999999951</v>
      </c>
      <c r="C58">
        <v>987.40273108195379</v>
      </c>
      <c r="D58" s="4">
        <f t="shared" si="4"/>
        <v>3.9766448173886387E-2</v>
      </c>
      <c r="Q58">
        <f t="shared" si="2"/>
        <v>6.9999999995161488E-2</v>
      </c>
      <c r="R58">
        <f>C58-'Parameter Page'!$B$18</f>
        <v>6.621776856749193</v>
      </c>
      <c r="S58" s="7">
        <v>32</v>
      </c>
      <c r="T58" s="7">
        <v>6.4452740486113944</v>
      </c>
      <c r="U58" s="7">
        <v>-9.1769121147526889E-3</v>
      </c>
      <c r="W58" s="7">
        <v>31.188118811881186</v>
      </c>
      <c r="X58" s="7">
        <v>6.4360971364966417</v>
      </c>
    </row>
    <row r="59" spans="1:24" x14ac:dyDescent="0.25">
      <c r="A59" t="str">
        <f t="shared" si="0"/>
        <v>3160.5</v>
      </c>
      <c r="B59">
        <f t="shared" si="3"/>
        <v>3160.499999999995</v>
      </c>
      <c r="C59">
        <v>987.40956053624177</v>
      </c>
      <c r="D59" s="4">
        <f t="shared" si="4"/>
        <v>6.8294542879874187E-2</v>
      </c>
      <c r="Q59">
        <f t="shared" si="2"/>
        <v>0.16999999999507054</v>
      </c>
      <c r="R59">
        <f>C59-'Parameter Page'!$B$18</f>
        <v>6.6286063110371742</v>
      </c>
      <c r="S59" s="7">
        <v>33</v>
      </c>
      <c r="T59" s="7">
        <v>6.4521083655386633</v>
      </c>
      <c r="U59" s="7">
        <v>-1.0108285370790782E-2</v>
      </c>
      <c r="W59" s="7">
        <v>32.178217821782177</v>
      </c>
      <c r="X59" s="7">
        <v>6.4420000801678725</v>
      </c>
    </row>
    <row r="60" spans="1:24" x14ac:dyDescent="0.25">
      <c r="A60" t="str">
        <f t="shared" si="0"/>
        <v>3160.6</v>
      </c>
      <c r="B60">
        <f t="shared" si="3"/>
        <v>3160.5999999999949</v>
      </c>
      <c r="C60">
        <v>987.41451489711744</v>
      </c>
      <c r="D60" s="4">
        <f t="shared" si="4"/>
        <v>4.954360875676643E-2</v>
      </c>
      <c r="Q60">
        <f t="shared" si="2"/>
        <v>0.26999999999497959</v>
      </c>
      <c r="R60">
        <f>C60-'Parameter Page'!$B$18</f>
        <v>6.6335606719128464</v>
      </c>
      <c r="S60" s="7">
        <v>34</v>
      </c>
      <c r="T60" s="7">
        <v>6.4589426824659322</v>
      </c>
      <c r="U60" s="7">
        <v>-9.2067758598668448E-3</v>
      </c>
      <c r="W60" s="7">
        <v>33.168316831683164</v>
      </c>
      <c r="X60" s="7">
        <v>6.4497359066060653</v>
      </c>
    </row>
    <row r="61" spans="1:24" x14ac:dyDescent="0.25">
      <c r="A61" t="str">
        <f t="shared" si="0"/>
        <v>3160.7</v>
      </c>
      <c r="B61">
        <f t="shared" si="3"/>
        <v>3160.6999999999948</v>
      </c>
      <c r="C61">
        <v>987.41797405925024</v>
      </c>
      <c r="D61" s="4">
        <f t="shared" si="4"/>
        <v>3.4591621328022112E-2</v>
      </c>
      <c r="Q61">
        <f t="shared" si="2"/>
        <v>0.36999999999488864</v>
      </c>
      <c r="R61">
        <f>C61-'Parameter Page'!$B$18</f>
        <v>6.6370198340456454</v>
      </c>
      <c r="S61" s="7">
        <v>35</v>
      </c>
      <c r="T61" s="7">
        <v>6.4657769993932011</v>
      </c>
      <c r="U61" s="7">
        <v>-1.2016387394341521E-2</v>
      </c>
      <c r="W61" s="7">
        <v>34.158415841584159</v>
      </c>
      <c r="X61" s="7">
        <v>6.4537606119988595</v>
      </c>
    </row>
    <row r="62" spans="1:24" x14ac:dyDescent="0.25">
      <c r="A62" t="str">
        <f t="shared" si="0"/>
        <v>3160.8</v>
      </c>
      <c r="B62">
        <f t="shared" si="3"/>
        <v>3160.7999999999947</v>
      </c>
      <c r="C62">
        <v>987.44811823346367</v>
      </c>
      <c r="D62" s="4">
        <f t="shared" si="4"/>
        <v>0.30144174213460379</v>
      </c>
      <c r="Q62">
        <f t="shared" si="2"/>
        <v>0.46999999999479769</v>
      </c>
      <c r="R62">
        <f>C62-'Parameter Page'!$B$18</f>
        <v>6.6671640082590784</v>
      </c>
      <c r="S62" s="7">
        <v>36</v>
      </c>
      <c r="T62" s="7">
        <v>6.4726113163204699</v>
      </c>
      <c r="U62" s="7">
        <v>-9.0217365334677169E-4</v>
      </c>
      <c r="W62" s="7">
        <v>35.148514851485146</v>
      </c>
      <c r="X62" s="7">
        <v>6.4717091426671232</v>
      </c>
    </row>
    <row r="63" spans="1:24" x14ac:dyDescent="0.25">
      <c r="A63" t="str">
        <f t="shared" si="0"/>
        <v>3160.9</v>
      </c>
      <c r="B63">
        <f t="shared" si="3"/>
        <v>3160.8999999999946</v>
      </c>
      <c r="C63">
        <v>987.44682026171267</v>
      </c>
      <c r="D63" s="4">
        <f t="shared" si="4"/>
        <v>-1.2979717510018399E-2</v>
      </c>
      <c r="Q63">
        <f t="shared" si="2"/>
        <v>0.56999999999470674</v>
      </c>
      <c r="R63">
        <f>C63-'Parameter Page'!$B$18</f>
        <v>6.6658660365080777</v>
      </c>
      <c r="S63" s="7">
        <v>37</v>
      </c>
      <c r="T63" s="7">
        <v>6.4794456332477388</v>
      </c>
      <c r="U63" s="7">
        <v>9.244149813465441E-3</v>
      </c>
      <c r="W63" s="7">
        <v>36.138613861386141</v>
      </c>
      <c r="X63" s="7">
        <v>6.4886897830612043</v>
      </c>
    </row>
    <row r="64" spans="1:24" x14ac:dyDescent="0.25">
      <c r="A64" t="str">
        <f t="shared" si="0"/>
        <v>3161.0</v>
      </c>
      <c r="B64">
        <f t="shared" si="3"/>
        <v>3160.9999999999945</v>
      </c>
      <c r="C64">
        <v>987.45713811966766</v>
      </c>
      <c r="D64" s="4">
        <f t="shared" si="4"/>
        <v>0.10317857954997015</v>
      </c>
      <c r="Q64">
        <f t="shared" si="2"/>
        <v>0.66999999999461579</v>
      </c>
      <c r="R64">
        <f>C64-'Parameter Page'!$B$18</f>
        <v>6.6761838944630654</v>
      </c>
      <c r="S64" s="7">
        <v>38</v>
      </c>
      <c r="T64" s="7">
        <v>6.4862799501750077</v>
      </c>
      <c r="U64" s="7">
        <v>2.664579218548635E-2</v>
      </c>
      <c r="W64" s="7">
        <v>37.128712871287128</v>
      </c>
      <c r="X64" s="7">
        <v>6.512925742360494</v>
      </c>
    </row>
    <row r="65" spans="1:24" x14ac:dyDescent="0.25">
      <c r="A65" t="str">
        <f t="shared" si="0"/>
        <v>3161.1</v>
      </c>
      <c r="B65">
        <f t="shared" si="3"/>
        <v>3161.0999999999945</v>
      </c>
      <c r="C65">
        <v>987.46360730672336</v>
      </c>
      <c r="D65" s="4">
        <f t="shared" si="4"/>
        <v>6.4691870557057607E-2</v>
      </c>
      <c r="Q65">
        <f t="shared" si="2"/>
        <v>0.76999999999452484</v>
      </c>
      <c r="R65">
        <f>C65-'Parameter Page'!$B$18</f>
        <v>6.6826530815187652</v>
      </c>
      <c r="S65" s="7">
        <v>39</v>
      </c>
      <c r="T65" s="7">
        <v>6.4931142671022766</v>
      </c>
      <c r="U65" s="7">
        <v>2.3813896962161962E-2</v>
      </c>
      <c r="W65" s="7">
        <v>38.118811881188115</v>
      </c>
      <c r="X65" s="7">
        <v>6.5169281640644385</v>
      </c>
    </row>
    <row r="66" spans="1:24" x14ac:dyDescent="0.25">
      <c r="A66" t="str">
        <f t="shared" si="0"/>
        <v>3161.2</v>
      </c>
      <c r="B66">
        <f t="shared" si="3"/>
        <v>3161.1999999999944</v>
      </c>
      <c r="C66">
        <v>987.46779329686649</v>
      </c>
      <c r="D66" s="4">
        <f t="shared" si="4"/>
        <v>4.1859901431318451E-2</v>
      </c>
      <c r="Q66">
        <f t="shared" si="2"/>
        <v>0.86999999999443389</v>
      </c>
      <c r="R66">
        <f>C66-'Parameter Page'!$B$18</f>
        <v>6.6868390716618933</v>
      </c>
      <c r="S66" s="7">
        <v>40</v>
      </c>
      <c r="T66" s="7">
        <v>6.4999485840295455</v>
      </c>
      <c r="U66" s="7">
        <v>2.0991206610113444E-2</v>
      </c>
      <c r="W66" s="7">
        <v>39.10891089108911</v>
      </c>
      <c r="X66" s="7">
        <v>6.5209397906396589</v>
      </c>
    </row>
    <row r="67" spans="1:24" x14ac:dyDescent="0.25">
      <c r="A67" t="str">
        <f t="shared" si="0"/>
        <v>3161.3</v>
      </c>
      <c r="B67">
        <f t="shared" si="3"/>
        <v>3161.2999999999943</v>
      </c>
      <c r="C67">
        <v>987.46639710320142</v>
      </c>
      <c r="D67" s="4">
        <f t="shared" si="4"/>
        <v>-1.396193665074312E-2</v>
      </c>
      <c r="Q67">
        <f t="shared" si="2"/>
        <v>0.96999999999434294</v>
      </c>
      <c r="R67">
        <f>C67-'Parameter Page'!$B$18</f>
        <v>6.6854428779968202</v>
      </c>
      <c r="S67" s="7">
        <v>41</v>
      </c>
      <c r="T67" s="7">
        <v>6.5067829009568143</v>
      </c>
      <c r="U67" s="7">
        <v>1.6611874971140139E-2</v>
      </c>
      <c r="W67" s="7">
        <v>40.099009900990097</v>
      </c>
      <c r="X67" s="7">
        <v>6.5233947759279545</v>
      </c>
    </row>
    <row r="68" spans="1:24" x14ac:dyDescent="0.25">
      <c r="A68" t="str">
        <f t="shared" si="0"/>
        <v>3161.4</v>
      </c>
      <c r="B68">
        <f t="shared" si="3"/>
        <v>3161.3999999999942</v>
      </c>
      <c r="C68">
        <v>987.46999152714886</v>
      </c>
      <c r="D68" s="4">
        <f t="shared" si="4"/>
        <v>3.594423947450736E-2</v>
      </c>
      <c r="Q68">
        <f t="shared" si="2"/>
        <v>1.069999999994252</v>
      </c>
      <c r="R68">
        <f>C68-'Parameter Page'!$B$18</f>
        <v>6.6890373019442677</v>
      </c>
      <c r="S68" s="7">
        <v>42</v>
      </c>
      <c r="T68" s="7">
        <v>6.5136172178840832</v>
      </c>
      <c r="U68" s="7">
        <v>1.112418466174514E-2</v>
      </c>
      <c r="W68" s="7">
        <v>41.089108910891085</v>
      </c>
      <c r="X68" s="7">
        <v>6.5247414025458284</v>
      </c>
    </row>
    <row r="69" spans="1:24" x14ac:dyDescent="0.25">
      <c r="A69" t="str">
        <f t="shared" ref="A69:A104" si="5">TEXT(B69,"0000.0")</f>
        <v>3161.5</v>
      </c>
      <c r="B69">
        <f t="shared" si="3"/>
        <v>3161.4999999999941</v>
      </c>
      <c r="C69">
        <v>987.47243532177583</v>
      </c>
      <c r="D69" s="4">
        <f t="shared" si="4"/>
        <v>2.4437946269721976E-2</v>
      </c>
      <c r="Q69">
        <f t="shared" ref="Q69:Q104" si="6">B69-$C$1</f>
        <v>1.169999999994161</v>
      </c>
      <c r="R69">
        <f>C69-'Parameter Page'!$B$18</f>
        <v>6.6914810965712377</v>
      </c>
      <c r="S69" s="7">
        <v>43</v>
      </c>
      <c r="T69" s="7">
        <v>6.5204515348113521</v>
      </c>
      <c r="U69" s="7">
        <v>1.6660000899880956E-2</v>
      </c>
      <c r="W69" s="7">
        <v>42.079207920792079</v>
      </c>
      <c r="X69" s="7">
        <v>6.537111535711233</v>
      </c>
    </row>
    <row r="70" spans="1:24" x14ac:dyDescent="0.25">
      <c r="A70" t="str">
        <f t="shared" si="5"/>
        <v>3161.6</v>
      </c>
      <c r="B70">
        <f t="shared" ref="B70:B104" si="7">B69+0.1</f>
        <v>3161.599999999994</v>
      </c>
      <c r="C70">
        <v>987.47587722692424</v>
      </c>
      <c r="D70" s="4">
        <f t="shared" ref="D70:D104" si="8">(C70-C69)/(B70-B69)</f>
        <v>3.4419051484096068E-2</v>
      </c>
      <c r="Q70">
        <f t="shared" si="6"/>
        <v>1.2699999999940701</v>
      </c>
      <c r="R70">
        <f>C70-'Parameter Page'!$B$18</f>
        <v>6.6949230017196442</v>
      </c>
      <c r="S70" s="7">
        <v>44</v>
      </c>
      <c r="T70" s="7">
        <v>6.527285851738621</v>
      </c>
      <c r="U70" s="7">
        <v>1.5834210544075411E-2</v>
      </c>
      <c r="W70" s="7">
        <v>43.069306930693067</v>
      </c>
      <c r="X70" s="7">
        <v>6.5431200622826964</v>
      </c>
    </row>
    <row r="71" spans="1:24" x14ac:dyDescent="0.25">
      <c r="A71" t="str">
        <f t="shared" si="5"/>
        <v>3161.7</v>
      </c>
      <c r="B71">
        <f t="shared" si="7"/>
        <v>3161.6999999999939</v>
      </c>
      <c r="C71">
        <v>987.47985673212395</v>
      </c>
      <c r="D71" s="4">
        <f t="shared" si="8"/>
        <v>3.9795051997125297E-2</v>
      </c>
      <c r="Q71">
        <f t="shared" si="6"/>
        <v>1.3699999999939791</v>
      </c>
      <c r="R71">
        <f>C71-'Parameter Page'!$B$18</f>
        <v>6.6989025069193531</v>
      </c>
      <c r="S71" s="7">
        <v>45</v>
      </c>
      <c r="T71" s="7">
        <v>6.5341201686658898</v>
      </c>
      <c r="U71" s="7">
        <v>2.1707098491038579E-2</v>
      </c>
      <c r="W71" s="7">
        <v>44.059405940594054</v>
      </c>
      <c r="X71" s="7">
        <v>6.5558272671569284</v>
      </c>
    </row>
    <row r="72" spans="1:24" x14ac:dyDescent="0.25">
      <c r="A72" t="str">
        <f t="shared" si="5"/>
        <v>3161.8</v>
      </c>
      <c r="B72">
        <f t="shared" si="7"/>
        <v>3161.7999999999938</v>
      </c>
      <c r="C72">
        <v>987.48752826757891</v>
      </c>
      <c r="D72" s="4">
        <f t="shared" si="8"/>
        <v>7.6715354549675541E-2</v>
      </c>
      <c r="Q72">
        <f t="shared" si="6"/>
        <v>1.4699999999938882</v>
      </c>
      <c r="R72">
        <f>C72-'Parameter Page'!$B$18</f>
        <v>6.7065740423743136</v>
      </c>
      <c r="S72" s="7">
        <v>46</v>
      </c>
      <c r="T72" s="7">
        <v>6.5409544855931587</v>
      </c>
      <c r="U72" s="7">
        <v>2.3796428454704532E-2</v>
      </c>
      <c r="W72" s="7">
        <v>45.049504950495049</v>
      </c>
      <c r="X72" s="7">
        <v>6.5647509140478633</v>
      </c>
    </row>
    <row r="73" spans="1:24" x14ac:dyDescent="0.25">
      <c r="A73" t="str">
        <f t="shared" si="5"/>
        <v>3161.9</v>
      </c>
      <c r="B73">
        <f t="shared" si="7"/>
        <v>3161.8999999999937</v>
      </c>
      <c r="C73">
        <v>987.49783619528193</v>
      </c>
      <c r="D73" s="4">
        <f t="shared" si="8"/>
        <v>0.10307927703034063</v>
      </c>
      <c r="Q73">
        <f t="shared" si="6"/>
        <v>1.5699999999937972</v>
      </c>
      <c r="R73">
        <f>C73-'Parameter Page'!$B$18</f>
        <v>6.7168819700773383</v>
      </c>
      <c r="S73" s="7">
        <v>47</v>
      </c>
      <c r="T73" s="7">
        <v>6.5477888025204276</v>
      </c>
      <c r="U73" s="7">
        <v>2.9688068509289067E-2</v>
      </c>
      <c r="W73" s="7">
        <v>46.039603960396036</v>
      </c>
      <c r="X73" s="7">
        <v>6.5774768710297167</v>
      </c>
    </row>
    <row r="74" spans="1:24" x14ac:dyDescent="0.25">
      <c r="A74" t="str">
        <f t="shared" si="5"/>
        <v>3162.0</v>
      </c>
      <c r="B74">
        <f t="shared" si="7"/>
        <v>3161.9999999999936</v>
      </c>
      <c r="C74">
        <v>987.50880423457681</v>
      </c>
      <c r="D74" s="4">
        <f t="shared" si="8"/>
        <v>0.10968039294890303</v>
      </c>
      <c r="Q74">
        <f t="shared" si="6"/>
        <v>1.6699999999937063</v>
      </c>
      <c r="R74">
        <f>C74-'Parameter Page'!$B$18</f>
        <v>6.7278500093722187</v>
      </c>
      <c r="S74" s="7">
        <v>48</v>
      </c>
      <c r="T74" s="7">
        <v>6.5546231194476956</v>
      </c>
      <c r="U74" s="7">
        <v>2.705952206882678E-2</v>
      </c>
      <c r="W74" s="7">
        <v>47.029702970297031</v>
      </c>
      <c r="X74" s="7">
        <v>6.5816826415165224</v>
      </c>
    </row>
    <row r="75" spans="1:24" x14ac:dyDescent="0.25">
      <c r="A75" t="str">
        <f t="shared" si="5"/>
        <v>3162.1</v>
      </c>
      <c r="B75">
        <f t="shared" si="7"/>
        <v>3162.0999999999935</v>
      </c>
      <c r="C75">
        <v>987.51276249016473</v>
      </c>
      <c r="D75" s="4">
        <f t="shared" si="8"/>
        <v>3.958255587921447E-2</v>
      </c>
      <c r="Q75">
        <f t="shared" si="6"/>
        <v>1.7699999999936153</v>
      </c>
      <c r="R75">
        <f>C75-'Parameter Page'!$B$18</f>
        <v>6.7318082649601365</v>
      </c>
      <c r="S75" s="7">
        <v>49</v>
      </c>
      <c r="T75" s="7">
        <v>6.5614574363749645</v>
      </c>
      <c r="U75" s="7">
        <v>2.6757931953441449E-2</v>
      </c>
      <c r="W75" s="7">
        <v>48.019801980198018</v>
      </c>
      <c r="X75" s="7">
        <v>6.587925895780586</v>
      </c>
    </row>
    <row r="76" spans="1:24" x14ac:dyDescent="0.25">
      <c r="A76" t="str">
        <f t="shared" si="5"/>
        <v>3162.2</v>
      </c>
      <c r="B76">
        <f t="shared" si="7"/>
        <v>3162.1999999999935</v>
      </c>
      <c r="C76">
        <v>987.51672074575242</v>
      </c>
      <c r="D76" s="4">
        <f t="shared" si="8"/>
        <v>3.9582555876940734E-2</v>
      </c>
      <c r="Q76">
        <f t="shared" si="6"/>
        <v>1.8699999999935244</v>
      </c>
      <c r="R76">
        <f>C76-'Parameter Page'!$B$18</f>
        <v>6.735766520547827</v>
      </c>
      <c r="S76" s="7">
        <v>50</v>
      </c>
      <c r="T76" s="7">
        <v>6.5682917533022334</v>
      </c>
      <c r="U76" s="7">
        <v>1.9634142478352601E-2</v>
      </c>
      <c r="W76" s="7">
        <v>49.009900990099005</v>
      </c>
      <c r="X76" s="7">
        <v>6.5882153683284059</v>
      </c>
    </row>
    <row r="77" spans="1:24" x14ac:dyDescent="0.25">
      <c r="A77" t="str">
        <f t="shared" si="5"/>
        <v>3162.3</v>
      </c>
      <c r="B77">
        <f t="shared" si="7"/>
        <v>3162.2999999999934</v>
      </c>
      <c r="C77">
        <v>987.53704600443689</v>
      </c>
      <c r="D77" s="4">
        <f t="shared" si="8"/>
        <v>0.20325258684484038</v>
      </c>
      <c r="Q77">
        <f t="shared" si="6"/>
        <v>1.9699999999934334</v>
      </c>
      <c r="R77">
        <f>C77-'Parameter Page'!$B$18</f>
        <v>6.7560917792322925</v>
      </c>
      <c r="S77" s="7">
        <v>51</v>
      </c>
      <c r="T77" s="7">
        <v>6.5751260702295022</v>
      </c>
      <c r="U77" s="7">
        <v>1.8035068403647436E-2</v>
      </c>
      <c r="W77" s="7">
        <v>50</v>
      </c>
      <c r="X77" s="7">
        <v>6.5931611386331497</v>
      </c>
    </row>
    <row r="78" spans="1:24" x14ac:dyDescent="0.25">
      <c r="A78" t="str">
        <f t="shared" si="5"/>
        <v>3162.4</v>
      </c>
      <c r="B78">
        <f t="shared" si="7"/>
        <v>3162.3999999999933</v>
      </c>
      <c r="C78">
        <v>987.5439694005272</v>
      </c>
      <c r="D78" s="4">
        <f t="shared" si="8"/>
        <v>6.9233960903210781E-2</v>
      </c>
      <c r="Q78">
        <f t="shared" si="6"/>
        <v>2.0699999999933425</v>
      </c>
      <c r="R78">
        <f>C78-'Parameter Page'!$B$18</f>
        <v>6.7630151753226073</v>
      </c>
      <c r="S78" s="7">
        <v>52</v>
      </c>
      <c r="T78" s="7">
        <v>6.5819603871567711</v>
      </c>
      <c r="U78" s="7">
        <v>2.1618999356730839E-2</v>
      </c>
      <c r="W78" s="7">
        <v>50.990099009900987</v>
      </c>
      <c r="X78" s="7">
        <v>6.603579386513502</v>
      </c>
    </row>
    <row r="79" spans="1:24" x14ac:dyDescent="0.25">
      <c r="A79" t="str">
        <f t="shared" si="5"/>
        <v>3162.5</v>
      </c>
      <c r="B79">
        <f t="shared" si="7"/>
        <v>3162.4999999999932</v>
      </c>
      <c r="C79">
        <v>987.54043319488005</v>
      </c>
      <c r="D79" s="4">
        <f t="shared" si="8"/>
        <v>-3.5362056471545077E-2</v>
      </c>
      <c r="Q79">
        <f t="shared" si="6"/>
        <v>2.1699999999932515</v>
      </c>
      <c r="R79">
        <f>C79-'Parameter Page'!$B$18</f>
        <v>6.759478969675456</v>
      </c>
      <c r="S79" s="7">
        <v>53</v>
      </c>
      <c r="T79" s="7">
        <v>6.58879470408404</v>
      </c>
      <c r="U79" s="7">
        <v>1.8773802049662613E-2</v>
      </c>
      <c r="W79" s="7">
        <v>51.980198019801982</v>
      </c>
      <c r="X79" s="7">
        <v>6.6075685061337026</v>
      </c>
    </row>
    <row r="80" spans="1:24" x14ac:dyDescent="0.25">
      <c r="A80" t="str">
        <f t="shared" si="5"/>
        <v>3162.6</v>
      </c>
      <c r="B80">
        <f t="shared" si="7"/>
        <v>3162.5999999999931</v>
      </c>
      <c r="C80">
        <v>987.5457308306552</v>
      </c>
      <c r="D80" s="4">
        <f t="shared" si="8"/>
        <v>5.2976357751552294E-2</v>
      </c>
      <c r="Q80">
        <f t="shared" si="6"/>
        <v>2.2699999999931606</v>
      </c>
      <c r="R80">
        <f>C80-'Parameter Page'!$B$18</f>
        <v>6.7647766054506064</v>
      </c>
      <c r="S80" s="7">
        <v>54</v>
      </c>
      <c r="T80" s="7">
        <v>6.5956290210113089</v>
      </c>
      <c r="U80" s="7">
        <v>2.2171190920499129E-2</v>
      </c>
      <c r="W80" s="7">
        <v>52.970297029702969</v>
      </c>
      <c r="X80" s="7">
        <v>6.617800211931808</v>
      </c>
    </row>
    <row r="81" spans="1:24" x14ac:dyDescent="0.25">
      <c r="A81" t="str">
        <f t="shared" si="5"/>
        <v>3162.7</v>
      </c>
      <c r="B81">
        <f t="shared" si="7"/>
        <v>3162.699999999993</v>
      </c>
      <c r="C81">
        <v>987.5497922856481</v>
      </c>
      <c r="D81" s="4">
        <f t="shared" si="8"/>
        <v>4.0614549928969255E-2</v>
      </c>
      <c r="Q81">
        <f t="shared" si="6"/>
        <v>2.3699999999930697</v>
      </c>
      <c r="R81">
        <f>C81-'Parameter Page'!$B$18</f>
        <v>6.7688380604434997</v>
      </c>
      <c r="S81" s="7">
        <v>55</v>
      </c>
      <c r="T81" s="7">
        <v>6.6024633379385778</v>
      </c>
      <c r="U81" s="7">
        <v>1.9313518810615271E-2</v>
      </c>
      <c r="W81" s="7">
        <v>53.960396039603957</v>
      </c>
      <c r="X81" s="7">
        <v>6.621776856749193</v>
      </c>
    </row>
    <row r="82" spans="1:24" x14ac:dyDescent="0.25">
      <c r="A82" t="str">
        <f t="shared" si="5"/>
        <v>3162.8</v>
      </c>
      <c r="B82">
        <f t="shared" si="7"/>
        <v>3162.7999999999929</v>
      </c>
      <c r="C82">
        <v>987.5506410379694</v>
      </c>
      <c r="D82" s="4">
        <f t="shared" si="8"/>
        <v>8.4875232130420843E-3</v>
      </c>
      <c r="Q82">
        <f t="shared" si="6"/>
        <v>2.4699999999929787</v>
      </c>
      <c r="R82">
        <f>C82-'Parameter Page'!$B$18</f>
        <v>6.7696868127648031</v>
      </c>
      <c r="S82" s="7">
        <v>56</v>
      </c>
      <c r="T82" s="7">
        <v>6.6092976548658466</v>
      </c>
      <c r="U82" s="7">
        <v>1.9308656171327598E-2</v>
      </c>
      <c r="W82" s="7">
        <v>54.950495049504951</v>
      </c>
      <c r="X82" s="7">
        <v>6.6286063110371742</v>
      </c>
    </row>
    <row r="83" spans="1:24" x14ac:dyDescent="0.25">
      <c r="A83" t="str">
        <f t="shared" si="5"/>
        <v>3162.9</v>
      </c>
      <c r="B83">
        <f t="shared" si="7"/>
        <v>3162.8999999999928</v>
      </c>
      <c r="C83">
        <v>987.55355217896545</v>
      </c>
      <c r="D83" s="4">
        <f t="shared" si="8"/>
        <v>2.9111409960504816E-2</v>
      </c>
      <c r="Q83">
        <f t="shared" si="6"/>
        <v>2.5699999999928878</v>
      </c>
      <c r="R83">
        <f>C83-'Parameter Page'!$B$18</f>
        <v>6.7725979537608509</v>
      </c>
      <c r="S83" s="7">
        <v>57</v>
      </c>
      <c r="T83" s="7">
        <v>6.6161319717931155</v>
      </c>
      <c r="U83" s="7">
        <v>1.7428700119730856E-2</v>
      </c>
      <c r="W83" s="7">
        <v>55.940594059405939</v>
      </c>
      <c r="X83" s="7">
        <v>6.6335606719128464</v>
      </c>
    </row>
    <row r="84" spans="1:24" x14ac:dyDescent="0.25">
      <c r="A84" t="str">
        <f t="shared" si="5"/>
        <v>3163.0</v>
      </c>
      <c r="B84">
        <f t="shared" si="7"/>
        <v>3162.9999999999927</v>
      </c>
      <c r="C84">
        <v>987.55751656312998</v>
      </c>
      <c r="D84" s="4">
        <f t="shared" si="8"/>
        <v>3.9643841645365357E-2</v>
      </c>
      <c r="Q84">
        <f t="shared" si="6"/>
        <v>2.6699999999927968</v>
      </c>
      <c r="R84">
        <f>C84-'Parameter Page'!$B$18</f>
        <v>6.7765623379253839</v>
      </c>
      <c r="S84" s="7">
        <v>58</v>
      </c>
      <c r="T84" s="7">
        <v>6.6229662887203844</v>
      </c>
      <c r="U84" s="7">
        <v>1.4053545325261041E-2</v>
      </c>
      <c r="W84" s="7">
        <v>56.930693069306926</v>
      </c>
      <c r="X84" s="7">
        <v>6.6370198340456454</v>
      </c>
    </row>
    <row r="85" spans="1:24" x14ac:dyDescent="0.25">
      <c r="A85" t="str">
        <f t="shared" si="5"/>
        <v>3163.1</v>
      </c>
      <c r="B85">
        <f t="shared" si="7"/>
        <v>3163.0999999999926</v>
      </c>
      <c r="C85">
        <v>987.56391581516198</v>
      </c>
      <c r="D85" s="4">
        <f t="shared" si="8"/>
        <v>6.3992520320029139E-2</v>
      </c>
      <c r="Q85">
        <f t="shared" si="6"/>
        <v>2.7699999999927059</v>
      </c>
      <c r="R85">
        <f>C85-'Parameter Page'!$B$18</f>
        <v>6.782961589957381</v>
      </c>
      <c r="S85" s="7">
        <v>59</v>
      </c>
      <c r="T85" s="7">
        <v>6.6298006056476533</v>
      </c>
      <c r="U85" s="7">
        <v>3.7363402611425123E-2</v>
      </c>
      <c r="W85" s="7">
        <v>57.920792079207921</v>
      </c>
      <c r="X85" s="7">
        <v>6.6658660365080777</v>
      </c>
    </row>
    <row r="86" spans="1:24" x14ac:dyDescent="0.25">
      <c r="A86" t="str">
        <f t="shared" si="5"/>
        <v>3163.2</v>
      </c>
      <c r="B86">
        <f t="shared" si="7"/>
        <v>3163.1999999999925</v>
      </c>
      <c r="C86">
        <v>987.56803784658598</v>
      </c>
      <c r="D86" s="4">
        <f t="shared" si="8"/>
        <v>4.1220314240073296E-2</v>
      </c>
      <c r="Q86">
        <f t="shared" si="6"/>
        <v>2.8699999999926149</v>
      </c>
      <c r="R86">
        <f>C86-'Parameter Page'!$B$18</f>
        <v>6.7870836213813845</v>
      </c>
      <c r="S86" s="7">
        <v>60</v>
      </c>
      <c r="T86" s="7">
        <v>6.6366349225749222</v>
      </c>
      <c r="U86" s="7">
        <v>2.9231113933155584E-2</v>
      </c>
      <c r="W86" s="7">
        <v>58.910891089108908</v>
      </c>
      <c r="X86" s="7">
        <v>6.6671640082590784</v>
      </c>
    </row>
    <row r="87" spans="1:24" x14ac:dyDescent="0.25">
      <c r="A87" t="str">
        <f t="shared" si="5"/>
        <v>3163.3</v>
      </c>
      <c r="B87">
        <f t="shared" si="7"/>
        <v>3163.2999999999925</v>
      </c>
      <c r="C87">
        <v>987.58340193286767</v>
      </c>
      <c r="D87" s="4">
        <f t="shared" si="8"/>
        <v>0.1536408628170681</v>
      </c>
      <c r="Q87">
        <f t="shared" si="6"/>
        <v>2.969999999992524</v>
      </c>
      <c r="R87">
        <f>C87-'Parameter Page'!$B$18</f>
        <v>6.8024477076630774</v>
      </c>
      <c r="S87" s="7">
        <v>61</v>
      </c>
      <c r="T87" s="7">
        <v>6.643469239502191</v>
      </c>
      <c r="U87" s="7">
        <v>3.2714654960874334E-2</v>
      </c>
      <c r="W87" s="7">
        <v>59.900990099009896</v>
      </c>
      <c r="X87" s="7">
        <v>6.6761838944630654</v>
      </c>
    </row>
    <row r="88" spans="1:24" x14ac:dyDescent="0.25">
      <c r="A88" t="str">
        <f t="shared" si="5"/>
        <v>3163.4</v>
      </c>
      <c r="B88">
        <f t="shared" si="7"/>
        <v>3163.3999999999924</v>
      </c>
      <c r="C88">
        <v>987.58739063038331</v>
      </c>
      <c r="D88" s="4">
        <f t="shared" si="8"/>
        <v>3.9886975156414234E-2</v>
      </c>
      <c r="Q88">
        <f t="shared" si="6"/>
        <v>3.069999999992433</v>
      </c>
      <c r="R88">
        <f>C88-'Parameter Page'!$B$18</f>
        <v>6.8064364051787152</v>
      </c>
      <c r="S88" s="7">
        <v>62</v>
      </c>
      <c r="T88" s="7">
        <v>6.6503035564294599</v>
      </c>
      <c r="U88" s="7">
        <v>3.2349525089305331E-2</v>
      </c>
      <c r="W88" s="7">
        <v>60.89108910891089</v>
      </c>
      <c r="X88" s="7">
        <v>6.6826530815187652</v>
      </c>
    </row>
    <row r="89" spans="1:24" x14ac:dyDescent="0.25">
      <c r="A89" t="str">
        <f t="shared" si="5"/>
        <v>3163.5</v>
      </c>
      <c r="B89">
        <f t="shared" si="7"/>
        <v>3163.4999999999923</v>
      </c>
      <c r="C89">
        <v>987.58837526571199</v>
      </c>
      <c r="D89" s="4">
        <f t="shared" si="8"/>
        <v>9.8463532867843657E-3</v>
      </c>
      <c r="Q89">
        <f t="shared" si="6"/>
        <v>3.1699999999923421</v>
      </c>
      <c r="R89">
        <f>C89-'Parameter Page'!$B$18</f>
        <v>6.8074210405073927</v>
      </c>
      <c r="S89" s="7">
        <v>63</v>
      </c>
      <c r="T89" s="7">
        <v>6.6571378733567288</v>
      </c>
      <c r="U89" s="7">
        <v>2.9701198305164489E-2</v>
      </c>
      <c r="W89" s="7">
        <v>61.881188118811878</v>
      </c>
      <c r="X89" s="7">
        <v>6.6854428779968202</v>
      </c>
    </row>
    <row r="90" spans="1:24" x14ac:dyDescent="0.25">
      <c r="A90" t="str">
        <f t="shared" si="5"/>
        <v>3163.6</v>
      </c>
      <c r="B90">
        <f t="shared" si="7"/>
        <v>3163.5999999999922</v>
      </c>
      <c r="C90">
        <v>987.59230476688958</v>
      </c>
      <c r="D90" s="4">
        <f t="shared" si="8"/>
        <v>3.9295011775984032E-2</v>
      </c>
      <c r="Q90">
        <f t="shared" si="6"/>
        <v>3.2699999999922511</v>
      </c>
      <c r="R90">
        <f>C90-'Parameter Page'!$B$18</f>
        <v>6.8113505416849875</v>
      </c>
      <c r="S90" s="7">
        <v>64</v>
      </c>
      <c r="T90" s="7">
        <v>6.6639721902839977</v>
      </c>
      <c r="U90" s="7">
        <v>2.1470687712822567E-2</v>
      </c>
      <c r="W90" s="7">
        <v>62.871287128712872</v>
      </c>
      <c r="X90" s="7">
        <v>6.6868390716618933</v>
      </c>
    </row>
    <row r="91" spans="1:24" x14ac:dyDescent="0.25">
      <c r="A91" t="str">
        <f t="shared" si="5"/>
        <v>3163.7</v>
      </c>
      <c r="B91">
        <f t="shared" si="7"/>
        <v>3163.6999999999921</v>
      </c>
      <c r="C91">
        <v>987.59178838889056</v>
      </c>
      <c r="D91" s="4">
        <f t="shared" si="8"/>
        <v>-5.163779990202933E-3</v>
      </c>
      <c r="Q91">
        <f t="shared" si="6"/>
        <v>3.3699999999921602</v>
      </c>
      <c r="R91">
        <f>C91-'Parameter Page'!$B$18</f>
        <v>6.8108341636859677</v>
      </c>
      <c r="S91" s="7">
        <v>65</v>
      </c>
      <c r="T91" s="7">
        <v>6.6708065072112657</v>
      </c>
      <c r="U91" s="7">
        <v>1.8230794733002043E-2</v>
      </c>
      <c r="W91" s="7">
        <v>63.861386138613859</v>
      </c>
      <c r="X91" s="7">
        <v>6.6890373019442677</v>
      </c>
    </row>
    <row r="92" spans="1:24" x14ac:dyDescent="0.25">
      <c r="A92" t="str">
        <f t="shared" si="5"/>
        <v>3163.8</v>
      </c>
      <c r="B92">
        <f t="shared" si="7"/>
        <v>3163.799999999992</v>
      </c>
      <c r="C92">
        <v>987.5982638925243</v>
      </c>
      <c r="D92" s="4">
        <f t="shared" si="8"/>
        <v>6.4755036337432792E-2</v>
      </c>
      <c r="Q92">
        <f t="shared" si="6"/>
        <v>3.4699999999920692</v>
      </c>
      <c r="R92">
        <f>C92-'Parameter Page'!$B$18</f>
        <v>6.8173096673197051</v>
      </c>
      <c r="S92" s="7">
        <v>66</v>
      </c>
      <c r="T92" s="7">
        <v>6.6776408241385345</v>
      </c>
      <c r="U92" s="7">
        <v>1.3840272432703138E-2</v>
      </c>
      <c r="W92" s="7">
        <v>64.851485148514854</v>
      </c>
      <c r="X92" s="7">
        <v>6.6914810965712377</v>
      </c>
    </row>
    <row r="93" spans="1:24" x14ac:dyDescent="0.25">
      <c r="A93" t="str">
        <f t="shared" si="5"/>
        <v>3163.9</v>
      </c>
      <c r="B93">
        <f t="shared" si="7"/>
        <v>3163.8999999999919</v>
      </c>
      <c r="C93">
        <v>987.60350983608737</v>
      </c>
      <c r="D93" s="4">
        <f t="shared" si="8"/>
        <v>5.2459435630728385E-2</v>
      </c>
      <c r="Q93">
        <f t="shared" si="6"/>
        <v>3.5699999999919783</v>
      </c>
      <c r="R93">
        <f>C93-'Parameter Page'!$B$18</f>
        <v>6.8225556108827732</v>
      </c>
      <c r="S93" s="7">
        <v>67</v>
      </c>
      <c r="T93" s="7">
        <v>6.6844751410658034</v>
      </c>
      <c r="U93" s="7">
        <v>1.0447860653840735E-2</v>
      </c>
      <c r="W93" s="7">
        <v>65.841584158415841</v>
      </c>
      <c r="X93" s="7">
        <v>6.6949230017196442</v>
      </c>
    </row>
    <row r="94" spans="1:24" x14ac:dyDescent="0.25">
      <c r="A94" t="str">
        <f t="shared" si="5"/>
        <v>3164.0</v>
      </c>
      <c r="B94">
        <f t="shared" si="7"/>
        <v>3163.9999999999918</v>
      </c>
      <c r="C94">
        <v>987.60219522548698</v>
      </c>
      <c r="D94" s="4">
        <f t="shared" si="8"/>
        <v>-1.3146106003899281E-2</v>
      </c>
      <c r="Q94">
        <f t="shared" si="6"/>
        <v>3.6699999999918873</v>
      </c>
      <c r="R94">
        <f>C94-'Parameter Page'!$B$18</f>
        <v>6.8212410002823844</v>
      </c>
      <c r="S94" s="7">
        <v>68</v>
      </c>
      <c r="T94" s="7">
        <v>6.6913094579930723</v>
      </c>
      <c r="U94" s="7">
        <v>7.5930489262807654E-3</v>
      </c>
      <c r="W94" s="7">
        <v>66.831683168316843</v>
      </c>
      <c r="X94" s="7">
        <v>6.6989025069193531</v>
      </c>
    </row>
    <row r="95" spans="1:24" x14ac:dyDescent="0.25">
      <c r="A95" t="str">
        <f t="shared" si="5"/>
        <v>3164.1</v>
      </c>
      <c r="B95">
        <f t="shared" si="7"/>
        <v>3164.0999999999917</v>
      </c>
      <c r="C95">
        <v>987.60611976899406</v>
      </c>
      <c r="D95" s="4">
        <f t="shared" si="8"/>
        <v>3.924543507086059E-2</v>
      </c>
      <c r="Q95">
        <f t="shared" si="6"/>
        <v>3.7699999999917964</v>
      </c>
      <c r="R95">
        <f>C95-'Parameter Page'!$B$18</f>
        <v>6.8251655437894669</v>
      </c>
      <c r="S95" s="7">
        <v>69</v>
      </c>
      <c r="T95" s="7">
        <v>6.6981437749203412</v>
      </c>
      <c r="U95" s="7">
        <v>8.430267453972462E-3</v>
      </c>
      <c r="W95" s="7">
        <v>67.821782178217831</v>
      </c>
      <c r="X95" s="7">
        <v>6.7065740423743136</v>
      </c>
    </row>
    <row r="96" spans="1:24" x14ac:dyDescent="0.25">
      <c r="A96" t="str">
        <f t="shared" si="5"/>
        <v>3164.2</v>
      </c>
      <c r="B96">
        <f t="shared" si="7"/>
        <v>3164.1999999999916</v>
      </c>
      <c r="C96">
        <v>987.61029372532687</v>
      </c>
      <c r="D96" s="4">
        <f t="shared" si="8"/>
        <v>4.1739563328102795E-2</v>
      </c>
      <c r="Q96">
        <f t="shared" si="6"/>
        <v>3.8699999999917054</v>
      </c>
      <c r="R96">
        <f>C96-'Parameter Page'!$B$18</f>
        <v>6.8293395001222734</v>
      </c>
      <c r="S96" s="7">
        <v>70</v>
      </c>
      <c r="T96" s="7">
        <v>6.7049780918476101</v>
      </c>
      <c r="U96" s="7">
        <v>1.1903878229728271E-2</v>
      </c>
      <c r="W96" s="7">
        <v>68.811881188118818</v>
      </c>
      <c r="X96" s="7">
        <v>6.7168819700773383</v>
      </c>
    </row>
    <row r="97" spans="1:24" x14ac:dyDescent="0.25">
      <c r="A97" t="str">
        <f t="shared" si="5"/>
        <v>3164.3</v>
      </c>
      <c r="B97">
        <f t="shared" si="7"/>
        <v>3164.2999999999915</v>
      </c>
      <c r="C97">
        <v>987.62165443090282</v>
      </c>
      <c r="D97" s="4">
        <f t="shared" si="8"/>
        <v>0.11360705575963366</v>
      </c>
      <c r="Q97">
        <f t="shared" si="6"/>
        <v>3.9699999999916145</v>
      </c>
      <c r="R97">
        <f>C97-'Parameter Page'!$B$18</f>
        <v>6.8407002056982265</v>
      </c>
      <c r="S97" s="7">
        <v>71</v>
      </c>
      <c r="T97" s="7">
        <v>6.7118124087748789</v>
      </c>
      <c r="U97" s="7">
        <v>1.6037600597339718E-2</v>
      </c>
      <c r="W97" s="7">
        <v>69.801980198019805</v>
      </c>
      <c r="X97" s="7">
        <v>6.7278500093722187</v>
      </c>
    </row>
    <row r="98" spans="1:24" x14ac:dyDescent="0.25">
      <c r="A98" t="str">
        <f t="shared" si="5"/>
        <v>3164.4</v>
      </c>
      <c r="B98">
        <f t="shared" si="7"/>
        <v>3164.3999999999915</v>
      </c>
      <c r="C98">
        <v>987.63833366737254</v>
      </c>
      <c r="D98" s="4">
        <f t="shared" si="8"/>
        <v>0.16679236469728201</v>
      </c>
      <c r="Q98">
        <f t="shared" si="6"/>
        <v>4.0699999999915235</v>
      </c>
      <c r="R98">
        <f>C98-'Parameter Page'!$B$18</f>
        <v>6.8573794421679395</v>
      </c>
      <c r="S98" s="7">
        <v>72</v>
      </c>
      <c r="T98" s="7">
        <v>6.7186467257021478</v>
      </c>
      <c r="U98" s="7">
        <v>1.3161539257988686E-2</v>
      </c>
      <c r="W98" s="7">
        <v>70.792079207920793</v>
      </c>
      <c r="X98" s="7">
        <v>6.7318082649601365</v>
      </c>
    </row>
    <row r="99" spans="1:24" x14ac:dyDescent="0.25">
      <c r="A99" t="str">
        <f t="shared" si="5"/>
        <v>3164.5</v>
      </c>
      <c r="B99">
        <f t="shared" si="7"/>
        <v>3164.4999999999914</v>
      </c>
      <c r="C99">
        <v>987.64063868701305</v>
      </c>
      <c r="D99" s="4">
        <f t="shared" si="8"/>
        <v>2.3050196405186442E-2</v>
      </c>
      <c r="Q99">
        <f t="shared" si="6"/>
        <v>4.1699999999914326</v>
      </c>
      <c r="R99">
        <f>C99-'Parameter Page'!$B$18</f>
        <v>6.859684461808456</v>
      </c>
      <c r="S99" s="7">
        <v>73</v>
      </c>
      <c r="T99" s="7">
        <v>6.7254810426294167</v>
      </c>
      <c r="U99" s="7">
        <v>1.028547791841028E-2</v>
      </c>
      <c r="W99" s="7">
        <v>71.782178217821794</v>
      </c>
      <c r="X99" s="7">
        <v>6.735766520547827</v>
      </c>
    </row>
    <row r="100" spans="1:24" x14ac:dyDescent="0.25">
      <c r="A100" t="str">
        <f t="shared" si="5"/>
        <v>3164.6</v>
      </c>
      <c r="B100">
        <f t="shared" si="7"/>
        <v>3164.5999999999913</v>
      </c>
      <c r="C100">
        <v>987.64403712094429</v>
      </c>
      <c r="D100" s="4">
        <f t="shared" si="8"/>
        <v>3.3984339312413778E-2</v>
      </c>
      <c r="Q100">
        <f t="shared" si="6"/>
        <v>4.2699999999913416</v>
      </c>
      <c r="R100">
        <f>C100-'Parameter Page'!$B$18</f>
        <v>6.8630828957396943</v>
      </c>
      <c r="S100" s="7">
        <v>74</v>
      </c>
      <c r="T100" s="7">
        <v>6.7323153595566856</v>
      </c>
      <c r="U100" s="7">
        <v>2.3776419675606952E-2</v>
      </c>
      <c r="W100" s="7">
        <v>72.772277227722782</v>
      </c>
      <c r="X100" s="7">
        <v>6.7560917792322925</v>
      </c>
    </row>
    <row r="101" spans="1:24" x14ac:dyDescent="0.25">
      <c r="A101" t="str">
        <f t="shared" si="5"/>
        <v>3164.7</v>
      </c>
      <c r="B101">
        <f t="shared" si="7"/>
        <v>3164.6999999999912</v>
      </c>
      <c r="C101">
        <v>987.64808757828655</v>
      </c>
      <c r="D101" s="4">
        <f t="shared" si="8"/>
        <v>4.0504573422631897E-2</v>
      </c>
      <c r="Q101">
        <f t="shared" si="6"/>
        <v>4.3699999999912507</v>
      </c>
      <c r="R101">
        <f>C101-'Parameter Page'!$B$18</f>
        <v>6.8671333530819538</v>
      </c>
      <c r="S101" s="7">
        <v>75</v>
      </c>
      <c r="T101" s="7">
        <v>6.7391496764839545</v>
      </c>
      <c r="U101" s="7">
        <v>2.3865498838652854E-2</v>
      </c>
      <c r="W101" s="7">
        <v>73.762376237623769</v>
      </c>
      <c r="X101" s="7">
        <v>6.759478969675456</v>
      </c>
    </row>
    <row r="102" spans="1:24" x14ac:dyDescent="0.25">
      <c r="A102" t="str">
        <f t="shared" si="5"/>
        <v>3164.8</v>
      </c>
      <c r="B102">
        <f t="shared" si="7"/>
        <v>3164.7999999999911</v>
      </c>
      <c r="C102">
        <v>987.65095460889097</v>
      </c>
      <c r="D102" s="4">
        <f t="shared" si="8"/>
        <v>2.8670306044231139E-2</v>
      </c>
      <c r="Q102">
        <f t="shared" si="6"/>
        <v>4.4699999999911597</v>
      </c>
      <c r="R102">
        <f>C102-'Parameter Page'!$B$18</f>
        <v>6.8700003836863743</v>
      </c>
      <c r="S102" s="7">
        <v>76</v>
      </c>
      <c r="T102" s="7">
        <v>6.7459839934112233</v>
      </c>
      <c r="U102" s="7">
        <v>1.3494976264232683E-2</v>
      </c>
      <c r="W102" s="7">
        <v>74.752475247524757</v>
      </c>
      <c r="X102" s="7">
        <v>6.7630151753226073</v>
      </c>
    </row>
    <row r="103" spans="1:24" x14ac:dyDescent="0.25">
      <c r="A103" t="str">
        <f t="shared" si="5"/>
        <v>3164.9</v>
      </c>
      <c r="B103">
        <f t="shared" si="7"/>
        <v>3164.899999999991</v>
      </c>
      <c r="C103">
        <v>987.65561080483531</v>
      </c>
      <c r="D103" s="4">
        <f t="shared" si="8"/>
        <v>4.65619594433943E-2</v>
      </c>
      <c r="Q103">
        <f t="shared" si="6"/>
        <v>4.5699999999910688</v>
      </c>
      <c r="R103">
        <f>C103-'Parameter Page'!$B$18</f>
        <v>6.8746565796307095</v>
      </c>
      <c r="S103" s="7">
        <v>77</v>
      </c>
      <c r="T103" s="7">
        <v>6.7528183103384922</v>
      </c>
      <c r="U103" s="7">
        <v>1.1958295112114214E-2</v>
      </c>
      <c r="W103" s="7">
        <v>75.742574257425744</v>
      </c>
      <c r="X103" s="7">
        <v>6.7647766054506064</v>
      </c>
    </row>
    <row r="104" spans="1:24" x14ac:dyDescent="0.25">
      <c r="A104" t="str">
        <f t="shared" si="5"/>
        <v>3165.0</v>
      </c>
      <c r="B104">
        <f t="shared" si="7"/>
        <v>3164.9999999999909</v>
      </c>
      <c r="C104">
        <v>987.65902049050987</v>
      </c>
      <c r="D104" s="4">
        <f t="shared" si="8"/>
        <v>3.4096856745722194E-2</v>
      </c>
      <c r="Q104">
        <f t="shared" si="6"/>
        <v>4.6699999999909778</v>
      </c>
      <c r="R104">
        <f>C104-'Parameter Page'!$B$18</f>
        <v>6.8780662653052786</v>
      </c>
      <c r="S104" s="7">
        <v>78</v>
      </c>
      <c r="T104" s="7">
        <v>6.7596526272657611</v>
      </c>
      <c r="U104" s="7">
        <v>9.1854331777385667E-3</v>
      </c>
      <c r="W104" s="7">
        <v>76.732673267326732</v>
      </c>
      <c r="X104" s="7">
        <v>6.7688380604434997</v>
      </c>
    </row>
    <row r="105" spans="1:24" x14ac:dyDescent="0.25">
      <c r="S105" s="7">
        <v>79</v>
      </c>
      <c r="T105" s="7">
        <v>6.76648694419303</v>
      </c>
      <c r="U105" s="7">
        <v>3.1998685717731234E-3</v>
      </c>
      <c r="W105" s="7">
        <v>77.722772277227733</v>
      </c>
      <c r="X105" s="7">
        <v>6.7696868127648031</v>
      </c>
    </row>
    <row r="106" spans="1:24" x14ac:dyDescent="0.25">
      <c r="S106" s="7">
        <v>80</v>
      </c>
      <c r="T106" s="7">
        <v>6.7733212611202989</v>
      </c>
      <c r="U106" s="7">
        <v>-7.2330735944792224E-4</v>
      </c>
      <c r="W106" s="7">
        <v>78.712871287128721</v>
      </c>
      <c r="X106" s="7">
        <v>6.7725979537608509</v>
      </c>
    </row>
    <row r="107" spans="1:24" x14ac:dyDescent="0.25">
      <c r="S107" s="7">
        <v>81</v>
      </c>
      <c r="T107" s="7">
        <v>6.7801555780475677</v>
      </c>
      <c r="U107" s="7">
        <v>-3.5932401221838717E-3</v>
      </c>
      <c r="W107" s="7">
        <v>79.702970297029708</v>
      </c>
      <c r="X107" s="7">
        <v>6.7765623379253839</v>
      </c>
    </row>
    <row r="108" spans="1:24" x14ac:dyDescent="0.25">
      <c r="S108" s="7">
        <v>82</v>
      </c>
      <c r="T108" s="7">
        <v>6.7869898949748357</v>
      </c>
      <c r="U108" s="7">
        <v>-4.0283050174547697E-3</v>
      </c>
      <c r="W108" s="7">
        <v>80.693069306930695</v>
      </c>
      <c r="X108" s="7">
        <v>6.782961589957381</v>
      </c>
    </row>
    <row r="109" spans="1:24" x14ac:dyDescent="0.25">
      <c r="S109" s="7">
        <v>83</v>
      </c>
      <c r="T109" s="7">
        <v>6.7938242119021046</v>
      </c>
      <c r="U109" s="7">
        <v>-6.7405905207200689E-3</v>
      </c>
      <c r="W109" s="7">
        <v>81.683168316831683</v>
      </c>
      <c r="X109" s="7">
        <v>6.7870836213813845</v>
      </c>
    </row>
    <row r="110" spans="1:24" x14ac:dyDescent="0.25">
      <c r="S110" s="7">
        <v>84</v>
      </c>
      <c r="T110" s="7">
        <v>6.8006585288293735</v>
      </c>
      <c r="U110" s="7">
        <v>1.7891788337038861E-3</v>
      </c>
      <c r="W110" s="7">
        <v>82.673267326732685</v>
      </c>
      <c r="X110" s="7">
        <v>6.8024477076630774</v>
      </c>
    </row>
    <row r="111" spans="1:24" x14ac:dyDescent="0.25">
      <c r="S111" s="7">
        <v>85</v>
      </c>
      <c r="T111" s="7">
        <v>6.8074928457566424</v>
      </c>
      <c r="U111" s="7">
        <v>-1.0564405779271979E-3</v>
      </c>
      <c r="W111" s="7">
        <v>83.663366336633672</v>
      </c>
      <c r="X111" s="7">
        <v>6.8064364051787152</v>
      </c>
    </row>
    <row r="112" spans="1:24" x14ac:dyDescent="0.25">
      <c r="S112" s="7">
        <v>86</v>
      </c>
      <c r="T112" s="7">
        <v>6.8143271626839113</v>
      </c>
      <c r="U112" s="7">
        <v>-6.9061221765185365E-3</v>
      </c>
      <c r="W112" s="7">
        <v>84.653465346534659</v>
      </c>
      <c r="X112" s="7">
        <v>6.8074210405073927</v>
      </c>
    </row>
    <row r="113" spans="19:24" x14ac:dyDescent="0.25">
      <c r="S113" s="7">
        <v>87</v>
      </c>
      <c r="T113" s="7">
        <v>6.8211614796111801</v>
      </c>
      <c r="U113" s="7">
        <v>-9.8109379261925866E-3</v>
      </c>
      <c r="W113" s="7">
        <v>85.643564356435647</v>
      </c>
      <c r="X113" s="7">
        <v>6.8108341636859677</v>
      </c>
    </row>
    <row r="114" spans="19:24" x14ac:dyDescent="0.25">
      <c r="S114" s="7">
        <v>88</v>
      </c>
      <c r="T114" s="7">
        <v>6.827995796538449</v>
      </c>
      <c r="U114" s="7">
        <v>-1.716163285248129E-2</v>
      </c>
      <c r="W114" s="7">
        <v>86.633663366336634</v>
      </c>
      <c r="X114" s="7">
        <v>6.8113505416849875</v>
      </c>
    </row>
    <row r="115" spans="19:24" x14ac:dyDescent="0.25">
      <c r="S115" s="7">
        <v>89</v>
      </c>
      <c r="T115" s="7">
        <v>6.8348301134657179</v>
      </c>
      <c r="U115" s="7">
        <v>-1.752044614601278E-2</v>
      </c>
      <c r="W115" s="7">
        <v>87.623762376237622</v>
      </c>
      <c r="X115" s="7">
        <v>6.8173096673197051</v>
      </c>
    </row>
    <row r="116" spans="19:24" x14ac:dyDescent="0.25">
      <c r="S116" s="7">
        <v>90</v>
      </c>
      <c r="T116" s="7">
        <v>6.8416644303929868</v>
      </c>
      <c r="U116" s="7">
        <v>-1.9108819510213593E-2</v>
      </c>
      <c r="W116" s="7">
        <v>88.613861386138623</v>
      </c>
      <c r="X116" s="7">
        <v>6.8212410002823844</v>
      </c>
    </row>
    <row r="117" spans="19:24" x14ac:dyDescent="0.25">
      <c r="S117" s="7">
        <v>91</v>
      </c>
      <c r="T117" s="7">
        <v>6.8484987473202557</v>
      </c>
      <c r="U117" s="7">
        <v>-2.7257747037871205E-2</v>
      </c>
      <c r="W117" s="7">
        <v>89.603960396039611</v>
      </c>
      <c r="X117" s="7">
        <v>6.8225556108827732</v>
      </c>
    </row>
    <row r="118" spans="19:24" x14ac:dyDescent="0.25">
      <c r="S118" s="7">
        <v>92</v>
      </c>
      <c r="T118" s="7">
        <v>6.8553330642475245</v>
      </c>
      <c r="U118" s="7">
        <v>-3.0167520458057595E-2</v>
      </c>
      <c r="W118" s="7">
        <v>90.594059405940598</v>
      </c>
      <c r="X118" s="7">
        <v>6.8251655437894669</v>
      </c>
    </row>
    <row r="119" spans="19:24" x14ac:dyDescent="0.25">
      <c r="S119" s="7">
        <v>93</v>
      </c>
      <c r="T119" s="7">
        <v>6.8621673811747934</v>
      </c>
      <c r="U119" s="7">
        <v>-3.2827881052519992E-2</v>
      </c>
      <c r="W119" s="7">
        <v>91.584158415841586</v>
      </c>
      <c r="X119" s="7">
        <v>6.8293395001222734</v>
      </c>
    </row>
    <row r="120" spans="19:24" x14ac:dyDescent="0.25">
      <c r="S120" s="7">
        <v>94</v>
      </c>
      <c r="T120" s="7">
        <v>6.8690016981020623</v>
      </c>
      <c r="U120" s="7">
        <v>-2.8301492403835837E-2</v>
      </c>
      <c r="W120" s="7">
        <v>92.574257425742573</v>
      </c>
      <c r="X120" s="7">
        <v>6.8407002056982265</v>
      </c>
    </row>
    <row r="121" spans="19:24" x14ac:dyDescent="0.25">
      <c r="S121" s="7">
        <v>95</v>
      </c>
      <c r="T121" s="7">
        <v>6.8758360150293312</v>
      </c>
      <c r="U121" s="7">
        <v>-1.8456572861391685E-2</v>
      </c>
      <c r="W121" s="7">
        <v>93.564356435643575</v>
      </c>
      <c r="X121" s="7">
        <v>6.8573794421679395</v>
      </c>
    </row>
    <row r="122" spans="19:24" x14ac:dyDescent="0.25">
      <c r="S122" s="7">
        <v>96</v>
      </c>
      <c r="T122" s="7">
        <v>6.8826703319566001</v>
      </c>
      <c r="U122" s="7">
        <v>-2.2985870148144016E-2</v>
      </c>
      <c r="W122" s="7">
        <v>94.554455445544562</v>
      </c>
      <c r="X122" s="7">
        <v>6.859684461808456</v>
      </c>
    </row>
    <row r="123" spans="19:24" x14ac:dyDescent="0.25">
      <c r="S123" s="7">
        <v>97</v>
      </c>
      <c r="T123" s="7">
        <v>6.8895046488838689</v>
      </c>
      <c r="U123" s="7">
        <v>-2.6421753144174609E-2</v>
      </c>
      <c r="W123" s="7">
        <v>95.544554455445549</v>
      </c>
      <c r="X123" s="7">
        <v>6.8630828957396943</v>
      </c>
    </row>
    <row r="124" spans="19:24" x14ac:dyDescent="0.25">
      <c r="S124" s="7">
        <v>98</v>
      </c>
      <c r="T124" s="7">
        <v>6.8963389658111378</v>
      </c>
      <c r="U124" s="7">
        <v>-2.9205612729183983E-2</v>
      </c>
      <c r="W124" s="7">
        <v>96.534653465346537</v>
      </c>
      <c r="X124" s="7">
        <v>6.8671333530819538</v>
      </c>
    </row>
    <row r="125" spans="19:24" x14ac:dyDescent="0.25">
      <c r="S125" s="7">
        <v>99</v>
      </c>
      <c r="T125" s="7">
        <v>6.9031732827384058</v>
      </c>
      <c r="U125" s="7">
        <v>-3.3172899052031468E-2</v>
      </c>
      <c r="W125" s="7">
        <v>97.524752475247524</v>
      </c>
      <c r="X125" s="7">
        <v>6.8700003836863743</v>
      </c>
    </row>
    <row r="126" spans="19:24" x14ac:dyDescent="0.25">
      <c r="S126" s="7">
        <v>100</v>
      </c>
      <c r="T126" s="7">
        <v>6.9100075996656747</v>
      </c>
      <c r="U126" s="7">
        <v>-3.5351020034965153E-2</v>
      </c>
      <c r="W126" s="7">
        <v>98.514851485148526</v>
      </c>
      <c r="X126" s="7">
        <v>6.8746565796307095</v>
      </c>
    </row>
    <row r="127" spans="19:24" ht="15.75" thickBot="1" x14ac:dyDescent="0.3">
      <c r="S127" s="8">
        <v>101</v>
      </c>
      <c r="T127" s="8">
        <v>6.9168419165929436</v>
      </c>
      <c r="U127" s="8">
        <v>-3.8775651287664914E-2</v>
      </c>
      <c r="W127" s="8">
        <v>99.504950495049513</v>
      </c>
      <c r="X127" s="8">
        <v>6.8780662653052786</v>
      </c>
    </row>
  </sheetData>
  <sortState ref="X27:X127">
    <sortCondition ref="X2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2.black_scholes_sensitivity_in_step_1">
                <anchor moveWithCells="1" sizeWithCells="1">
                  <from>
                    <xdr:col>4</xdr:col>
                    <xdr:colOff>333375</xdr:colOff>
                    <xdr:row>3</xdr:row>
                    <xdr:rowOff>47625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128"/>
  <sheetViews>
    <sheetView workbookViewId="0"/>
  </sheetViews>
  <sheetFormatPr defaultRowHeight="15" x14ac:dyDescent="0.25"/>
  <cols>
    <col min="5" max="5" width="22.5703125" bestFit="1" customWidth="1"/>
    <col min="14" max="14" width="12.140625" bestFit="1" customWidth="1"/>
  </cols>
  <sheetData>
    <row r="1" spans="1:21" x14ac:dyDescent="0.25">
      <c r="A1" t="s">
        <v>34</v>
      </c>
      <c r="B1">
        <f>'Parameter Page'!B10</f>
        <v>3160.33</v>
      </c>
      <c r="E1">
        <f>B1-50</f>
        <v>3110.33</v>
      </c>
      <c r="F1">
        <f>B1+50</f>
        <v>3210.33</v>
      </c>
    </row>
    <row r="2" spans="1:21" x14ac:dyDescent="0.25">
      <c r="B2" t="s">
        <v>36</v>
      </c>
      <c r="C2">
        <f>COUNT(A4:A104)</f>
        <v>101</v>
      </c>
    </row>
    <row r="3" spans="1:21" x14ac:dyDescent="0.25">
      <c r="A3" t="s">
        <v>42</v>
      </c>
      <c r="B3" t="s">
        <v>35</v>
      </c>
      <c r="E3" t="s">
        <v>114</v>
      </c>
      <c r="F3">
        <f>$B$54</f>
        <v>976.53162964174692</v>
      </c>
      <c r="N3" t="s">
        <v>112</v>
      </c>
      <c r="O3" t="s">
        <v>113</v>
      </c>
    </row>
    <row r="4" spans="1:21" x14ac:dyDescent="0.25">
      <c r="A4">
        <f>E1</f>
        <v>3110.33</v>
      </c>
      <c r="B4">
        <v>973.41261967495802</v>
      </c>
      <c r="N4">
        <f>A4-$B$1</f>
        <v>-50</v>
      </c>
      <c r="O4">
        <f>B4-$F$3</f>
        <v>-3.1190099667888944</v>
      </c>
      <c r="P4" t="s">
        <v>80</v>
      </c>
    </row>
    <row r="5" spans="1:21" ht="15.75" thickBot="1" x14ac:dyDescent="0.3">
      <c r="A5">
        <f>A4+1</f>
        <v>3111.33</v>
      </c>
      <c r="B5">
        <v>973.46738035164196</v>
      </c>
      <c r="N5">
        <f t="shared" ref="N5:N68" si="0">A5-$B$1</f>
        <v>-49</v>
      </c>
      <c r="O5">
        <f t="shared" ref="O5:O68" si="1">B5-$F$3</f>
        <v>-3.0642492901049536</v>
      </c>
    </row>
    <row r="6" spans="1:21" x14ac:dyDescent="0.25">
      <c r="A6">
        <f t="shared" ref="A6:A69" si="2">A5+1</f>
        <v>3112.33</v>
      </c>
      <c r="B6">
        <v>973.53160828656314</v>
      </c>
      <c r="N6">
        <f t="shared" si="0"/>
        <v>-48</v>
      </c>
      <c r="O6">
        <f t="shared" si="1"/>
        <v>-3.000021355183776</v>
      </c>
      <c r="P6" s="10" t="s">
        <v>81</v>
      </c>
      <c r="Q6" s="10"/>
    </row>
    <row r="7" spans="1:21" x14ac:dyDescent="0.25">
      <c r="A7">
        <f t="shared" si="2"/>
        <v>3113.33</v>
      </c>
      <c r="B7">
        <v>973.57234561666178</v>
      </c>
      <c r="N7">
        <f t="shared" si="0"/>
        <v>-47</v>
      </c>
      <c r="O7">
        <f t="shared" si="1"/>
        <v>-2.9592840250851395</v>
      </c>
      <c r="P7" s="7" t="s">
        <v>82</v>
      </c>
      <c r="Q7" s="7">
        <v>0.99922597733072582</v>
      </c>
    </row>
    <row r="8" spans="1:21" x14ac:dyDescent="0.25">
      <c r="A8">
        <f t="shared" si="2"/>
        <v>3114.33</v>
      </c>
      <c r="B8">
        <v>973.65388122658021</v>
      </c>
      <c r="N8">
        <f t="shared" si="0"/>
        <v>-46</v>
      </c>
      <c r="O8">
        <f t="shared" si="1"/>
        <v>-2.8777484151667068</v>
      </c>
      <c r="P8" s="7" t="s">
        <v>83</v>
      </c>
      <c r="Q8" s="7">
        <v>0.99845255377254427</v>
      </c>
    </row>
    <row r="9" spans="1:21" x14ac:dyDescent="0.25">
      <c r="A9">
        <f t="shared" si="2"/>
        <v>3115.33</v>
      </c>
      <c r="B9">
        <v>973.7194734103449</v>
      </c>
      <c r="N9">
        <f t="shared" si="0"/>
        <v>-45</v>
      </c>
      <c r="O9">
        <f t="shared" si="1"/>
        <v>-2.8121562314020139</v>
      </c>
      <c r="P9" s="7" t="s">
        <v>84</v>
      </c>
      <c r="Q9" s="7">
        <v>0.99843692300257003</v>
      </c>
    </row>
    <row r="10" spans="1:21" x14ac:dyDescent="0.25">
      <c r="A10">
        <f t="shared" si="2"/>
        <v>3116.33</v>
      </c>
      <c r="B10">
        <v>973.76585067661961</v>
      </c>
      <c r="N10">
        <f t="shared" si="0"/>
        <v>-44</v>
      </c>
      <c r="O10">
        <f t="shared" si="1"/>
        <v>-2.7657789651273106</v>
      </c>
      <c r="P10" s="7" t="s">
        <v>85</v>
      </c>
      <c r="Q10" s="7">
        <v>6.9930570481244098E-2</v>
      </c>
    </row>
    <row r="11" spans="1:21" ht="15.75" thickBot="1" x14ac:dyDescent="0.3">
      <c r="A11">
        <f t="shared" si="2"/>
        <v>3117.33</v>
      </c>
      <c r="B11">
        <v>973.81236064544134</v>
      </c>
      <c r="N11">
        <f t="shared" si="0"/>
        <v>-43</v>
      </c>
      <c r="O11">
        <f t="shared" si="1"/>
        <v>-2.7192689963055727</v>
      </c>
      <c r="P11" s="8" t="s">
        <v>86</v>
      </c>
      <c r="Q11" s="8">
        <v>101</v>
      </c>
    </row>
    <row r="12" spans="1:21" x14ac:dyDescent="0.25">
      <c r="A12">
        <f t="shared" si="2"/>
        <v>3118.33</v>
      </c>
      <c r="B12">
        <v>973.86731520336139</v>
      </c>
      <c r="N12">
        <f t="shared" si="0"/>
        <v>-42</v>
      </c>
      <c r="O12">
        <f t="shared" si="1"/>
        <v>-2.6643144383855315</v>
      </c>
    </row>
    <row r="13" spans="1:21" ht="15.75" thickBot="1" x14ac:dyDescent="0.3">
      <c r="A13">
        <f t="shared" si="2"/>
        <v>3119.33</v>
      </c>
      <c r="B13">
        <v>973.93321043012008</v>
      </c>
      <c r="N13">
        <f t="shared" si="0"/>
        <v>-41</v>
      </c>
      <c r="O13">
        <f t="shared" si="1"/>
        <v>-2.5984192116268332</v>
      </c>
      <c r="P13" t="s">
        <v>87</v>
      </c>
    </row>
    <row r="14" spans="1:21" x14ac:dyDescent="0.25">
      <c r="A14">
        <f t="shared" si="2"/>
        <v>3120.33</v>
      </c>
      <c r="B14">
        <v>973.991185899686</v>
      </c>
      <c r="N14">
        <f t="shared" si="0"/>
        <v>-40</v>
      </c>
      <c r="O14">
        <f t="shared" si="1"/>
        <v>-2.5404437420609156</v>
      </c>
      <c r="P14" s="9"/>
      <c r="Q14" s="9" t="s">
        <v>92</v>
      </c>
      <c r="R14" s="9" t="s">
        <v>93</v>
      </c>
      <c r="S14" s="9" t="s">
        <v>94</v>
      </c>
      <c r="T14" s="9" t="s">
        <v>95</v>
      </c>
      <c r="U14" s="9" t="s">
        <v>96</v>
      </c>
    </row>
    <row r="15" spans="1:21" x14ac:dyDescent="0.25">
      <c r="A15">
        <f t="shared" si="2"/>
        <v>3121.33</v>
      </c>
      <c r="B15">
        <v>974.06118519144502</v>
      </c>
      <c r="N15">
        <f t="shared" si="0"/>
        <v>-39</v>
      </c>
      <c r="O15">
        <f t="shared" si="1"/>
        <v>-2.4704444503018976</v>
      </c>
      <c r="P15" s="7" t="s">
        <v>88</v>
      </c>
      <c r="Q15" s="7">
        <v>1</v>
      </c>
      <c r="R15" s="7">
        <v>312.37854841886167</v>
      </c>
      <c r="S15" s="7">
        <v>312.37854841886167</v>
      </c>
      <c r="T15" s="7">
        <v>63877.374909502854</v>
      </c>
      <c r="U15" s="7">
        <v>6.1563874519111854E-141</v>
      </c>
    </row>
    <row r="16" spans="1:21" x14ac:dyDescent="0.25">
      <c r="A16">
        <f t="shared" si="2"/>
        <v>3122.33</v>
      </c>
      <c r="B16">
        <v>974.12733634512483</v>
      </c>
      <c r="N16">
        <f t="shared" si="0"/>
        <v>-38</v>
      </c>
      <c r="O16">
        <f t="shared" si="1"/>
        <v>-2.404293296622086</v>
      </c>
      <c r="P16" s="7" t="s">
        <v>89</v>
      </c>
      <c r="Q16" s="7">
        <v>99</v>
      </c>
      <c r="R16" s="7">
        <v>0.48413818409539261</v>
      </c>
      <c r="S16" s="7">
        <v>4.8902846878322486E-3</v>
      </c>
      <c r="T16" s="7"/>
      <c r="U16" s="7"/>
    </row>
    <row r="17" spans="1:24" ht="15.75" thickBot="1" x14ac:dyDescent="0.3">
      <c r="A17">
        <f t="shared" si="2"/>
        <v>3123.33</v>
      </c>
      <c r="B17">
        <v>974.19641316878528</v>
      </c>
      <c r="N17">
        <f t="shared" si="0"/>
        <v>-37</v>
      </c>
      <c r="O17">
        <f t="shared" si="1"/>
        <v>-2.3352164729616334</v>
      </c>
      <c r="P17" s="8" t="s">
        <v>90</v>
      </c>
      <c r="Q17" s="8">
        <v>100</v>
      </c>
      <c r="R17" s="8">
        <v>312.86268660295707</v>
      </c>
      <c r="S17" s="8"/>
      <c r="T17" s="8"/>
      <c r="U17" s="8"/>
    </row>
    <row r="18" spans="1:24" ht="15.75" thickBot="1" x14ac:dyDescent="0.3">
      <c r="A18">
        <f t="shared" si="2"/>
        <v>3124.33</v>
      </c>
      <c r="B18">
        <v>974.27900310230109</v>
      </c>
      <c r="N18">
        <f t="shared" si="0"/>
        <v>-36</v>
      </c>
      <c r="O18">
        <f t="shared" si="1"/>
        <v>-2.2526265394458278</v>
      </c>
    </row>
    <row r="19" spans="1:24" x14ac:dyDescent="0.25">
      <c r="A19">
        <f t="shared" si="2"/>
        <v>3125.33</v>
      </c>
      <c r="B19">
        <v>974.35479517253623</v>
      </c>
      <c r="N19">
        <f t="shared" si="0"/>
        <v>-35</v>
      </c>
      <c r="O19">
        <f t="shared" si="1"/>
        <v>-2.1768344692106893</v>
      </c>
      <c r="P19" s="9"/>
      <c r="Q19" s="9" t="s">
        <v>97</v>
      </c>
      <c r="R19" s="9" t="s">
        <v>85</v>
      </c>
      <c r="S19" s="9" t="s">
        <v>98</v>
      </c>
      <c r="T19" s="9" t="s">
        <v>99</v>
      </c>
      <c r="U19" s="9" t="s">
        <v>100</v>
      </c>
      <c r="V19" s="9" t="s">
        <v>101</v>
      </c>
      <c r="W19" s="9" t="s">
        <v>102</v>
      </c>
      <c r="X19" s="9" t="s">
        <v>103</v>
      </c>
    </row>
    <row r="20" spans="1:24" x14ac:dyDescent="0.25">
      <c r="A20">
        <f t="shared" si="2"/>
        <v>3126.33</v>
      </c>
      <c r="B20">
        <v>974.42048989984085</v>
      </c>
      <c r="N20">
        <f t="shared" si="0"/>
        <v>-34</v>
      </c>
      <c r="O20">
        <f t="shared" si="1"/>
        <v>-2.1111397419060722</v>
      </c>
      <c r="P20" s="7" t="s">
        <v>91</v>
      </c>
      <c r="Q20" s="7">
        <v>-2.8972062448612841E-2</v>
      </c>
      <c r="R20" s="7">
        <v>6.9583518361438744E-3</v>
      </c>
      <c r="S20" s="7">
        <v>-4.1636386217383849</v>
      </c>
      <c r="T20" s="7">
        <v>6.6940520630777455E-5</v>
      </c>
      <c r="U20" s="7">
        <v>-4.2778942116991986E-2</v>
      </c>
      <c r="V20" s="7">
        <v>-1.5165182780233698E-2</v>
      </c>
      <c r="W20" s="7">
        <v>-4.2778942116991986E-2</v>
      </c>
      <c r="X20" s="7">
        <v>-1.5165182780233698E-2</v>
      </c>
    </row>
    <row r="21" spans="1:24" ht="15.75" thickBot="1" x14ac:dyDescent="0.3">
      <c r="A21">
        <f t="shared" si="2"/>
        <v>3127.33</v>
      </c>
      <c r="B21">
        <v>974.48969037367408</v>
      </c>
      <c r="N21">
        <f t="shared" si="0"/>
        <v>-33</v>
      </c>
      <c r="O21">
        <f t="shared" si="1"/>
        <v>-2.0419392680728379</v>
      </c>
      <c r="P21" s="8" t="s">
        <v>104</v>
      </c>
      <c r="Q21" s="8">
        <v>6.0321266516566371E-2</v>
      </c>
      <c r="R21" s="8">
        <v>2.3866949896449055E-4</v>
      </c>
      <c r="S21" s="8">
        <v>252.73973749591281</v>
      </c>
      <c r="T21" s="8">
        <v>6.1563874519108358E-141</v>
      </c>
      <c r="U21" s="8">
        <v>5.9847694450894391E-2</v>
      </c>
      <c r="V21" s="8">
        <v>6.0794838582238352E-2</v>
      </c>
      <c r="W21" s="8">
        <v>5.9847694450894391E-2</v>
      </c>
      <c r="X21" s="8">
        <v>6.0794838582238352E-2</v>
      </c>
    </row>
    <row r="22" spans="1:24" x14ac:dyDescent="0.25">
      <c r="A22">
        <f t="shared" si="2"/>
        <v>3128.33</v>
      </c>
      <c r="B22">
        <v>974.54103861267458</v>
      </c>
      <c r="N22">
        <f t="shared" si="0"/>
        <v>-32</v>
      </c>
      <c r="O22">
        <f t="shared" si="1"/>
        <v>-1.9905910290723341</v>
      </c>
    </row>
    <row r="23" spans="1:24" x14ac:dyDescent="0.25">
      <c r="A23">
        <f t="shared" si="2"/>
        <v>3129.33</v>
      </c>
      <c r="B23">
        <v>974.7024558763062</v>
      </c>
      <c r="N23">
        <f t="shared" si="0"/>
        <v>-31</v>
      </c>
      <c r="O23">
        <f t="shared" si="1"/>
        <v>-1.8291737654407143</v>
      </c>
    </row>
    <row r="24" spans="1:24" x14ac:dyDescent="0.25">
      <c r="A24">
        <f t="shared" si="2"/>
        <v>3130.33</v>
      </c>
      <c r="B24">
        <v>974.77717653143986</v>
      </c>
      <c r="N24">
        <f t="shared" si="0"/>
        <v>-30</v>
      </c>
      <c r="O24">
        <f t="shared" si="1"/>
        <v>-1.754453110307054</v>
      </c>
    </row>
    <row r="25" spans="1:24" x14ac:dyDescent="0.25">
      <c r="A25">
        <f t="shared" si="2"/>
        <v>3131.33</v>
      </c>
      <c r="B25">
        <v>974.83469045704703</v>
      </c>
      <c r="N25">
        <f t="shared" si="0"/>
        <v>-29</v>
      </c>
      <c r="O25">
        <f t="shared" si="1"/>
        <v>-1.696939184699886</v>
      </c>
      <c r="P25" t="s">
        <v>105</v>
      </c>
      <c r="T25" t="s">
        <v>109</v>
      </c>
    </row>
    <row r="26" spans="1:24" ht="15.75" thickBot="1" x14ac:dyDescent="0.3">
      <c r="A26">
        <f t="shared" si="2"/>
        <v>3132.33</v>
      </c>
      <c r="B26">
        <v>974.88648245128081</v>
      </c>
      <c r="N26">
        <f t="shared" si="0"/>
        <v>-28</v>
      </c>
      <c r="O26">
        <f t="shared" si="1"/>
        <v>-1.6451471904661048</v>
      </c>
    </row>
    <row r="27" spans="1:24" x14ac:dyDescent="0.25">
      <c r="A27">
        <f t="shared" si="2"/>
        <v>3133.33</v>
      </c>
      <c r="B27">
        <v>974.95248591579355</v>
      </c>
      <c r="N27">
        <f t="shared" si="0"/>
        <v>-27</v>
      </c>
      <c r="O27">
        <f t="shared" si="1"/>
        <v>-1.5791437259533723</v>
      </c>
      <c r="P27" s="9" t="s">
        <v>106</v>
      </c>
      <c r="Q27" s="9" t="s">
        <v>107</v>
      </c>
      <c r="R27" s="9" t="s">
        <v>108</v>
      </c>
      <c r="T27" s="9" t="s">
        <v>110</v>
      </c>
      <c r="U27" s="9" t="s">
        <v>111</v>
      </c>
    </row>
    <row r="28" spans="1:24" x14ac:dyDescent="0.25">
      <c r="A28">
        <f t="shared" si="2"/>
        <v>3134.33</v>
      </c>
      <c r="B28">
        <v>974.99480158302981</v>
      </c>
      <c r="N28">
        <f t="shared" si="0"/>
        <v>-26</v>
      </c>
      <c r="O28">
        <f t="shared" si="1"/>
        <v>-1.5368280587171057</v>
      </c>
      <c r="P28" s="7">
        <v>1</v>
      </c>
      <c r="Q28" s="7">
        <v>-3.0450353882769314</v>
      </c>
      <c r="R28" s="7">
        <v>-7.3974578511962985E-2</v>
      </c>
      <c r="T28" s="7">
        <v>0.49504950495049505</v>
      </c>
      <c r="U28" s="7">
        <v>-3.1190099667888944</v>
      </c>
    </row>
    <row r="29" spans="1:24" x14ac:dyDescent="0.25">
      <c r="A29">
        <f t="shared" si="2"/>
        <v>3135.33</v>
      </c>
      <c r="B29">
        <v>975.06779102315181</v>
      </c>
      <c r="N29">
        <f t="shared" si="0"/>
        <v>-25</v>
      </c>
      <c r="O29">
        <f t="shared" si="1"/>
        <v>-1.4638386185951049</v>
      </c>
      <c r="P29" s="7">
        <v>2</v>
      </c>
      <c r="Q29" s="7">
        <v>-2.9847141217603652</v>
      </c>
      <c r="R29" s="7">
        <v>-7.9535168344588403E-2</v>
      </c>
      <c r="T29" s="7">
        <v>1.4851485148514851</v>
      </c>
      <c r="U29" s="7">
        <v>-3.0642492901049536</v>
      </c>
    </row>
    <row r="30" spans="1:24" x14ac:dyDescent="0.25">
      <c r="A30">
        <f t="shared" si="2"/>
        <v>3136.33</v>
      </c>
      <c r="B30">
        <v>975.12304299006416</v>
      </c>
      <c r="N30">
        <f t="shared" si="0"/>
        <v>-24</v>
      </c>
      <c r="O30">
        <f t="shared" si="1"/>
        <v>-1.4085866516827537</v>
      </c>
      <c r="P30" s="7">
        <v>3</v>
      </c>
      <c r="Q30" s="7">
        <v>-2.9243928552437986</v>
      </c>
      <c r="R30" s="7">
        <v>-7.5628499939977445E-2</v>
      </c>
      <c r="T30" s="7">
        <v>2.4752475247524752</v>
      </c>
      <c r="U30" s="7">
        <v>-3.000021355183776</v>
      </c>
    </row>
    <row r="31" spans="1:24" x14ac:dyDescent="0.25">
      <c r="A31">
        <f t="shared" si="2"/>
        <v>3137.33</v>
      </c>
      <c r="B31">
        <v>975.16170154069619</v>
      </c>
      <c r="N31">
        <f t="shared" si="0"/>
        <v>-23</v>
      </c>
      <c r="O31">
        <f t="shared" si="1"/>
        <v>-1.369928101050732</v>
      </c>
      <c r="P31" s="7">
        <v>4</v>
      </c>
      <c r="Q31" s="7">
        <v>-2.8640715887272323</v>
      </c>
      <c r="R31" s="7">
        <v>-9.5212436357907215E-2</v>
      </c>
      <c r="T31" s="7">
        <v>3.4653465346534653</v>
      </c>
      <c r="U31" s="7">
        <v>-2.9592840250851395</v>
      </c>
    </row>
    <row r="32" spans="1:24" x14ac:dyDescent="0.25">
      <c r="A32">
        <f t="shared" si="2"/>
        <v>3138.33</v>
      </c>
      <c r="B32">
        <v>975.23161179727913</v>
      </c>
      <c r="N32">
        <f t="shared" si="0"/>
        <v>-22</v>
      </c>
      <c r="O32">
        <f t="shared" si="1"/>
        <v>-1.3000178444677886</v>
      </c>
      <c r="P32" s="7">
        <v>5</v>
      </c>
      <c r="Q32" s="7">
        <v>-2.8037503222106661</v>
      </c>
      <c r="R32" s="7">
        <v>-7.3998092956040651E-2</v>
      </c>
      <c r="T32" s="7">
        <v>4.4554455445544559</v>
      </c>
      <c r="U32" s="7">
        <v>-2.8777484151667068</v>
      </c>
    </row>
    <row r="33" spans="1:21" x14ac:dyDescent="0.25">
      <c r="A33">
        <f t="shared" si="2"/>
        <v>3139.33</v>
      </c>
      <c r="B33">
        <v>975.26919397238021</v>
      </c>
      <c r="N33">
        <f t="shared" si="0"/>
        <v>-21</v>
      </c>
      <c r="O33">
        <f t="shared" si="1"/>
        <v>-1.2624356693667096</v>
      </c>
      <c r="P33" s="7">
        <v>6</v>
      </c>
      <c r="Q33" s="7">
        <v>-2.7434290556940994</v>
      </c>
      <c r="R33" s="7">
        <v>-6.8727175707914423E-2</v>
      </c>
      <c r="T33" s="7">
        <v>5.4455445544554451</v>
      </c>
      <c r="U33" s="7">
        <v>-2.8121562314020139</v>
      </c>
    </row>
    <row r="34" spans="1:21" x14ac:dyDescent="0.25">
      <c r="A34">
        <f t="shared" si="2"/>
        <v>3140.33</v>
      </c>
      <c r="B34">
        <v>975.31908033752882</v>
      </c>
      <c r="N34">
        <f t="shared" si="0"/>
        <v>-20</v>
      </c>
      <c r="O34">
        <f t="shared" si="1"/>
        <v>-1.2125493042181006</v>
      </c>
      <c r="P34" s="7">
        <v>7</v>
      </c>
      <c r="Q34" s="7">
        <v>-2.6831077891775332</v>
      </c>
      <c r="R34" s="7">
        <v>-8.2671175949777354E-2</v>
      </c>
      <c r="T34" s="7">
        <v>6.435643564356436</v>
      </c>
      <c r="U34" s="7">
        <v>-2.7657789651273106</v>
      </c>
    </row>
    <row r="35" spans="1:21" x14ac:dyDescent="0.25">
      <c r="A35">
        <f t="shared" si="2"/>
        <v>3141.33</v>
      </c>
      <c r="B35">
        <v>975.37736870882793</v>
      </c>
      <c r="N35">
        <f t="shared" si="0"/>
        <v>-19</v>
      </c>
      <c r="O35">
        <f t="shared" si="1"/>
        <v>-1.1542609329189872</v>
      </c>
      <c r="P35" s="7">
        <v>8</v>
      </c>
      <c r="Q35" s="7">
        <v>-2.622786522660967</v>
      </c>
      <c r="R35" s="7">
        <v>-9.6482473644605715E-2</v>
      </c>
      <c r="T35" s="7">
        <v>7.4257425742574252</v>
      </c>
      <c r="U35" s="7">
        <v>-2.7192689963055727</v>
      </c>
    </row>
    <row r="36" spans="1:21" x14ac:dyDescent="0.25">
      <c r="A36">
        <f t="shared" si="2"/>
        <v>3142.33</v>
      </c>
      <c r="B36">
        <v>975.43553196183802</v>
      </c>
      <c r="N36">
        <f t="shared" si="0"/>
        <v>-18</v>
      </c>
      <c r="O36">
        <f t="shared" si="1"/>
        <v>-1.096097679908894</v>
      </c>
      <c r="P36" s="7">
        <v>9</v>
      </c>
      <c r="Q36" s="7">
        <v>-2.5624652561444003</v>
      </c>
      <c r="R36" s="7">
        <v>-0.10184918224113115</v>
      </c>
      <c r="T36" s="7">
        <v>8.4158415841584162</v>
      </c>
      <c r="U36" s="7">
        <v>-2.6643144383855315</v>
      </c>
    </row>
    <row r="37" spans="1:21" x14ac:dyDescent="0.25">
      <c r="A37">
        <f t="shared" si="2"/>
        <v>3143.33</v>
      </c>
      <c r="B37">
        <v>975.48461694057983</v>
      </c>
      <c r="N37">
        <f t="shared" si="0"/>
        <v>-17</v>
      </c>
      <c r="O37">
        <f t="shared" si="1"/>
        <v>-1.0470127011670911</v>
      </c>
      <c r="P37" s="7">
        <v>10</v>
      </c>
      <c r="Q37" s="7">
        <v>-2.5021439896278341</v>
      </c>
      <c r="R37" s="7">
        <v>-9.6275221998999072E-2</v>
      </c>
      <c r="T37" s="7">
        <v>9.4059405940594072</v>
      </c>
      <c r="U37" s="7">
        <v>-2.5984192116268332</v>
      </c>
    </row>
    <row r="38" spans="1:21" x14ac:dyDescent="0.25">
      <c r="A38">
        <f t="shared" si="2"/>
        <v>3144.33</v>
      </c>
      <c r="B38">
        <v>975.53565092986048</v>
      </c>
      <c r="N38">
        <f t="shared" si="0"/>
        <v>-16</v>
      </c>
      <c r="O38">
        <f t="shared" si="1"/>
        <v>-0.99597871188643694</v>
      </c>
      <c r="P38" s="7">
        <v>11</v>
      </c>
      <c r="Q38" s="7">
        <v>-2.4418227231112679</v>
      </c>
      <c r="R38" s="7">
        <v>-9.8621018949647699E-2</v>
      </c>
      <c r="T38" s="7">
        <v>10.396039603960396</v>
      </c>
      <c r="U38" s="7">
        <v>-2.5404437420609156</v>
      </c>
    </row>
    <row r="39" spans="1:21" x14ac:dyDescent="0.25">
      <c r="A39">
        <f t="shared" si="2"/>
        <v>3145.33</v>
      </c>
      <c r="B39">
        <v>975.59342740553484</v>
      </c>
      <c r="N39">
        <f t="shared" si="0"/>
        <v>-15</v>
      </c>
      <c r="O39">
        <f t="shared" si="1"/>
        <v>-0.93820223621207788</v>
      </c>
      <c r="P39" s="7">
        <v>12</v>
      </c>
      <c r="Q39" s="7">
        <v>-2.3815014565947012</v>
      </c>
      <c r="R39" s="7">
        <v>-8.8942993707196383E-2</v>
      </c>
      <c r="T39" s="7">
        <v>11.386138613861386</v>
      </c>
      <c r="U39" s="7">
        <v>-2.4704444503018976</v>
      </c>
    </row>
    <row r="40" spans="1:21" x14ac:dyDescent="0.25">
      <c r="A40">
        <f t="shared" si="2"/>
        <v>3146.33</v>
      </c>
      <c r="B40">
        <v>975.6368442454575</v>
      </c>
      <c r="N40">
        <f t="shared" si="0"/>
        <v>-14</v>
      </c>
      <c r="O40">
        <f t="shared" si="1"/>
        <v>-0.89478539628942144</v>
      </c>
      <c r="P40" s="7">
        <v>13</v>
      </c>
      <c r="Q40" s="7">
        <v>-2.321180190078135</v>
      </c>
      <c r="R40" s="7">
        <v>-8.3113106543950988E-2</v>
      </c>
      <c r="T40" s="7">
        <v>12.376237623762377</v>
      </c>
      <c r="U40" s="7">
        <v>-2.404293296622086</v>
      </c>
    </row>
    <row r="41" spans="1:21" x14ac:dyDescent="0.25">
      <c r="A41">
        <f t="shared" si="2"/>
        <v>3147.33</v>
      </c>
      <c r="B41">
        <v>975.68801874630879</v>
      </c>
      <c r="N41">
        <f t="shared" si="0"/>
        <v>-13</v>
      </c>
      <c r="O41">
        <f t="shared" si="1"/>
        <v>-0.8436108954381325</v>
      </c>
      <c r="P41" s="7">
        <v>14</v>
      </c>
      <c r="Q41" s="7">
        <v>-2.2608589235615688</v>
      </c>
      <c r="R41" s="7">
        <v>-7.435754940006456E-2</v>
      </c>
      <c r="T41" s="7">
        <v>13.366336633663368</v>
      </c>
      <c r="U41" s="7">
        <v>-2.3352164729616334</v>
      </c>
    </row>
    <row r="42" spans="1:21" x14ac:dyDescent="0.25">
      <c r="A42">
        <f t="shared" si="2"/>
        <v>3148.33</v>
      </c>
      <c r="B42">
        <v>975.7586204939563</v>
      </c>
      <c r="N42">
        <f t="shared" si="0"/>
        <v>-12</v>
      </c>
      <c r="O42">
        <f t="shared" si="1"/>
        <v>-0.77300914779061713</v>
      </c>
      <c r="P42" s="7">
        <v>15</v>
      </c>
      <c r="Q42" s="7">
        <v>-2.2005376570450021</v>
      </c>
      <c r="R42" s="7">
        <v>-5.2088882400825653E-2</v>
      </c>
      <c r="T42" s="7">
        <v>14.356435643564357</v>
      </c>
      <c r="U42" s="7">
        <v>-2.2526265394458278</v>
      </c>
    </row>
    <row r="43" spans="1:21" x14ac:dyDescent="0.25">
      <c r="A43">
        <f t="shared" si="2"/>
        <v>3149.33</v>
      </c>
      <c r="B43">
        <v>975.8062119578035</v>
      </c>
      <c r="N43">
        <f t="shared" si="0"/>
        <v>-11</v>
      </c>
      <c r="O43">
        <f t="shared" si="1"/>
        <v>-0.72541768394341943</v>
      </c>
      <c r="P43" s="7">
        <v>16</v>
      </c>
      <c r="Q43" s="7">
        <v>-2.1402163905284359</v>
      </c>
      <c r="R43" s="7">
        <v>-3.6618078682253419E-2</v>
      </c>
      <c r="T43" s="7">
        <v>15.346534653465346</v>
      </c>
      <c r="U43" s="7">
        <v>-2.1768344692106893</v>
      </c>
    </row>
    <row r="44" spans="1:21" x14ac:dyDescent="0.25">
      <c r="A44">
        <f t="shared" si="2"/>
        <v>3150.33</v>
      </c>
      <c r="B44">
        <v>975.91396306721015</v>
      </c>
      <c r="N44">
        <f t="shared" si="0"/>
        <v>-10</v>
      </c>
      <c r="O44">
        <f t="shared" si="1"/>
        <v>-0.61766657453676999</v>
      </c>
      <c r="P44" s="7">
        <v>17</v>
      </c>
      <c r="Q44" s="7">
        <v>-2.0798951240118697</v>
      </c>
      <c r="R44" s="7">
        <v>-3.124461789420252E-2</v>
      </c>
      <c r="T44" s="7">
        <v>16.336633663366335</v>
      </c>
      <c r="U44" s="7">
        <v>-2.1111397419060722</v>
      </c>
    </row>
    <row r="45" spans="1:21" x14ac:dyDescent="0.25">
      <c r="A45">
        <f t="shared" si="2"/>
        <v>3151.33</v>
      </c>
      <c r="B45">
        <v>975.98392280977066</v>
      </c>
      <c r="N45">
        <f t="shared" si="0"/>
        <v>-9</v>
      </c>
      <c r="O45">
        <f t="shared" si="1"/>
        <v>-0.54770683197625658</v>
      </c>
      <c r="P45" s="7">
        <v>18</v>
      </c>
      <c r="Q45" s="7">
        <v>-2.019573857495303</v>
      </c>
      <c r="R45" s="7">
        <v>-2.2365410577534828E-2</v>
      </c>
      <c r="T45" s="7">
        <v>17.326732673267326</v>
      </c>
      <c r="U45" s="7">
        <v>-2.0419392680728379</v>
      </c>
    </row>
    <row r="46" spans="1:21" x14ac:dyDescent="0.25">
      <c r="A46">
        <f t="shared" si="2"/>
        <v>3152.33</v>
      </c>
      <c r="B46">
        <v>976.03815001770568</v>
      </c>
      <c r="N46">
        <f t="shared" si="0"/>
        <v>-8</v>
      </c>
      <c r="O46">
        <f t="shared" si="1"/>
        <v>-0.49347962404124246</v>
      </c>
      <c r="P46" s="7">
        <v>19</v>
      </c>
      <c r="Q46" s="7">
        <v>-1.9592525909787368</v>
      </c>
      <c r="R46" s="7">
        <v>-3.1338438093597265E-2</v>
      </c>
      <c r="T46" s="7">
        <v>18.316831683168317</v>
      </c>
      <c r="U46" s="7">
        <v>-1.9905910290723341</v>
      </c>
    </row>
    <row r="47" spans="1:21" x14ac:dyDescent="0.25">
      <c r="A47">
        <f t="shared" si="2"/>
        <v>3153.33</v>
      </c>
      <c r="B47">
        <v>976.10382422184728</v>
      </c>
      <c r="N47">
        <f t="shared" si="0"/>
        <v>-7</v>
      </c>
      <c r="O47">
        <f t="shared" si="1"/>
        <v>-0.42780541989964149</v>
      </c>
      <c r="P47" s="7">
        <v>20</v>
      </c>
      <c r="Q47" s="7">
        <v>-1.8989313244621704</v>
      </c>
      <c r="R47" s="7">
        <v>6.9757559021456084E-2</v>
      </c>
      <c r="T47" s="7">
        <v>19.306930693069305</v>
      </c>
      <c r="U47" s="7">
        <v>-1.8291737654407143</v>
      </c>
    </row>
    <row r="48" spans="1:21" x14ac:dyDescent="0.25">
      <c r="A48">
        <f t="shared" si="2"/>
        <v>3154.33</v>
      </c>
      <c r="B48">
        <v>976.16672234950943</v>
      </c>
      <c r="N48">
        <f t="shared" si="0"/>
        <v>-6</v>
      </c>
      <c r="O48">
        <f t="shared" si="1"/>
        <v>-0.36490729223748986</v>
      </c>
      <c r="P48" s="7">
        <v>21</v>
      </c>
      <c r="Q48" s="7">
        <v>-1.8386100579456042</v>
      </c>
      <c r="R48" s="7">
        <v>8.4156947638550195E-2</v>
      </c>
      <c r="T48" s="7">
        <v>20.297029702970296</v>
      </c>
      <c r="U48" s="7">
        <v>-1.754453110307054</v>
      </c>
    </row>
    <row r="49" spans="1:21" x14ac:dyDescent="0.25">
      <c r="A49">
        <f t="shared" si="2"/>
        <v>3155.33</v>
      </c>
      <c r="B49">
        <v>976.22642707739783</v>
      </c>
      <c r="N49">
        <f t="shared" si="0"/>
        <v>-5</v>
      </c>
      <c r="O49">
        <f t="shared" si="1"/>
        <v>-0.30520256434908788</v>
      </c>
      <c r="P49" s="7">
        <v>22</v>
      </c>
      <c r="Q49" s="7">
        <v>-1.7782887914290377</v>
      </c>
      <c r="R49" s="7">
        <v>8.1349606729151702E-2</v>
      </c>
      <c r="T49" s="7">
        <v>21.287128712871286</v>
      </c>
      <c r="U49" s="7">
        <v>-1.696939184699886</v>
      </c>
    </row>
    <row r="50" spans="1:21" x14ac:dyDescent="0.25">
      <c r="A50">
        <f t="shared" si="2"/>
        <v>3156.33</v>
      </c>
      <c r="B50">
        <v>976.28542956566616</v>
      </c>
      <c r="N50">
        <f t="shared" si="0"/>
        <v>-4</v>
      </c>
      <c r="O50">
        <f t="shared" si="1"/>
        <v>-0.24620007608075412</v>
      </c>
      <c r="P50" s="7">
        <v>23</v>
      </c>
      <c r="Q50" s="7">
        <v>-1.7179675249124713</v>
      </c>
      <c r="R50" s="7">
        <v>7.2820334446366486E-2</v>
      </c>
      <c r="T50" s="7">
        <v>22.277227722772274</v>
      </c>
      <c r="U50" s="7">
        <v>-1.6451471904661048</v>
      </c>
    </row>
    <row r="51" spans="1:21" x14ac:dyDescent="0.25">
      <c r="A51">
        <f t="shared" si="2"/>
        <v>3157.33</v>
      </c>
      <c r="B51">
        <v>976.35714604296129</v>
      </c>
      <c r="N51">
        <f t="shared" si="0"/>
        <v>-3</v>
      </c>
      <c r="O51">
        <f t="shared" si="1"/>
        <v>-0.17448359878562769</v>
      </c>
      <c r="P51" s="7">
        <v>24</v>
      </c>
      <c r="Q51" s="7">
        <v>-1.6576462583959051</v>
      </c>
      <c r="R51" s="7">
        <v>7.8502532442532802E-2</v>
      </c>
      <c r="T51" s="7">
        <v>23.267326732673265</v>
      </c>
      <c r="U51" s="7">
        <v>-1.5791437259533723</v>
      </c>
    </row>
    <row r="52" spans="1:21" x14ac:dyDescent="0.25">
      <c r="A52">
        <f t="shared" si="2"/>
        <v>3158.33</v>
      </c>
      <c r="B52">
        <v>976.41294499065475</v>
      </c>
      <c r="N52">
        <f t="shared" si="0"/>
        <v>-2</v>
      </c>
      <c r="O52">
        <f t="shared" si="1"/>
        <v>-0.11868465109216686</v>
      </c>
      <c r="P52" s="7">
        <v>25</v>
      </c>
      <c r="Q52" s="7">
        <v>-1.5973249918793386</v>
      </c>
      <c r="R52" s="7">
        <v>6.0496933162232924E-2</v>
      </c>
      <c r="T52" s="7">
        <v>24.257425742574256</v>
      </c>
      <c r="U52" s="7">
        <v>-1.5368280587171057</v>
      </c>
    </row>
    <row r="53" spans="1:21" x14ac:dyDescent="0.25">
      <c r="A53">
        <f t="shared" si="2"/>
        <v>3159.33</v>
      </c>
      <c r="B53">
        <v>976.46057596237426</v>
      </c>
      <c r="N53">
        <f t="shared" si="0"/>
        <v>-1</v>
      </c>
      <c r="O53">
        <f t="shared" si="1"/>
        <v>-7.1053679372653278E-2</v>
      </c>
      <c r="P53" s="7">
        <v>26</v>
      </c>
      <c r="Q53" s="7">
        <v>-1.5370037253627722</v>
      </c>
      <c r="R53" s="7">
        <v>7.3165106767667298E-2</v>
      </c>
      <c r="T53" s="7">
        <v>25.247524752475247</v>
      </c>
      <c r="U53" s="7">
        <v>-1.4638386185951049</v>
      </c>
    </row>
    <row r="54" spans="1:21" x14ac:dyDescent="0.25">
      <c r="A54">
        <f t="shared" si="2"/>
        <v>3160.33</v>
      </c>
      <c r="B54">
        <v>976.53162964174692</v>
      </c>
      <c r="N54">
        <f t="shared" si="0"/>
        <v>0</v>
      </c>
      <c r="O54">
        <f t="shared" si="1"/>
        <v>0</v>
      </c>
      <c r="P54" s="7">
        <v>27</v>
      </c>
      <c r="Q54" s="7">
        <v>-1.4766824588462057</v>
      </c>
      <c r="R54" s="7">
        <v>6.8095807163452093E-2</v>
      </c>
      <c r="T54" s="7">
        <v>26.237623762376238</v>
      </c>
      <c r="U54" s="7">
        <v>-1.4085866516827537</v>
      </c>
    </row>
    <row r="55" spans="1:21" x14ac:dyDescent="0.25">
      <c r="A55">
        <f t="shared" si="2"/>
        <v>3161.33</v>
      </c>
      <c r="B55">
        <v>976.58757428822241</v>
      </c>
      <c r="N55">
        <f t="shared" si="0"/>
        <v>1</v>
      </c>
      <c r="O55">
        <f t="shared" si="1"/>
        <v>5.5944646475495574E-2</v>
      </c>
      <c r="P55" s="7">
        <v>28</v>
      </c>
      <c r="Q55" s="7">
        <v>-1.4163611923296395</v>
      </c>
      <c r="R55" s="7">
        <v>4.643309127890749E-2</v>
      </c>
      <c r="T55" s="7">
        <v>27.227722772277225</v>
      </c>
      <c r="U55" s="7">
        <v>-1.369928101050732</v>
      </c>
    </row>
    <row r="56" spans="1:21" x14ac:dyDescent="0.25">
      <c r="A56">
        <f t="shared" si="2"/>
        <v>3162.33</v>
      </c>
      <c r="B56">
        <v>976.62349800326683</v>
      </c>
      <c r="N56">
        <f t="shared" si="0"/>
        <v>2</v>
      </c>
      <c r="O56">
        <f t="shared" si="1"/>
        <v>9.1868361519914288E-2</v>
      </c>
      <c r="P56" s="7">
        <v>29</v>
      </c>
      <c r="Q56" s="7">
        <v>-1.3560399258130731</v>
      </c>
      <c r="R56" s="7">
        <v>5.6022081345284525E-2</v>
      </c>
      <c r="T56" s="7">
        <v>28.217821782178216</v>
      </c>
      <c r="U56" s="7">
        <v>-1.3000178444677886</v>
      </c>
    </row>
    <row r="57" spans="1:21" x14ac:dyDescent="0.25">
      <c r="A57">
        <f t="shared" si="2"/>
        <v>3163.33</v>
      </c>
      <c r="B57">
        <v>976.72201793629597</v>
      </c>
      <c r="N57">
        <f t="shared" si="0"/>
        <v>3</v>
      </c>
      <c r="O57">
        <f t="shared" si="1"/>
        <v>0.19038829454905226</v>
      </c>
      <c r="P57" s="7">
        <v>30</v>
      </c>
      <c r="Q57" s="7">
        <v>-1.2957186592965066</v>
      </c>
      <c r="R57" s="7">
        <v>3.3282989929797058E-2</v>
      </c>
      <c r="T57" s="7">
        <v>29.207920792079207</v>
      </c>
      <c r="U57" s="7">
        <v>-1.2624356693667096</v>
      </c>
    </row>
    <row r="58" spans="1:21" x14ac:dyDescent="0.25">
      <c r="A58">
        <f t="shared" si="2"/>
        <v>3164.33</v>
      </c>
      <c r="B58">
        <v>976.79240644728566</v>
      </c>
      <c r="N58">
        <f t="shared" si="0"/>
        <v>4</v>
      </c>
      <c r="O58">
        <f t="shared" si="1"/>
        <v>0.26077680553873961</v>
      </c>
      <c r="P58" s="7">
        <v>31</v>
      </c>
      <c r="Q58" s="7">
        <v>-1.2353973927799404</v>
      </c>
      <c r="R58" s="7">
        <v>2.2848088561839841E-2</v>
      </c>
      <c r="T58" s="7">
        <v>30.198019801980195</v>
      </c>
      <c r="U58" s="7">
        <v>-1.2125493042181006</v>
      </c>
    </row>
    <row r="59" spans="1:21" x14ac:dyDescent="0.25">
      <c r="A59">
        <f t="shared" si="2"/>
        <v>3165.33</v>
      </c>
      <c r="B59">
        <v>976.85813270523261</v>
      </c>
      <c r="N59">
        <f t="shared" si="0"/>
        <v>5</v>
      </c>
      <c r="O59">
        <f t="shared" si="1"/>
        <v>0.32650306348568847</v>
      </c>
      <c r="P59" s="7">
        <v>32</v>
      </c>
      <c r="Q59" s="7">
        <v>-1.175076126263374</v>
      </c>
      <c r="R59" s="7">
        <v>2.0815193344386751E-2</v>
      </c>
      <c r="T59" s="7">
        <v>31.188118811881186</v>
      </c>
      <c r="U59" s="7">
        <v>-1.1542609329189872</v>
      </c>
    </row>
    <row r="60" spans="1:21" x14ac:dyDescent="0.25">
      <c r="A60">
        <f t="shared" si="2"/>
        <v>3166.33</v>
      </c>
      <c r="B60">
        <v>976.90102418268202</v>
      </c>
      <c r="N60">
        <f t="shared" si="0"/>
        <v>6</v>
      </c>
      <c r="O60">
        <f t="shared" si="1"/>
        <v>0.36939454093510449</v>
      </c>
      <c r="P60" s="7">
        <v>33</v>
      </c>
      <c r="Q60" s="7">
        <v>-1.1147548597468075</v>
      </c>
      <c r="R60" s="7">
        <v>1.8657179837913596E-2</v>
      </c>
      <c r="T60" s="7">
        <v>32.178217821782177</v>
      </c>
      <c r="U60" s="7">
        <v>-1.096097679908894</v>
      </c>
    </row>
    <row r="61" spans="1:21" x14ac:dyDescent="0.25">
      <c r="A61">
        <f t="shared" si="2"/>
        <v>3167.33</v>
      </c>
      <c r="B61">
        <v>976.97651383279094</v>
      </c>
      <c r="N61">
        <f t="shared" si="0"/>
        <v>7</v>
      </c>
      <c r="O61">
        <f t="shared" si="1"/>
        <v>0.4448841910440251</v>
      </c>
      <c r="P61" s="7">
        <v>34</v>
      </c>
      <c r="Q61" s="7">
        <v>-1.0544335932302413</v>
      </c>
      <c r="R61" s="7">
        <v>7.4208920631502195E-3</v>
      </c>
      <c r="T61" s="7">
        <v>33.168316831683164</v>
      </c>
      <c r="U61" s="7">
        <v>-1.0470127011670911</v>
      </c>
    </row>
    <row r="62" spans="1:21" x14ac:dyDescent="0.25">
      <c r="A62">
        <f t="shared" si="2"/>
        <v>3168.33</v>
      </c>
      <c r="B62">
        <v>977.06754220350058</v>
      </c>
      <c r="N62">
        <f t="shared" si="0"/>
        <v>8</v>
      </c>
      <c r="O62">
        <f t="shared" si="1"/>
        <v>0.53591256175366198</v>
      </c>
      <c r="P62" s="7">
        <v>35</v>
      </c>
      <c r="Q62" s="7">
        <v>-0.99411232671367478</v>
      </c>
      <c r="R62" s="7">
        <v>-1.8663851727621639E-3</v>
      </c>
      <c r="T62" s="7">
        <v>34.158415841584159</v>
      </c>
      <c r="U62" s="7">
        <v>-0.99597871188643694</v>
      </c>
    </row>
    <row r="63" spans="1:21" x14ac:dyDescent="0.25">
      <c r="A63">
        <f t="shared" si="2"/>
        <v>3169.33</v>
      </c>
      <c r="B63">
        <v>977.15447009414572</v>
      </c>
      <c r="N63">
        <f t="shared" si="0"/>
        <v>9</v>
      </c>
      <c r="O63">
        <f t="shared" si="1"/>
        <v>0.6228404523988047</v>
      </c>
      <c r="P63" s="7">
        <v>36</v>
      </c>
      <c r="Q63" s="7">
        <v>-0.93379106019710845</v>
      </c>
      <c r="R63" s="7">
        <v>-4.4111760149694312E-3</v>
      </c>
      <c r="T63" s="7">
        <v>35.148514851485146</v>
      </c>
      <c r="U63" s="7">
        <v>-0.93820223621207788</v>
      </c>
    </row>
    <row r="64" spans="1:21" x14ac:dyDescent="0.25">
      <c r="A64">
        <f t="shared" si="2"/>
        <v>3170.33</v>
      </c>
      <c r="B64">
        <v>977.20306820085307</v>
      </c>
      <c r="N64">
        <f t="shared" si="0"/>
        <v>10</v>
      </c>
      <c r="O64">
        <f t="shared" si="1"/>
        <v>0.67143855910615002</v>
      </c>
      <c r="P64" s="7">
        <v>37</v>
      </c>
      <c r="Q64" s="7">
        <v>-0.87346979368054201</v>
      </c>
      <c r="R64" s="7">
        <v>-2.1315602608879436E-2</v>
      </c>
      <c r="T64" s="7">
        <v>36.138613861386141</v>
      </c>
      <c r="U64" s="7">
        <v>-0.89478539628942144</v>
      </c>
    </row>
    <row r="65" spans="1:21" x14ac:dyDescent="0.25">
      <c r="A65">
        <f t="shared" si="2"/>
        <v>3171.33</v>
      </c>
      <c r="B65">
        <v>977.25915104239471</v>
      </c>
      <c r="N65">
        <f t="shared" si="0"/>
        <v>11</v>
      </c>
      <c r="O65">
        <f t="shared" si="1"/>
        <v>0.72752140064778814</v>
      </c>
      <c r="P65" s="7">
        <v>38</v>
      </c>
      <c r="Q65" s="7">
        <v>-0.81314852716397568</v>
      </c>
      <c r="R65" s="7">
        <v>-3.0462368274156826E-2</v>
      </c>
      <c r="T65" s="7">
        <v>37.128712871287128</v>
      </c>
      <c r="U65" s="7">
        <v>-0.8436108954381325</v>
      </c>
    </row>
    <row r="66" spans="1:21" x14ac:dyDescent="0.25">
      <c r="A66">
        <f t="shared" si="2"/>
        <v>3172.33</v>
      </c>
      <c r="B66">
        <v>977.36234668304849</v>
      </c>
      <c r="N66">
        <f t="shared" si="0"/>
        <v>12</v>
      </c>
      <c r="O66">
        <f t="shared" si="1"/>
        <v>0.83071704130156832</v>
      </c>
      <c r="P66" s="7">
        <v>39</v>
      </c>
      <c r="Q66" s="7">
        <v>-0.75282726064740924</v>
      </c>
      <c r="R66" s="7">
        <v>-2.0181887143207899E-2</v>
      </c>
      <c r="T66" s="7">
        <v>38.118811881188115</v>
      </c>
      <c r="U66" s="7">
        <v>-0.77300914779061713</v>
      </c>
    </row>
    <row r="67" spans="1:21" x14ac:dyDescent="0.25">
      <c r="A67">
        <f t="shared" si="2"/>
        <v>3173.33</v>
      </c>
      <c r="B67">
        <v>977.40089071246894</v>
      </c>
      <c r="N67">
        <f t="shared" si="0"/>
        <v>13</v>
      </c>
      <c r="O67">
        <f t="shared" si="1"/>
        <v>0.8692610707220183</v>
      </c>
      <c r="P67" s="7">
        <v>40</v>
      </c>
      <c r="Q67" s="7">
        <v>-0.69250599413084291</v>
      </c>
      <c r="R67" s="7">
        <v>-3.2911689812576528E-2</v>
      </c>
      <c r="T67" s="7">
        <v>39.10891089108911</v>
      </c>
      <c r="U67" s="7">
        <v>-0.72541768394341943</v>
      </c>
    </row>
    <row r="68" spans="1:21" x14ac:dyDescent="0.25">
      <c r="A68">
        <f t="shared" si="2"/>
        <v>3174.33</v>
      </c>
      <c r="B68">
        <v>977.43463434596526</v>
      </c>
      <c r="N68">
        <f t="shared" si="0"/>
        <v>14</v>
      </c>
      <c r="O68">
        <f t="shared" si="1"/>
        <v>0.90300470421834689</v>
      </c>
      <c r="P68" s="7">
        <v>41</v>
      </c>
      <c r="Q68" s="7">
        <v>-0.63218472761427658</v>
      </c>
      <c r="R68" s="7">
        <v>1.451815307750659E-2</v>
      </c>
      <c r="T68" s="7">
        <v>40.099009900990097</v>
      </c>
      <c r="U68" s="7">
        <v>-0.61766657453676999</v>
      </c>
    </row>
    <row r="69" spans="1:21" x14ac:dyDescent="0.25">
      <c r="A69">
        <f t="shared" si="2"/>
        <v>3175.33</v>
      </c>
      <c r="B69">
        <v>977.48143562373923</v>
      </c>
      <c r="N69">
        <f t="shared" ref="N69:N104" si="3">A69-$B$1</f>
        <v>15</v>
      </c>
      <c r="O69">
        <f t="shared" ref="O69:O104" si="4">B69-$F$3</f>
        <v>0.94980598199231281</v>
      </c>
      <c r="P69" s="7">
        <v>42</v>
      </c>
      <c r="Q69" s="7">
        <v>-0.57186346109771014</v>
      </c>
      <c r="R69" s="7">
        <v>2.4156629121453554E-2</v>
      </c>
      <c r="T69" s="7">
        <v>41.089108910891085</v>
      </c>
      <c r="U69" s="7">
        <v>-0.54770683197625658</v>
      </c>
    </row>
    <row r="70" spans="1:21" x14ac:dyDescent="0.25">
      <c r="A70">
        <f t="shared" ref="A70:A104" si="5">A69+1</f>
        <v>3176.33</v>
      </c>
      <c r="B70">
        <v>977.55194599262859</v>
      </c>
      <c r="N70">
        <f t="shared" si="3"/>
        <v>16</v>
      </c>
      <c r="O70">
        <f t="shared" si="4"/>
        <v>1.0203163508816715</v>
      </c>
      <c r="P70" s="7">
        <v>43</v>
      </c>
      <c r="Q70" s="7">
        <v>-0.51154219458114381</v>
      </c>
      <c r="R70" s="7">
        <v>1.8062570539901346E-2</v>
      </c>
      <c r="T70" s="7">
        <v>42.079207920792079</v>
      </c>
      <c r="U70" s="7">
        <v>-0.49347962404124246</v>
      </c>
    </row>
    <row r="71" spans="1:21" x14ac:dyDescent="0.25">
      <c r="A71">
        <f t="shared" si="5"/>
        <v>3177.33</v>
      </c>
      <c r="B71">
        <v>977.63166916145269</v>
      </c>
      <c r="N71">
        <f t="shared" si="3"/>
        <v>17</v>
      </c>
      <c r="O71">
        <f t="shared" si="4"/>
        <v>1.1000395197057742</v>
      </c>
      <c r="P71" s="7">
        <v>44</v>
      </c>
      <c r="Q71" s="7">
        <v>-0.45122092806457742</v>
      </c>
      <c r="R71" s="7">
        <v>2.3415508164935928E-2</v>
      </c>
      <c r="T71" s="7">
        <v>43.069306930693067</v>
      </c>
      <c r="U71" s="7">
        <v>-0.42780541989964149</v>
      </c>
    </row>
    <row r="72" spans="1:21" x14ac:dyDescent="0.25">
      <c r="A72">
        <f t="shared" si="5"/>
        <v>3178.33</v>
      </c>
      <c r="B72">
        <v>977.66636745778055</v>
      </c>
      <c r="N72">
        <f t="shared" si="3"/>
        <v>18</v>
      </c>
      <c r="O72">
        <f t="shared" si="4"/>
        <v>1.1347378160336348</v>
      </c>
      <c r="P72" s="7">
        <v>45</v>
      </c>
      <c r="Q72" s="7">
        <v>-0.39089966154801103</v>
      </c>
      <c r="R72" s="7">
        <v>2.5992369310521179E-2</v>
      </c>
      <c r="T72" s="7">
        <v>44.059405940594054</v>
      </c>
      <c r="U72" s="7">
        <v>-0.36490729223748986</v>
      </c>
    </row>
    <row r="73" spans="1:21" x14ac:dyDescent="0.25">
      <c r="A73">
        <f t="shared" si="5"/>
        <v>3179.33</v>
      </c>
      <c r="B73">
        <v>977.7326908441139</v>
      </c>
      <c r="N73">
        <f t="shared" si="3"/>
        <v>19</v>
      </c>
      <c r="O73">
        <f t="shared" si="4"/>
        <v>1.2010612023669864</v>
      </c>
      <c r="P73" s="7">
        <v>46</v>
      </c>
      <c r="Q73" s="7">
        <v>-0.33057839503144471</v>
      </c>
      <c r="R73" s="7">
        <v>2.5375830682356826E-2</v>
      </c>
      <c r="T73" s="7">
        <v>45.049504950495049</v>
      </c>
      <c r="U73" s="7">
        <v>-0.30520256434908788</v>
      </c>
    </row>
    <row r="74" spans="1:21" x14ac:dyDescent="0.25">
      <c r="A74">
        <f t="shared" si="5"/>
        <v>3180.33</v>
      </c>
      <c r="B74">
        <v>977.77740677634188</v>
      </c>
      <c r="N74">
        <f t="shared" si="3"/>
        <v>20</v>
      </c>
      <c r="O74">
        <f t="shared" si="4"/>
        <v>1.2457771345949595</v>
      </c>
      <c r="P74" s="7">
        <v>47</v>
      </c>
      <c r="Q74" s="7">
        <v>-0.27025712851487832</v>
      </c>
      <c r="R74" s="7">
        <v>2.4057052434124204E-2</v>
      </c>
      <c r="T74" s="7">
        <v>46.039603960396036</v>
      </c>
      <c r="U74" s="7">
        <v>-0.24620007608075412</v>
      </c>
    </row>
    <row r="75" spans="1:21" x14ac:dyDescent="0.25">
      <c r="A75">
        <f t="shared" si="5"/>
        <v>3181.33</v>
      </c>
      <c r="B75">
        <v>977.81928711094895</v>
      </c>
      <c r="N75">
        <f t="shared" si="3"/>
        <v>21</v>
      </c>
      <c r="O75">
        <f t="shared" si="4"/>
        <v>1.2876574692020313</v>
      </c>
      <c r="P75" s="7">
        <v>48</v>
      </c>
      <c r="Q75" s="7">
        <v>-0.20993586199831193</v>
      </c>
      <c r="R75" s="7">
        <v>3.5452263212684243E-2</v>
      </c>
      <c r="T75" s="7">
        <v>47.029702970297031</v>
      </c>
      <c r="U75" s="7">
        <v>-0.17448359878562769</v>
      </c>
    </row>
    <row r="76" spans="1:21" x14ac:dyDescent="0.25">
      <c r="A76">
        <f t="shared" si="5"/>
        <v>3182.33</v>
      </c>
      <c r="B76">
        <v>977.88105326223626</v>
      </c>
      <c r="N76">
        <f t="shared" si="3"/>
        <v>22</v>
      </c>
      <c r="O76">
        <f t="shared" si="4"/>
        <v>1.3494236204893468</v>
      </c>
      <c r="P76" s="7">
        <v>49</v>
      </c>
      <c r="Q76" s="7">
        <v>-0.14961459548174558</v>
      </c>
      <c r="R76" s="7">
        <v>3.0929944389578717E-2</v>
      </c>
      <c r="T76" s="7">
        <v>48.019801980198018</v>
      </c>
      <c r="U76" s="7">
        <v>-0.11868465109216686</v>
      </c>
    </row>
    <row r="77" spans="1:21" x14ac:dyDescent="0.25">
      <c r="A77">
        <f t="shared" si="5"/>
        <v>3183.33</v>
      </c>
      <c r="B77">
        <v>977.91300979918083</v>
      </c>
      <c r="N77">
        <f t="shared" si="3"/>
        <v>23</v>
      </c>
      <c r="O77">
        <f t="shared" si="4"/>
        <v>1.3813801574339095</v>
      </c>
      <c r="P77" s="7">
        <v>50</v>
      </c>
      <c r="Q77" s="7">
        <v>-8.9293328965179219E-2</v>
      </c>
      <c r="R77" s="7">
        <v>1.8239649592525942E-2</v>
      </c>
      <c r="T77" s="7">
        <v>49.009900990099005</v>
      </c>
      <c r="U77" s="7">
        <v>-7.1053679372653278E-2</v>
      </c>
    </row>
    <row r="78" spans="1:21" x14ac:dyDescent="0.25">
      <c r="A78">
        <f t="shared" si="5"/>
        <v>3184.33</v>
      </c>
      <c r="B78">
        <v>978.00733294272459</v>
      </c>
      <c r="N78">
        <f t="shared" si="3"/>
        <v>24</v>
      </c>
      <c r="O78">
        <f t="shared" si="4"/>
        <v>1.4757033009776706</v>
      </c>
      <c r="P78" s="7">
        <v>51</v>
      </c>
      <c r="Q78" s="7">
        <v>-2.8972062448612841E-2</v>
      </c>
      <c r="R78" s="7">
        <v>2.8972062448612841E-2</v>
      </c>
      <c r="T78" s="7">
        <v>50</v>
      </c>
      <c r="U78" s="7">
        <v>0</v>
      </c>
    </row>
    <row r="79" spans="1:21" x14ac:dyDescent="0.25">
      <c r="A79">
        <f t="shared" si="5"/>
        <v>3185.33</v>
      </c>
      <c r="B79">
        <v>978.05158540077809</v>
      </c>
      <c r="N79">
        <f t="shared" si="3"/>
        <v>25</v>
      </c>
      <c r="O79">
        <f t="shared" si="4"/>
        <v>1.519955759031177</v>
      </c>
      <c r="P79" s="7">
        <v>52</v>
      </c>
      <c r="Q79" s="7">
        <v>3.134920406795353E-2</v>
      </c>
      <c r="R79" s="7">
        <v>2.4595442407542044E-2</v>
      </c>
      <c r="T79" s="7">
        <v>50.990099009900987</v>
      </c>
      <c r="U79" s="7">
        <v>5.5944646475495574E-2</v>
      </c>
    </row>
    <row r="80" spans="1:21" x14ac:dyDescent="0.25">
      <c r="A80">
        <f t="shared" si="5"/>
        <v>3186.33</v>
      </c>
      <c r="B80">
        <v>978.11499208083842</v>
      </c>
      <c r="N80">
        <f t="shared" si="3"/>
        <v>26</v>
      </c>
      <c r="O80">
        <f t="shared" si="4"/>
        <v>1.583362439091502</v>
      </c>
      <c r="P80" s="7">
        <v>53</v>
      </c>
      <c r="Q80" s="7">
        <v>9.1670470584519909E-2</v>
      </c>
      <c r="R80" s="7">
        <v>1.9789093539437919E-4</v>
      </c>
      <c r="T80" s="7">
        <v>51.980198019801982</v>
      </c>
      <c r="U80" s="7">
        <v>9.1868361519914288E-2</v>
      </c>
    </row>
    <row r="81" spans="1:21" x14ac:dyDescent="0.25">
      <c r="A81">
        <f t="shared" si="5"/>
        <v>3187.33</v>
      </c>
      <c r="B81">
        <v>978.17666005685589</v>
      </c>
      <c r="N81">
        <f t="shared" si="3"/>
        <v>27</v>
      </c>
      <c r="O81">
        <f t="shared" si="4"/>
        <v>1.6450304151089767</v>
      </c>
      <c r="P81" s="7">
        <v>54</v>
      </c>
      <c r="Q81" s="7">
        <v>0.15199173710108627</v>
      </c>
      <c r="R81" s="7">
        <v>3.8396557447965995E-2</v>
      </c>
      <c r="T81" s="7">
        <v>52.970297029702969</v>
      </c>
      <c r="U81" s="7">
        <v>0.19038829454905226</v>
      </c>
    </row>
    <row r="82" spans="1:21" x14ac:dyDescent="0.25">
      <c r="A82">
        <f t="shared" si="5"/>
        <v>3188.33</v>
      </c>
      <c r="B82">
        <v>978.22780419188996</v>
      </c>
      <c r="N82">
        <f t="shared" si="3"/>
        <v>28</v>
      </c>
      <c r="O82">
        <f t="shared" si="4"/>
        <v>1.6961745501430414</v>
      </c>
      <c r="P82" s="7">
        <v>55</v>
      </c>
      <c r="Q82" s="7">
        <v>0.21231300361765265</v>
      </c>
      <c r="R82" s="7">
        <v>4.8463801921086958E-2</v>
      </c>
      <c r="T82" s="7">
        <v>53.960396039603957</v>
      </c>
      <c r="U82" s="7">
        <v>0.26077680553873961</v>
      </c>
    </row>
    <row r="83" spans="1:21" x14ac:dyDescent="0.25">
      <c r="A83">
        <f t="shared" si="5"/>
        <v>3189.33</v>
      </c>
      <c r="B83">
        <v>978.2967418419255</v>
      </c>
      <c r="N83">
        <f t="shared" si="3"/>
        <v>29</v>
      </c>
      <c r="O83">
        <f t="shared" si="4"/>
        <v>1.765112200178578</v>
      </c>
      <c r="P83" s="7">
        <v>56</v>
      </c>
      <c r="Q83" s="7">
        <v>0.27263427013421904</v>
      </c>
      <c r="R83" s="7">
        <v>5.3868793351469435E-2</v>
      </c>
      <c r="T83" s="7">
        <v>54.950495049504951</v>
      </c>
      <c r="U83" s="7">
        <v>0.32650306348568847</v>
      </c>
    </row>
    <row r="84" spans="1:21" x14ac:dyDescent="0.25">
      <c r="A84">
        <f t="shared" si="5"/>
        <v>3190.33</v>
      </c>
      <c r="B84">
        <v>978.32766529246942</v>
      </c>
      <c r="N84">
        <f t="shared" si="3"/>
        <v>30</v>
      </c>
      <c r="O84">
        <f t="shared" si="4"/>
        <v>1.7960356507225015</v>
      </c>
      <c r="P84" s="7">
        <v>57</v>
      </c>
      <c r="Q84" s="7">
        <v>0.33295553665078537</v>
      </c>
      <c r="R84" s="7">
        <v>3.6439004284319121E-2</v>
      </c>
      <c r="T84" s="7">
        <v>55.940594059405939</v>
      </c>
      <c r="U84" s="7">
        <v>0.36939454093510449</v>
      </c>
    </row>
    <row r="85" spans="1:21" x14ac:dyDescent="0.25">
      <c r="A85">
        <f t="shared" si="5"/>
        <v>3191.33</v>
      </c>
      <c r="B85">
        <v>978.38758684283835</v>
      </c>
      <c r="N85">
        <f t="shared" si="3"/>
        <v>31</v>
      </c>
      <c r="O85">
        <f t="shared" si="4"/>
        <v>1.855957201091428</v>
      </c>
      <c r="P85" s="7">
        <v>58</v>
      </c>
      <c r="Q85" s="7">
        <v>0.39327680316735175</v>
      </c>
      <c r="R85" s="7">
        <v>5.160738787667335E-2</v>
      </c>
      <c r="T85" s="7">
        <v>56.930693069306926</v>
      </c>
      <c r="U85" s="7">
        <v>0.4448841910440251</v>
      </c>
    </row>
    <row r="86" spans="1:21" x14ac:dyDescent="0.25">
      <c r="A86">
        <f t="shared" si="5"/>
        <v>3192.33</v>
      </c>
      <c r="B86">
        <v>978.42617788638972</v>
      </c>
      <c r="N86">
        <f t="shared" si="3"/>
        <v>32</v>
      </c>
      <c r="O86">
        <f t="shared" si="4"/>
        <v>1.8945482446428059</v>
      </c>
      <c r="P86" s="7">
        <v>59</v>
      </c>
      <c r="Q86" s="7">
        <v>0.45359806968391814</v>
      </c>
      <c r="R86" s="7">
        <v>8.2314492069743839E-2</v>
      </c>
      <c r="T86" s="7">
        <v>57.920792079207921</v>
      </c>
      <c r="U86" s="7">
        <v>0.53591256175366198</v>
      </c>
    </row>
    <row r="87" spans="1:21" x14ac:dyDescent="0.25">
      <c r="A87">
        <f t="shared" si="5"/>
        <v>3193.33</v>
      </c>
      <c r="B87">
        <v>978.4758044478591</v>
      </c>
      <c r="N87">
        <f t="shared" si="3"/>
        <v>33</v>
      </c>
      <c r="O87">
        <f t="shared" si="4"/>
        <v>1.9441748061121871</v>
      </c>
      <c r="P87" s="7">
        <v>60</v>
      </c>
      <c r="Q87" s="7">
        <v>0.51391933620048447</v>
      </c>
      <c r="R87" s="7">
        <v>0.10892111619832023</v>
      </c>
      <c r="T87" s="7">
        <v>58.910891089108908</v>
      </c>
      <c r="U87" s="7">
        <v>0.6228404523988047</v>
      </c>
    </row>
    <row r="88" spans="1:21" x14ac:dyDescent="0.25">
      <c r="A88">
        <f t="shared" si="5"/>
        <v>3194.33</v>
      </c>
      <c r="B88">
        <v>978.51960007223272</v>
      </c>
      <c r="N88">
        <f t="shared" si="3"/>
        <v>34</v>
      </c>
      <c r="O88">
        <f t="shared" si="4"/>
        <v>1.9879704304858024</v>
      </c>
      <c r="P88" s="7">
        <v>61</v>
      </c>
      <c r="Q88" s="7">
        <v>0.57424060271705091</v>
      </c>
      <c r="R88" s="7">
        <v>9.7197956389099116E-2</v>
      </c>
      <c r="T88" s="7">
        <v>59.900990099009896</v>
      </c>
      <c r="U88" s="7">
        <v>0.67143855910615002</v>
      </c>
    </row>
    <row r="89" spans="1:21" x14ac:dyDescent="0.25">
      <c r="A89">
        <f t="shared" si="5"/>
        <v>3195.33</v>
      </c>
      <c r="B89">
        <v>978.59024952591108</v>
      </c>
      <c r="N89">
        <f t="shared" si="3"/>
        <v>35</v>
      </c>
      <c r="O89">
        <f t="shared" si="4"/>
        <v>2.058619884164159</v>
      </c>
      <c r="P89" s="7">
        <v>62</v>
      </c>
      <c r="Q89" s="7">
        <v>0.63456186923361724</v>
      </c>
      <c r="R89" s="7">
        <v>9.2959531414170904E-2</v>
      </c>
      <c r="T89" s="7">
        <v>60.89108910891089</v>
      </c>
      <c r="U89" s="7">
        <v>0.72752140064778814</v>
      </c>
    </row>
    <row r="90" spans="1:21" x14ac:dyDescent="0.25">
      <c r="A90">
        <f t="shared" si="5"/>
        <v>3196.33</v>
      </c>
      <c r="B90">
        <v>978.64015649803878</v>
      </c>
      <c r="N90">
        <f t="shared" si="3"/>
        <v>36</v>
      </c>
      <c r="O90">
        <f t="shared" si="4"/>
        <v>2.10852685629186</v>
      </c>
      <c r="P90" s="7">
        <v>63</v>
      </c>
      <c r="Q90" s="7">
        <v>0.69488313575018357</v>
      </c>
      <c r="R90" s="7">
        <v>0.13583390555138475</v>
      </c>
      <c r="T90" s="7">
        <v>61.881188118811878</v>
      </c>
      <c r="U90" s="7">
        <v>0.83071704130156832</v>
      </c>
    </row>
    <row r="91" spans="1:21" x14ac:dyDescent="0.25">
      <c r="A91">
        <f t="shared" si="5"/>
        <v>3197.33</v>
      </c>
      <c r="B91">
        <v>978.69973304235657</v>
      </c>
      <c r="N91">
        <f t="shared" si="3"/>
        <v>37</v>
      </c>
      <c r="O91">
        <f t="shared" si="4"/>
        <v>2.1681034006096525</v>
      </c>
      <c r="P91" s="7">
        <v>64</v>
      </c>
      <c r="Q91" s="7">
        <v>0.75520440226675001</v>
      </c>
      <c r="R91" s="7">
        <v>0.1140566684552683</v>
      </c>
      <c r="T91" s="7">
        <v>62.871287128712872</v>
      </c>
      <c r="U91" s="7">
        <v>0.8692610707220183</v>
      </c>
    </row>
    <row r="92" spans="1:21" x14ac:dyDescent="0.25">
      <c r="A92">
        <f t="shared" si="5"/>
        <v>3198.33</v>
      </c>
      <c r="B92">
        <v>978.72950488087713</v>
      </c>
      <c r="N92">
        <f t="shared" si="3"/>
        <v>38</v>
      </c>
      <c r="O92">
        <f t="shared" si="4"/>
        <v>2.1978752391302123</v>
      </c>
      <c r="P92" s="7">
        <v>65</v>
      </c>
      <c r="Q92" s="7">
        <v>0.81552566878331634</v>
      </c>
      <c r="R92" s="7">
        <v>8.747903543503055E-2</v>
      </c>
      <c r="T92" s="7">
        <v>63.861386138613859</v>
      </c>
      <c r="U92" s="7">
        <v>0.90300470421834689</v>
      </c>
    </row>
    <row r="93" spans="1:21" x14ac:dyDescent="0.25">
      <c r="A93">
        <f t="shared" si="5"/>
        <v>3199.33</v>
      </c>
      <c r="B93">
        <v>978.78815606484454</v>
      </c>
      <c r="N93">
        <f t="shared" si="3"/>
        <v>39</v>
      </c>
      <c r="O93">
        <f t="shared" si="4"/>
        <v>2.2565264230976254</v>
      </c>
      <c r="P93" s="7">
        <v>66</v>
      </c>
      <c r="Q93" s="7">
        <v>0.87584693529988278</v>
      </c>
      <c r="R93" s="7">
        <v>7.395904669243003E-2</v>
      </c>
      <c r="T93" s="7">
        <v>64.851485148514854</v>
      </c>
      <c r="U93" s="7">
        <v>0.94980598199231281</v>
      </c>
    </row>
    <row r="94" spans="1:21" x14ac:dyDescent="0.25">
      <c r="A94">
        <f t="shared" si="5"/>
        <v>3200.33</v>
      </c>
      <c r="B94">
        <v>978.83137965454443</v>
      </c>
      <c r="N94">
        <f t="shared" si="3"/>
        <v>40</v>
      </c>
      <c r="O94">
        <f t="shared" si="4"/>
        <v>2.2997500127975172</v>
      </c>
      <c r="P94" s="7">
        <v>67</v>
      </c>
      <c r="Q94" s="7">
        <v>0.93616820181644911</v>
      </c>
      <c r="R94" s="7">
        <v>8.4148149065222388E-2</v>
      </c>
      <c r="T94" s="7">
        <v>65.841584158415841</v>
      </c>
      <c r="U94" s="7">
        <v>1.0203163508816715</v>
      </c>
    </row>
    <row r="95" spans="1:21" x14ac:dyDescent="0.25">
      <c r="A95">
        <f t="shared" si="5"/>
        <v>3201.33</v>
      </c>
      <c r="B95">
        <v>978.92286411023554</v>
      </c>
      <c r="N95">
        <f t="shared" si="3"/>
        <v>41</v>
      </c>
      <c r="O95">
        <f t="shared" si="4"/>
        <v>2.3912344684886193</v>
      </c>
      <c r="P95" s="7">
        <v>68</v>
      </c>
      <c r="Q95" s="7">
        <v>0.99648946833301555</v>
      </c>
      <c r="R95" s="7">
        <v>0.10355005137275863</v>
      </c>
      <c r="T95" s="7">
        <v>66.831683168316843</v>
      </c>
      <c r="U95" s="7">
        <v>1.1000395197057742</v>
      </c>
    </row>
    <row r="96" spans="1:21" x14ac:dyDescent="0.25">
      <c r="A96">
        <f t="shared" si="5"/>
        <v>3202.33</v>
      </c>
      <c r="B96">
        <v>978.97555316585522</v>
      </c>
      <c r="N96">
        <f t="shared" si="3"/>
        <v>42</v>
      </c>
      <c r="O96">
        <f t="shared" si="4"/>
        <v>2.4439235241082997</v>
      </c>
      <c r="P96" s="7">
        <v>69</v>
      </c>
      <c r="Q96" s="7">
        <v>1.0568107348495817</v>
      </c>
      <c r="R96" s="7">
        <v>7.7927081184053115E-2</v>
      </c>
      <c r="T96" s="7">
        <v>67.821782178217831</v>
      </c>
      <c r="U96" s="7">
        <v>1.1347378160336348</v>
      </c>
    </row>
    <row r="97" spans="1:21" x14ac:dyDescent="0.25">
      <c r="A97">
        <f t="shared" si="5"/>
        <v>3203.33</v>
      </c>
      <c r="B97">
        <v>979.02993549321343</v>
      </c>
      <c r="N97">
        <f t="shared" si="3"/>
        <v>43</v>
      </c>
      <c r="O97">
        <f t="shared" si="4"/>
        <v>2.4983058514665117</v>
      </c>
      <c r="P97" s="7">
        <v>70</v>
      </c>
      <c r="Q97" s="7">
        <v>1.1171320013661481</v>
      </c>
      <c r="R97" s="7">
        <v>8.3929201000838338E-2</v>
      </c>
      <c r="T97" s="7">
        <v>68.811881188118818</v>
      </c>
      <c r="U97" s="7">
        <v>1.2010612023669864</v>
      </c>
    </row>
    <row r="98" spans="1:21" x14ac:dyDescent="0.25">
      <c r="A98">
        <f t="shared" si="5"/>
        <v>3204.33</v>
      </c>
      <c r="B98">
        <v>979.10116515639481</v>
      </c>
      <c r="N98">
        <f t="shared" si="3"/>
        <v>44</v>
      </c>
      <c r="O98">
        <f t="shared" si="4"/>
        <v>2.569535514647896</v>
      </c>
      <c r="P98" s="7">
        <v>71</v>
      </c>
      <c r="Q98" s="7">
        <v>1.1774532678827145</v>
      </c>
      <c r="R98" s="7">
        <v>6.8323866712244996E-2</v>
      </c>
      <c r="T98" s="7">
        <v>69.801980198019805</v>
      </c>
      <c r="U98" s="7">
        <v>1.2457771345949595</v>
      </c>
    </row>
    <row r="99" spans="1:21" x14ac:dyDescent="0.25">
      <c r="A99">
        <f t="shared" si="5"/>
        <v>3205.33</v>
      </c>
      <c r="B99">
        <v>979.12544712894589</v>
      </c>
      <c r="N99">
        <f t="shared" si="3"/>
        <v>45</v>
      </c>
      <c r="O99">
        <f t="shared" si="4"/>
        <v>2.5938174871989759</v>
      </c>
      <c r="P99" s="7">
        <v>72</v>
      </c>
      <c r="Q99" s="7">
        <v>1.2377745343992808</v>
      </c>
      <c r="R99" s="7">
        <v>4.9882934802750523E-2</v>
      </c>
      <c r="T99" s="7">
        <v>70.792079207920793</v>
      </c>
      <c r="U99" s="7">
        <v>1.2876574692020313</v>
      </c>
    </row>
    <row r="100" spans="1:21" x14ac:dyDescent="0.25">
      <c r="A100">
        <f t="shared" si="5"/>
        <v>3206.33</v>
      </c>
      <c r="B100">
        <v>979.15665966214556</v>
      </c>
      <c r="N100">
        <f t="shared" si="3"/>
        <v>46</v>
      </c>
      <c r="O100">
        <f t="shared" si="4"/>
        <v>2.6250300203986399</v>
      </c>
      <c r="P100" s="7">
        <v>73</v>
      </c>
      <c r="Q100" s="7">
        <v>1.2980958009158472</v>
      </c>
      <c r="R100" s="7">
        <v>5.1327819573499633E-2</v>
      </c>
      <c r="T100" s="7">
        <v>71.782178217821794</v>
      </c>
      <c r="U100" s="7">
        <v>1.3494236204893468</v>
      </c>
    </row>
    <row r="101" spans="1:21" x14ac:dyDescent="0.25">
      <c r="A101">
        <f t="shared" si="5"/>
        <v>3207.33</v>
      </c>
      <c r="B101">
        <v>979.19221633691802</v>
      </c>
      <c r="N101">
        <f t="shared" si="3"/>
        <v>47</v>
      </c>
      <c r="O101">
        <f t="shared" si="4"/>
        <v>2.660586695171105</v>
      </c>
      <c r="P101" s="7">
        <v>74</v>
      </c>
      <c r="Q101" s="7">
        <v>1.3584170674324136</v>
      </c>
      <c r="R101" s="7">
        <v>2.2963090001495878E-2</v>
      </c>
      <c r="T101" s="7">
        <v>72.772277227722782</v>
      </c>
      <c r="U101" s="7">
        <v>1.3813801574339095</v>
      </c>
    </row>
    <row r="102" spans="1:21" x14ac:dyDescent="0.25">
      <c r="A102">
        <f t="shared" si="5"/>
        <v>3208.33</v>
      </c>
      <c r="B102">
        <v>979.23974582292908</v>
      </c>
      <c r="N102">
        <f t="shared" si="3"/>
        <v>48</v>
      </c>
      <c r="O102">
        <f t="shared" si="4"/>
        <v>2.708116181182163</v>
      </c>
      <c r="P102" s="7">
        <v>75</v>
      </c>
      <c r="Q102" s="7">
        <v>1.4187383339489799</v>
      </c>
      <c r="R102" s="7">
        <v>5.6964967028690694E-2</v>
      </c>
      <c r="T102" s="7">
        <v>73.762376237623769</v>
      </c>
      <c r="U102" s="7">
        <v>1.4757033009776706</v>
      </c>
    </row>
    <row r="103" spans="1:21" x14ac:dyDescent="0.25">
      <c r="A103">
        <f t="shared" si="5"/>
        <v>3209.33</v>
      </c>
      <c r="B103">
        <v>979.27143375752382</v>
      </c>
      <c r="N103">
        <f t="shared" si="3"/>
        <v>49</v>
      </c>
      <c r="O103">
        <f t="shared" si="4"/>
        <v>2.7398041157769057</v>
      </c>
      <c r="P103" s="7">
        <v>76</v>
      </c>
      <c r="Q103" s="7">
        <v>1.4790596004655463</v>
      </c>
      <c r="R103" s="7">
        <v>4.0896158565630669E-2</v>
      </c>
      <c r="T103" s="7">
        <v>74.752475247524757</v>
      </c>
      <c r="U103" s="7">
        <v>1.519955759031177</v>
      </c>
    </row>
    <row r="104" spans="1:21" x14ac:dyDescent="0.25">
      <c r="A104">
        <f t="shared" si="5"/>
        <v>3210.33</v>
      </c>
      <c r="B104">
        <v>979.34940254364744</v>
      </c>
      <c r="N104">
        <f t="shared" si="3"/>
        <v>50</v>
      </c>
      <c r="O104">
        <f t="shared" si="4"/>
        <v>2.8177729019005255</v>
      </c>
      <c r="P104" s="7">
        <v>77</v>
      </c>
      <c r="Q104" s="7">
        <v>1.5393808669821127</v>
      </c>
      <c r="R104" s="7">
        <v>4.3981572109389244E-2</v>
      </c>
      <c r="T104" s="7">
        <v>75.742574257425744</v>
      </c>
      <c r="U104" s="7">
        <v>1.583362439091502</v>
      </c>
    </row>
    <row r="105" spans="1:21" x14ac:dyDescent="0.25">
      <c r="P105" s="7">
        <v>78</v>
      </c>
      <c r="Q105" s="7">
        <v>1.5997021334986792</v>
      </c>
      <c r="R105" s="7">
        <v>4.5328281610297561E-2</v>
      </c>
      <c r="T105" s="7">
        <v>76.732673267326732</v>
      </c>
      <c r="U105" s="7">
        <v>1.6450304151089767</v>
      </c>
    </row>
    <row r="106" spans="1:21" x14ac:dyDescent="0.25">
      <c r="P106" s="7">
        <v>79</v>
      </c>
      <c r="Q106" s="7">
        <v>1.6600234000152454</v>
      </c>
      <c r="R106" s="7">
        <v>3.6151150127796017E-2</v>
      </c>
      <c r="T106" s="7">
        <v>77.722772277227733</v>
      </c>
      <c r="U106" s="7">
        <v>1.6961745501430414</v>
      </c>
    </row>
    <row r="107" spans="1:21" x14ac:dyDescent="0.25">
      <c r="P107" s="7">
        <v>80</v>
      </c>
      <c r="Q107" s="7">
        <v>1.7203446665318118</v>
      </c>
      <c r="R107" s="7">
        <v>4.4767533646766111E-2</v>
      </c>
      <c r="T107" s="7">
        <v>78.712871287128721</v>
      </c>
      <c r="U107" s="7">
        <v>1.765112200178578</v>
      </c>
    </row>
    <row r="108" spans="1:21" x14ac:dyDescent="0.25">
      <c r="P108" s="7">
        <v>81</v>
      </c>
      <c r="Q108" s="7">
        <v>1.7806659330483783</v>
      </c>
      <c r="R108" s="7">
        <v>1.5369717674123207E-2</v>
      </c>
      <c r="T108" s="7">
        <v>79.702970297029708</v>
      </c>
      <c r="U108" s="7">
        <v>1.7960356507225015</v>
      </c>
    </row>
    <row r="109" spans="1:21" x14ac:dyDescent="0.25">
      <c r="P109" s="7">
        <v>82</v>
      </c>
      <c r="Q109" s="7">
        <v>1.8409871995649445</v>
      </c>
      <c r="R109" s="7">
        <v>1.4970001526483534E-2</v>
      </c>
      <c r="T109" s="7">
        <v>80.693069306930695</v>
      </c>
      <c r="U109" s="7">
        <v>1.855957201091428</v>
      </c>
    </row>
    <row r="110" spans="1:21" x14ac:dyDescent="0.25">
      <c r="P110" s="7">
        <v>83</v>
      </c>
      <c r="Q110" s="7">
        <v>1.9013084660815109</v>
      </c>
      <c r="R110" s="7">
        <v>-6.7602214387050275E-3</v>
      </c>
      <c r="T110" s="7">
        <v>81.683168316831683</v>
      </c>
      <c r="U110" s="7">
        <v>1.8945482446428059</v>
      </c>
    </row>
    <row r="111" spans="1:21" x14ac:dyDescent="0.25">
      <c r="P111" s="7">
        <v>84</v>
      </c>
      <c r="Q111" s="7">
        <v>1.9616297325980774</v>
      </c>
      <c r="R111" s="7">
        <v>-1.745492648589031E-2</v>
      </c>
      <c r="T111" s="7">
        <v>82.673267326732685</v>
      </c>
      <c r="U111" s="7">
        <v>1.9441748061121871</v>
      </c>
    </row>
    <row r="112" spans="1:21" x14ac:dyDescent="0.25">
      <c r="P112" s="7">
        <v>85</v>
      </c>
      <c r="Q112" s="7">
        <v>2.0219509991146438</v>
      </c>
      <c r="R112" s="7">
        <v>-3.3980568628841468E-2</v>
      </c>
      <c r="T112" s="7">
        <v>83.663366336633672</v>
      </c>
      <c r="U112" s="7">
        <v>1.9879704304858024</v>
      </c>
    </row>
    <row r="113" spans="16:21" x14ac:dyDescent="0.25">
      <c r="P113" s="7">
        <v>86</v>
      </c>
      <c r="Q113" s="7">
        <v>2.08227226563121</v>
      </c>
      <c r="R113" s="7">
        <v>-2.3652381467051065E-2</v>
      </c>
      <c r="T113" s="7">
        <v>84.653465346534659</v>
      </c>
      <c r="U113" s="7">
        <v>2.058619884164159</v>
      </c>
    </row>
    <row r="114" spans="16:21" x14ac:dyDescent="0.25">
      <c r="P114" s="7">
        <v>87</v>
      </c>
      <c r="Q114" s="7">
        <v>2.1425935321477763</v>
      </c>
      <c r="R114" s="7">
        <v>-3.4066675855916273E-2</v>
      </c>
      <c r="T114" s="7">
        <v>85.643564356435647</v>
      </c>
      <c r="U114" s="7">
        <v>2.10852685629186</v>
      </c>
    </row>
    <row r="115" spans="16:21" x14ac:dyDescent="0.25">
      <c r="P115" s="7">
        <v>88</v>
      </c>
      <c r="Q115" s="7">
        <v>2.2029147986643429</v>
      </c>
      <c r="R115" s="7">
        <v>-3.4811398054690468E-2</v>
      </c>
      <c r="T115" s="7">
        <v>86.633663366336634</v>
      </c>
      <c r="U115" s="7">
        <v>2.1681034006096525</v>
      </c>
    </row>
    <row r="116" spans="16:21" x14ac:dyDescent="0.25">
      <c r="P116" s="7">
        <v>89</v>
      </c>
      <c r="Q116" s="7">
        <v>2.2632360651809091</v>
      </c>
      <c r="R116" s="7">
        <v>-6.5360826050696819E-2</v>
      </c>
      <c r="T116" s="7">
        <v>87.623762376237622</v>
      </c>
      <c r="U116" s="7">
        <v>2.1978752391302123</v>
      </c>
    </row>
    <row r="117" spans="16:21" x14ac:dyDescent="0.25">
      <c r="P117" s="7">
        <v>90</v>
      </c>
      <c r="Q117" s="7">
        <v>2.3235573316974754</v>
      </c>
      <c r="R117" s="7">
        <v>-6.7030908599849948E-2</v>
      </c>
      <c r="T117" s="7">
        <v>88.613861386138623</v>
      </c>
      <c r="U117" s="7">
        <v>2.2565264230976254</v>
      </c>
    </row>
    <row r="118" spans="16:21" x14ac:dyDescent="0.25">
      <c r="P118" s="7">
        <v>91</v>
      </c>
      <c r="Q118" s="7">
        <v>2.383878598214042</v>
      </c>
      <c r="R118" s="7">
        <v>-8.4128585416524793E-2</v>
      </c>
      <c r="T118" s="7">
        <v>89.603960396039611</v>
      </c>
      <c r="U118" s="7">
        <v>2.2997500127975172</v>
      </c>
    </row>
    <row r="119" spans="16:21" x14ac:dyDescent="0.25">
      <c r="P119" s="7">
        <v>92</v>
      </c>
      <c r="Q119" s="7">
        <v>2.4441998647306082</v>
      </c>
      <c r="R119" s="7">
        <v>-5.2965396241988927E-2</v>
      </c>
      <c r="T119" s="7">
        <v>90.594059405940598</v>
      </c>
      <c r="U119" s="7">
        <v>2.3912344684886193</v>
      </c>
    </row>
    <row r="120" spans="16:21" x14ac:dyDescent="0.25">
      <c r="P120" s="7">
        <v>93</v>
      </c>
      <c r="Q120" s="7">
        <v>2.5045211312471745</v>
      </c>
      <c r="R120" s="7">
        <v>-6.0597607138874743E-2</v>
      </c>
      <c r="T120" s="7">
        <v>91.584158415841586</v>
      </c>
      <c r="U120" s="7">
        <v>2.4439235241082997</v>
      </c>
    </row>
    <row r="121" spans="16:21" x14ac:dyDescent="0.25">
      <c r="P121" s="7">
        <v>94</v>
      </c>
      <c r="Q121" s="7">
        <v>2.5648423977637411</v>
      </c>
      <c r="R121" s="7">
        <v>-6.6536546297229382E-2</v>
      </c>
      <c r="T121" s="7">
        <v>92.574257425742573</v>
      </c>
      <c r="U121" s="7">
        <v>2.4983058514665117</v>
      </c>
    </row>
    <row r="122" spans="16:21" x14ac:dyDescent="0.25">
      <c r="P122" s="7">
        <v>95</v>
      </c>
      <c r="Q122" s="7">
        <v>2.6251636642803073</v>
      </c>
      <c r="R122" s="7">
        <v>-5.5628149632411361E-2</v>
      </c>
      <c r="T122" s="7">
        <v>93.564356435643575</v>
      </c>
      <c r="U122" s="7">
        <v>2.569535514647896</v>
      </c>
    </row>
    <row r="123" spans="16:21" x14ac:dyDescent="0.25">
      <c r="P123" s="7">
        <v>96</v>
      </c>
      <c r="Q123" s="7">
        <v>2.6854849307968736</v>
      </c>
      <c r="R123" s="7">
        <v>-9.1667443597897691E-2</v>
      </c>
      <c r="T123" s="7">
        <v>94.554455445544562</v>
      </c>
      <c r="U123" s="7">
        <v>2.5938174871989759</v>
      </c>
    </row>
    <row r="124" spans="16:21" x14ac:dyDescent="0.25">
      <c r="P124" s="7">
        <v>97</v>
      </c>
      <c r="Q124" s="7">
        <v>2.7458061973134402</v>
      </c>
      <c r="R124" s="7">
        <v>-0.12077617691480036</v>
      </c>
      <c r="T124" s="7">
        <v>95.544554455445549</v>
      </c>
      <c r="U124" s="7">
        <v>2.6250300203986399</v>
      </c>
    </row>
    <row r="125" spans="16:21" x14ac:dyDescent="0.25">
      <c r="P125" s="7">
        <v>98</v>
      </c>
      <c r="Q125" s="7">
        <v>2.8061274638300064</v>
      </c>
      <c r="R125" s="7">
        <v>-0.14554076865890142</v>
      </c>
      <c r="T125" s="7">
        <v>96.534653465346537</v>
      </c>
      <c r="U125" s="7">
        <v>2.660586695171105</v>
      </c>
    </row>
    <row r="126" spans="16:21" x14ac:dyDescent="0.25">
      <c r="P126" s="7">
        <v>99</v>
      </c>
      <c r="Q126" s="7">
        <v>2.8664487303465727</v>
      </c>
      <c r="R126" s="7">
        <v>-0.15833254916440964</v>
      </c>
      <c r="T126" s="7">
        <v>97.524752475247524</v>
      </c>
      <c r="U126" s="7">
        <v>2.708116181182163</v>
      </c>
    </row>
    <row r="127" spans="16:21" x14ac:dyDescent="0.25">
      <c r="P127" s="7">
        <v>100</v>
      </c>
      <c r="Q127" s="7">
        <v>2.9267699968631393</v>
      </c>
      <c r="R127" s="7">
        <v>-0.18696588108623358</v>
      </c>
      <c r="T127" s="7">
        <v>98.514851485148526</v>
      </c>
      <c r="U127" s="7">
        <v>2.7398041157769057</v>
      </c>
    </row>
    <row r="128" spans="16:21" ht="15.75" thickBot="1" x14ac:dyDescent="0.3">
      <c r="P128" s="8">
        <v>101</v>
      </c>
      <c r="Q128" s="8">
        <v>2.9870912633797055</v>
      </c>
      <c r="R128" s="8">
        <v>-0.16931836147918</v>
      </c>
      <c r="T128" s="8">
        <v>99.504950495049513</v>
      </c>
      <c r="U128" s="8">
        <v>2.8177729019005255</v>
      </c>
    </row>
  </sheetData>
  <sortState ref="U28:U128">
    <sortCondition ref="U2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heet12.black_scholes_delta_in_s1">
                <anchor moveWithCells="1" sizeWithCells="1">
                  <from>
                    <xdr:col>4</xdr:col>
                    <xdr:colOff>381000</xdr:colOff>
                    <xdr:row>4</xdr:row>
                    <xdr:rowOff>104775</xdr:rowOff>
                  </from>
                  <to>
                    <xdr:col>6</xdr:col>
                    <xdr:colOff>57150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X128"/>
  <sheetViews>
    <sheetView workbookViewId="0"/>
  </sheetViews>
  <sheetFormatPr defaultRowHeight="15" x14ac:dyDescent="0.25"/>
  <sheetData>
    <row r="1" spans="1:21" x14ac:dyDescent="0.25">
      <c r="A1" t="s">
        <v>37</v>
      </c>
      <c r="B1">
        <f>'Parameter Page'!E10</f>
        <v>8812.61</v>
      </c>
      <c r="D1">
        <f>B1-50</f>
        <v>8762.61</v>
      </c>
      <c r="E1">
        <f>B1+50</f>
        <v>8862.61</v>
      </c>
    </row>
    <row r="2" spans="1:21" x14ac:dyDescent="0.25">
      <c r="B2" t="s">
        <v>36</v>
      </c>
      <c r="C2">
        <f>COUNT(A4:A104)</f>
        <v>101</v>
      </c>
    </row>
    <row r="3" spans="1:21" x14ac:dyDescent="0.25">
      <c r="A3" t="s">
        <v>41</v>
      </c>
      <c r="B3" t="s">
        <v>35</v>
      </c>
      <c r="E3" t="s">
        <v>114</v>
      </c>
      <c r="F3">
        <f>$B$54</f>
        <v>973.29933768377987</v>
      </c>
      <c r="N3" t="s">
        <v>112</v>
      </c>
      <c r="O3" t="s">
        <v>113</v>
      </c>
    </row>
    <row r="4" spans="1:21" x14ac:dyDescent="0.25">
      <c r="A4">
        <f>$D$1</f>
        <v>8762.61</v>
      </c>
      <c r="B4">
        <v>973.00265719587901</v>
      </c>
      <c r="N4">
        <f>A4-$B$1</f>
        <v>-50</v>
      </c>
      <c r="O4">
        <f>B4-$F$3</f>
        <v>-0.29668048790085777</v>
      </c>
      <c r="P4" t="s">
        <v>80</v>
      </c>
    </row>
    <row r="5" spans="1:21" ht="15.75" thickBot="1" x14ac:dyDescent="0.3">
      <c r="A5">
        <f>A4+1</f>
        <v>8763.61</v>
      </c>
      <c r="B5">
        <v>973.0058179275444</v>
      </c>
      <c r="N5">
        <f t="shared" ref="N5:N68" si="0">A5-$B$1</f>
        <v>-49</v>
      </c>
      <c r="O5">
        <f t="shared" ref="O5:O68" si="1">B5-$F$3</f>
        <v>-0.29351975623546878</v>
      </c>
    </row>
    <row r="6" spans="1:21" x14ac:dyDescent="0.25">
      <c r="A6">
        <f t="shared" ref="A6:A69" si="2">A5+1</f>
        <v>8764.61</v>
      </c>
      <c r="B6">
        <v>973.01016649011899</v>
      </c>
      <c r="N6">
        <f t="shared" si="0"/>
        <v>-48</v>
      </c>
      <c r="O6">
        <f t="shared" si="1"/>
        <v>-0.28917119366087718</v>
      </c>
      <c r="P6" s="10" t="s">
        <v>81</v>
      </c>
      <c r="Q6" s="10"/>
    </row>
    <row r="7" spans="1:21" x14ac:dyDescent="0.25">
      <c r="A7">
        <f t="shared" si="2"/>
        <v>8765.61</v>
      </c>
      <c r="B7">
        <v>973.01615993987855</v>
      </c>
      <c r="N7">
        <f t="shared" si="0"/>
        <v>-47</v>
      </c>
      <c r="O7">
        <f t="shared" si="1"/>
        <v>-0.28317774390131945</v>
      </c>
      <c r="P7" s="7" t="s">
        <v>82</v>
      </c>
      <c r="Q7" s="7">
        <v>0.99805409935997613</v>
      </c>
    </row>
    <row r="8" spans="1:21" x14ac:dyDescent="0.25">
      <c r="A8">
        <f t="shared" si="2"/>
        <v>8766.61</v>
      </c>
      <c r="B8">
        <v>973.02124941897694</v>
      </c>
      <c r="N8">
        <f t="shared" si="0"/>
        <v>-46</v>
      </c>
      <c r="O8">
        <f t="shared" si="1"/>
        <v>-0.27808826480293192</v>
      </c>
      <c r="P8" s="7" t="s">
        <v>83</v>
      </c>
      <c r="Q8" s="7">
        <v>0.99611198524925304</v>
      </c>
    </row>
    <row r="9" spans="1:21" x14ac:dyDescent="0.25">
      <c r="A9">
        <f t="shared" si="2"/>
        <v>8767.61</v>
      </c>
      <c r="B9">
        <v>973.02674479910888</v>
      </c>
      <c r="N9">
        <f t="shared" si="0"/>
        <v>-45</v>
      </c>
      <c r="O9">
        <f t="shared" si="1"/>
        <v>-0.27259288467098486</v>
      </c>
      <c r="P9" s="7" t="s">
        <v>84</v>
      </c>
      <c r="Q9" s="7">
        <v>0.99607271237298278</v>
      </c>
    </row>
    <row r="10" spans="1:21" x14ac:dyDescent="0.25">
      <c r="A10">
        <f t="shared" si="2"/>
        <v>8768.61</v>
      </c>
      <c r="B10">
        <v>973.03109902470737</v>
      </c>
      <c r="N10">
        <f t="shared" si="0"/>
        <v>-44</v>
      </c>
      <c r="O10">
        <f t="shared" si="1"/>
        <v>-0.26823865907249456</v>
      </c>
      <c r="P10" s="7" t="s">
        <v>85</v>
      </c>
      <c r="Q10" s="7">
        <v>1.0373702508985319E-2</v>
      </c>
    </row>
    <row r="11" spans="1:21" ht="15.75" thickBot="1" x14ac:dyDescent="0.3">
      <c r="A11">
        <f t="shared" si="2"/>
        <v>8769.61</v>
      </c>
      <c r="B11">
        <v>973.03316864292651</v>
      </c>
      <c r="N11">
        <f t="shared" si="0"/>
        <v>-43</v>
      </c>
      <c r="O11">
        <f t="shared" si="1"/>
        <v>-0.26616904085335591</v>
      </c>
      <c r="P11" s="8" t="s">
        <v>86</v>
      </c>
      <c r="Q11" s="8">
        <v>101</v>
      </c>
    </row>
    <row r="12" spans="1:21" x14ac:dyDescent="0.25">
      <c r="A12">
        <f t="shared" si="2"/>
        <v>8770.61</v>
      </c>
      <c r="B12">
        <v>973.04493807787594</v>
      </c>
      <c r="N12">
        <f t="shared" si="0"/>
        <v>-42</v>
      </c>
      <c r="O12">
        <f t="shared" si="1"/>
        <v>-0.2543996059039273</v>
      </c>
    </row>
    <row r="13" spans="1:21" ht="15.75" thickBot="1" x14ac:dyDescent="0.3">
      <c r="A13">
        <f t="shared" si="2"/>
        <v>8771.61</v>
      </c>
      <c r="B13">
        <v>973.04922214320027</v>
      </c>
      <c r="N13">
        <f t="shared" si="0"/>
        <v>-41</v>
      </c>
      <c r="O13">
        <f t="shared" si="1"/>
        <v>-0.25011554057959984</v>
      </c>
      <c r="P13" t="s">
        <v>87</v>
      </c>
    </row>
    <row r="14" spans="1:21" x14ac:dyDescent="0.25">
      <c r="A14">
        <f t="shared" si="2"/>
        <v>8772.61</v>
      </c>
      <c r="B14">
        <v>973.05179911500068</v>
      </c>
      <c r="N14">
        <f t="shared" si="0"/>
        <v>-40</v>
      </c>
      <c r="O14">
        <f t="shared" si="1"/>
        <v>-0.24753856877919134</v>
      </c>
      <c r="P14" s="9"/>
      <c r="Q14" s="9" t="s">
        <v>92</v>
      </c>
      <c r="R14" s="9" t="s">
        <v>93</v>
      </c>
      <c r="S14" s="9" t="s">
        <v>94</v>
      </c>
      <c r="T14" s="9" t="s">
        <v>95</v>
      </c>
      <c r="U14" s="9" t="s">
        <v>96</v>
      </c>
    </row>
    <row r="15" spans="1:21" x14ac:dyDescent="0.25">
      <c r="A15">
        <f t="shared" si="2"/>
        <v>8773.61</v>
      </c>
      <c r="B15">
        <v>973.05664531233288</v>
      </c>
      <c r="N15">
        <f t="shared" si="0"/>
        <v>-39</v>
      </c>
      <c r="O15">
        <f t="shared" si="1"/>
        <v>-0.24269237144699218</v>
      </c>
      <c r="P15" s="7" t="s">
        <v>88</v>
      </c>
      <c r="Q15" s="7">
        <v>1</v>
      </c>
      <c r="R15" s="7">
        <v>2.7294996001808784</v>
      </c>
      <c r="S15" s="7">
        <v>2.7294996001808784</v>
      </c>
      <c r="T15" s="7">
        <v>25363.866358976757</v>
      </c>
      <c r="U15" s="7">
        <v>3.939001619131137E-121</v>
      </c>
    </row>
    <row r="16" spans="1:21" x14ac:dyDescent="0.25">
      <c r="A16">
        <f t="shared" si="2"/>
        <v>8774.61</v>
      </c>
      <c r="B16">
        <v>973.05967936209481</v>
      </c>
      <c r="N16">
        <f t="shared" si="0"/>
        <v>-38</v>
      </c>
      <c r="O16">
        <f t="shared" si="1"/>
        <v>-0.23965832168505585</v>
      </c>
      <c r="P16" s="7" t="s">
        <v>89</v>
      </c>
      <c r="Q16" s="7">
        <v>99</v>
      </c>
      <c r="R16" s="7">
        <v>1.0653756670747904E-2</v>
      </c>
      <c r="S16" s="7">
        <v>1.0761370374492833E-4</v>
      </c>
      <c r="T16" s="7"/>
      <c r="U16" s="7"/>
    </row>
    <row r="17" spans="1:24" ht="15.75" thickBot="1" x14ac:dyDescent="0.3">
      <c r="A17">
        <f t="shared" si="2"/>
        <v>8775.61</v>
      </c>
      <c r="B17">
        <v>973.06223415352144</v>
      </c>
      <c r="N17">
        <f t="shared" si="0"/>
        <v>-37</v>
      </c>
      <c r="O17">
        <f t="shared" si="1"/>
        <v>-0.23710353025842323</v>
      </c>
      <c r="P17" s="8" t="s">
        <v>90</v>
      </c>
      <c r="Q17" s="8">
        <v>100</v>
      </c>
      <c r="R17" s="8">
        <v>2.7401533568516263</v>
      </c>
      <c r="S17" s="8"/>
      <c r="T17" s="8"/>
      <c r="U17" s="8"/>
    </row>
    <row r="18" spans="1:24" ht="15.75" thickBot="1" x14ac:dyDescent="0.3">
      <c r="A18">
        <f t="shared" si="2"/>
        <v>8776.61</v>
      </c>
      <c r="B18">
        <v>973.06761020366446</v>
      </c>
      <c r="N18">
        <f t="shared" si="0"/>
        <v>-36</v>
      </c>
      <c r="O18">
        <f t="shared" si="1"/>
        <v>-0.23172748011540989</v>
      </c>
    </row>
    <row r="19" spans="1:24" x14ac:dyDescent="0.25">
      <c r="A19">
        <f t="shared" si="2"/>
        <v>8777.61</v>
      </c>
      <c r="B19">
        <v>973.07218694319909</v>
      </c>
      <c r="N19">
        <f t="shared" si="0"/>
        <v>-35</v>
      </c>
      <c r="O19">
        <f t="shared" si="1"/>
        <v>-0.22715074058078244</v>
      </c>
      <c r="P19" s="9"/>
      <c r="Q19" s="9" t="s">
        <v>97</v>
      </c>
      <c r="R19" s="9" t="s">
        <v>85</v>
      </c>
      <c r="S19" s="9" t="s">
        <v>98</v>
      </c>
      <c r="T19" s="9" t="s">
        <v>99</v>
      </c>
      <c r="U19" s="9" t="s">
        <v>100</v>
      </c>
      <c r="V19" s="9" t="s">
        <v>101</v>
      </c>
      <c r="W19" s="9" t="s">
        <v>102</v>
      </c>
      <c r="X19" s="9" t="s">
        <v>103</v>
      </c>
    </row>
    <row r="20" spans="1:24" x14ac:dyDescent="0.25">
      <c r="A20">
        <f t="shared" si="2"/>
        <v>8778.61</v>
      </c>
      <c r="B20">
        <v>973.08050122464704</v>
      </c>
      <c r="N20">
        <f t="shared" si="0"/>
        <v>-34</v>
      </c>
      <c r="O20">
        <f t="shared" si="1"/>
        <v>-0.2188364591328309</v>
      </c>
      <c r="P20" s="7" t="s">
        <v>91</v>
      </c>
      <c r="Q20" s="7">
        <v>-2.4752148516345999E-2</v>
      </c>
      <c r="R20" s="7">
        <v>1.0322219796615067E-3</v>
      </c>
      <c r="S20" s="7">
        <v>-23.979482130832839</v>
      </c>
      <c r="T20" s="7">
        <v>5.0299601259535267E-43</v>
      </c>
      <c r="U20" s="7">
        <v>-2.6800300866190448E-2</v>
      </c>
      <c r="V20" s="7">
        <v>-2.2703996166501549E-2</v>
      </c>
      <c r="W20" s="7">
        <v>-2.6800300866190448E-2</v>
      </c>
      <c r="X20" s="7">
        <v>-2.2703996166501549E-2</v>
      </c>
    </row>
    <row r="21" spans="1:24" ht="15.75" thickBot="1" x14ac:dyDescent="0.3">
      <c r="A21">
        <f t="shared" si="2"/>
        <v>8779.61</v>
      </c>
      <c r="B21">
        <v>973.08881291305556</v>
      </c>
      <c r="N21">
        <f t="shared" si="0"/>
        <v>-33</v>
      </c>
      <c r="O21">
        <f t="shared" si="1"/>
        <v>-0.2105247707243052</v>
      </c>
      <c r="P21" s="8" t="s">
        <v>104</v>
      </c>
      <c r="Q21" s="8">
        <v>5.6386010485123981E-3</v>
      </c>
      <c r="R21" s="8">
        <v>3.5404921812989583E-5</v>
      </c>
      <c r="S21" s="8">
        <v>159.26037284577967</v>
      </c>
      <c r="T21" s="8">
        <v>3.939001619131137E-121</v>
      </c>
      <c r="U21" s="8">
        <v>5.5683500024814722E-3</v>
      </c>
      <c r="V21" s="8">
        <v>5.7088520945433241E-3</v>
      </c>
      <c r="W21" s="8">
        <v>5.5683500024814722E-3</v>
      </c>
      <c r="X21" s="8">
        <v>5.7088520945433241E-3</v>
      </c>
    </row>
    <row r="22" spans="1:24" x14ac:dyDescent="0.25">
      <c r="A22">
        <f t="shared" si="2"/>
        <v>8780.61</v>
      </c>
      <c r="B22">
        <v>973.09342725911097</v>
      </c>
      <c r="N22">
        <f t="shared" si="0"/>
        <v>-32</v>
      </c>
      <c r="O22">
        <f t="shared" si="1"/>
        <v>-0.2059104246689003</v>
      </c>
    </row>
    <row r="23" spans="1:24" x14ac:dyDescent="0.25">
      <c r="A23">
        <f t="shared" si="2"/>
        <v>8781.61</v>
      </c>
      <c r="B23">
        <v>973.09591058343494</v>
      </c>
      <c r="N23">
        <f t="shared" si="0"/>
        <v>-31</v>
      </c>
      <c r="O23">
        <f t="shared" si="1"/>
        <v>-0.20342710034492484</v>
      </c>
    </row>
    <row r="24" spans="1:24" x14ac:dyDescent="0.25">
      <c r="A24">
        <f t="shared" si="2"/>
        <v>8782.61</v>
      </c>
      <c r="B24">
        <v>973.09784018386506</v>
      </c>
      <c r="N24">
        <f t="shared" si="0"/>
        <v>-30</v>
      </c>
      <c r="O24">
        <f t="shared" si="1"/>
        <v>-0.20149749991480803</v>
      </c>
    </row>
    <row r="25" spans="1:24" x14ac:dyDescent="0.25">
      <c r="A25">
        <f t="shared" si="2"/>
        <v>8783.61</v>
      </c>
      <c r="B25">
        <v>973.10243567015323</v>
      </c>
      <c r="N25">
        <f t="shared" si="0"/>
        <v>-29</v>
      </c>
      <c r="O25">
        <f t="shared" si="1"/>
        <v>-0.19690201362664084</v>
      </c>
      <c r="P25" t="s">
        <v>105</v>
      </c>
      <c r="T25" t="s">
        <v>109</v>
      </c>
    </row>
    <row r="26" spans="1:24" ht="15.75" thickBot="1" x14ac:dyDescent="0.3">
      <c r="A26">
        <f t="shared" si="2"/>
        <v>8784.61</v>
      </c>
      <c r="B26">
        <v>973.10702086077276</v>
      </c>
      <c r="N26">
        <f t="shared" si="0"/>
        <v>-28</v>
      </c>
      <c r="O26">
        <f t="shared" si="1"/>
        <v>-0.19231682300710418</v>
      </c>
    </row>
    <row r="27" spans="1:24" x14ac:dyDescent="0.25">
      <c r="A27">
        <f t="shared" si="2"/>
        <v>8785.61</v>
      </c>
      <c r="B27">
        <v>973.11106918961434</v>
      </c>
      <c r="N27">
        <f t="shared" si="0"/>
        <v>-27</v>
      </c>
      <c r="O27">
        <f t="shared" si="1"/>
        <v>-0.18826849416552704</v>
      </c>
      <c r="P27" s="9" t="s">
        <v>106</v>
      </c>
      <c r="Q27" s="9" t="s">
        <v>107</v>
      </c>
      <c r="R27" s="9" t="s">
        <v>108</v>
      </c>
      <c r="T27" s="9" t="s">
        <v>110</v>
      </c>
      <c r="U27" s="9" t="s">
        <v>111</v>
      </c>
    </row>
    <row r="28" spans="1:24" x14ac:dyDescent="0.25">
      <c r="A28">
        <f t="shared" si="2"/>
        <v>8786.61</v>
      </c>
      <c r="B28">
        <v>973.11817358455585</v>
      </c>
      <c r="N28">
        <f t="shared" si="0"/>
        <v>-26</v>
      </c>
      <c r="O28">
        <f t="shared" si="1"/>
        <v>-0.18116409922401999</v>
      </c>
      <c r="P28" s="7">
        <v>1</v>
      </c>
      <c r="Q28" s="7">
        <v>-0.30668220094196591</v>
      </c>
      <c r="R28" s="7">
        <v>1.000171304110814E-2</v>
      </c>
      <c r="T28" s="7">
        <v>0.49504950495049505</v>
      </c>
      <c r="U28" s="7">
        <v>-0.29668048790085777</v>
      </c>
    </row>
    <row r="29" spans="1:24" x14ac:dyDescent="0.25">
      <c r="A29">
        <f t="shared" si="2"/>
        <v>8787.61</v>
      </c>
      <c r="B29">
        <v>973.12270674865772</v>
      </c>
      <c r="N29">
        <f t="shared" si="0"/>
        <v>-25</v>
      </c>
      <c r="O29">
        <f t="shared" si="1"/>
        <v>-0.176630935122148</v>
      </c>
      <c r="P29" s="7">
        <v>2</v>
      </c>
      <c r="Q29" s="7">
        <v>-0.30104359989345353</v>
      </c>
      <c r="R29" s="7">
        <v>7.5238436579847523E-3</v>
      </c>
      <c r="T29" s="7">
        <v>1.4851485148514851</v>
      </c>
      <c r="U29" s="7">
        <v>-0.29351975623546878</v>
      </c>
    </row>
    <row r="30" spans="1:24" x14ac:dyDescent="0.25">
      <c r="A30">
        <f t="shared" si="2"/>
        <v>8788.61</v>
      </c>
      <c r="B30">
        <v>973.12725276664128</v>
      </c>
      <c r="N30">
        <f t="shared" si="0"/>
        <v>-24</v>
      </c>
      <c r="O30">
        <f t="shared" si="1"/>
        <v>-0.17208491713859075</v>
      </c>
      <c r="P30" s="7">
        <v>3</v>
      </c>
      <c r="Q30" s="7">
        <v>-0.29540499884494109</v>
      </c>
      <c r="R30" s="7">
        <v>6.2338051840639119E-3</v>
      </c>
      <c r="T30" s="7">
        <v>2.4752475247524752</v>
      </c>
      <c r="U30" s="7">
        <v>-0.28917119366087718</v>
      </c>
    </row>
    <row r="31" spans="1:24" x14ac:dyDescent="0.25">
      <c r="A31">
        <f t="shared" si="2"/>
        <v>8789.61</v>
      </c>
      <c r="B31">
        <v>973.13217422452067</v>
      </c>
      <c r="N31">
        <f t="shared" si="0"/>
        <v>-23</v>
      </c>
      <c r="O31">
        <f t="shared" si="1"/>
        <v>-0.16716345925919995</v>
      </c>
      <c r="P31" s="7">
        <v>4</v>
      </c>
      <c r="Q31" s="7">
        <v>-0.28976639779642871</v>
      </c>
      <c r="R31" s="7">
        <v>6.5886538951092644E-3</v>
      </c>
      <c r="T31" s="7">
        <v>3.4653465346534653</v>
      </c>
      <c r="U31" s="7">
        <v>-0.28317774390131945</v>
      </c>
    </row>
    <row r="32" spans="1:24" x14ac:dyDescent="0.25">
      <c r="A32">
        <f t="shared" si="2"/>
        <v>8790.61</v>
      </c>
      <c r="B32">
        <v>973.13502133293514</v>
      </c>
      <c r="N32">
        <f t="shared" si="0"/>
        <v>-22</v>
      </c>
      <c r="O32">
        <f t="shared" si="1"/>
        <v>-0.16431635084472873</v>
      </c>
      <c r="P32" s="7">
        <v>5</v>
      </c>
      <c r="Q32" s="7">
        <v>-0.28412779674791633</v>
      </c>
      <c r="R32" s="7">
        <v>6.0395319449844109E-3</v>
      </c>
      <c r="T32" s="7">
        <v>4.4554455445544559</v>
      </c>
      <c r="U32" s="7">
        <v>-0.27808826480293192</v>
      </c>
    </row>
    <row r="33" spans="1:21" x14ac:dyDescent="0.25">
      <c r="A33">
        <f t="shared" si="2"/>
        <v>8791.61</v>
      </c>
      <c r="B33">
        <v>973.13845286067908</v>
      </c>
      <c r="N33">
        <f t="shared" si="0"/>
        <v>-21</v>
      </c>
      <c r="O33">
        <f t="shared" si="1"/>
        <v>-0.16088482310078689</v>
      </c>
      <c r="P33" s="7">
        <v>6</v>
      </c>
      <c r="Q33" s="7">
        <v>-0.27848919569940389</v>
      </c>
      <c r="R33" s="7">
        <v>5.8963110284190323E-3</v>
      </c>
      <c r="T33" s="7">
        <v>5.4455445544554451</v>
      </c>
      <c r="U33" s="7">
        <v>-0.27259288467098486</v>
      </c>
    </row>
    <row r="34" spans="1:21" x14ac:dyDescent="0.25">
      <c r="A34">
        <f t="shared" si="2"/>
        <v>8792.61</v>
      </c>
      <c r="B34">
        <v>973.15791999788144</v>
      </c>
      <c r="N34">
        <f t="shared" si="0"/>
        <v>-20</v>
      </c>
      <c r="O34">
        <f t="shared" si="1"/>
        <v>-0.14141768589843196</v>
      </c>
      <c r="P34" s="7">
        <v>7</v>
      </c>
      <c r="Q34" s="7">
        <v>-0.27285059465089151</v>
      </c>
      <c r="R34" s="7">
        <v>4.6119355783969529E-3</v>
      </c>
      <c r="T34" s="7">
        <v>6.435643564356436</v>
      </c>
      <c r="U34" s="7">
        <v>-0.26823865907249456</v>
      </c>
    </row>
    <row r="35" spans="1:21" x14ac:dyDescent="0.25">
      <c r="A35">
        <f t="shared" si="2"/>
        <v>8793.61</v>
      </c>
      <c r="B35">
        <v>973.16483277324267</v>
      </c>
      <c r="N35">
        <f t="shared" si="0"/>
        <v>-19</v>
      </c>
      <c r="O35">
        <f t="shared" si="1"/>
        <v>-0.1345049105372027</v>
      </c>
      <c r="P35" s="7">
        <v>8</v>
      </c>
      <c r="Q35" s="7">
        <v>-0.26721199360237913</v>
      </c>
      <c r="R35" s="7">
        <v>1.0429527490232182E-3</v>
      </c>
      <c r="T35" s="7">
        <v>7.4257425742574252</v>
      </c>
      <c r="U35" s="7">
        <v>-0.26616904085335591</v>
      </c>
    </row>
    <row r="36" spans="1:21" x14ac:dyDescent="0.25">
      <c r="A36">
        <f t="shared" si="2"/>
        <v>8794.61</v>
      </c>
      <c r="B36">
        <v>973.17126985020434</v>
      </c>
      <c r="N36">
        <f t="shared" si="0"/>
        <v>-18</v>
      </c>
      <c r="O36">
        <f t="shared" si="1"/>
        <v>-0.12806783357552831</v>
      </c>
      <c r="P36" s="7">
        <v>9</v>
      </c>
      <c r="Q36" s="7">
        <v>-0.26157339255386675</v>
      </c>
      <c r="R36" s="7">
        <v>7.1737866499394509E-3</v>
      </c>
      <c r="T36" s="7">
        <v>8.4158415841584162</v>
      </c>
      <c r="U36" s="7">
        <v>-0.2543996059039273</v>
      </c>
    </row>
    <row r="37" spans="1:21" x14ac:dyDescent="0.25">
      <c r="A37">
        <f t="shared" si="2"/>
        <v>8795.61</v>
      </c>
      <c r="B37">
        <v>973.17643575263355</v>
      </c>
      <c r="N37">
        <f t="shared" si="0"/>
        <v>-17</v>
      </c>
      <c r="O37">
        <f t="shared" si="1"/>
        <v>-0.1229019311463162</v>
      </c>
      <c r="P37" s="7">
        <v>10</v>
      </c>
      <c r="Q37" s="7">
        <v>-0.25593479150535431</v>
      </c>
      <c r="R37" s="7">
        <v>5.8192509257544711E-3</v>
      </c>
      <c r="T37" s="7">
        <v>9.4059405940594072</v>
      </c>
      <c r="U37" s="7">
        <v>-0.25011554057959984</v>
      </c>
    </row>
    <row r="38" spans="1:21" x14ac:dyDescent="0.25">
      <c r="A38">
        <f t="shared" si="2"/>
        <v>8796.61</v>
      </c>
      <c r="B38">
        <v>973.17823797853748</v>
      </c>
      <c r="N38">
        <f t="shared" si="0"/>
        <v>-16</v>
      </c>
      <c r="O38">
        <f t="shared" si="1"/>
        <v>-0.12109970524238634</v>
      </c>
      <c r="P38" s="7">
        <v>11</v>
      </c>
      <c r="Q38" s="7">
        <v>-0.25029619045684193</v>
      </c>
      <c r="R38" s="7">
        <v>2.7576216776505902E-3</v>
      </c>
      <c r="T38" s="7">
        <v>10.396039603960396</v>
      </c>
      <c r="U38" s="7">
        <v>-0.24753856877919134</v>
      </c>
    </row>
    <row r="39" spans="1:21" x14ac:dyDescent="0.25">
      <c r="A39">
        <f t="shared" si="2"/>
        <v>8797.61</v>
      </c>
      <c r="B39">
        <v>973.17729147646548</v>
      </c>
      <c r="N39">
        <f t="shared" si="0"/>
        <v>-15</v>
      </c>
      <c r="O39">
        <f t="shared" si="1"/>
        <v>-0.12204620731438354</v>
      </c>
      <c r="P39" s="7">
        <v>12</v>
      </c>
      <c r="Q39" s="7">
        <v>-0.24465758940832952</v>
      </c>
      <c r="R39" s="7">
        <v>1.9652179613373344E-3</v>
      </c>
      <c r="T39" s="7">
        <v>11.386138613861386</v>
      </c>
      <c r="U39" s="7">
        <v>-0.24269237144699218</v>
      </c>
    </row>
    <row r="40" spans="1:21" x14ac:dyDescent="0.25">
      <c r="A40">
        <f t="shared" si="2"/>
        <v>8798.61</v>
      </c>
      <c r="B40">
        <v>973.17715050611037</v>
      </c>
      <c r="N40">
        <f t="shared" si="0"/>
        <v>-14</v>
      </c>
      <c r="O40">
        <f t="shared" si="1"/>
        <v>-0.12218717766950249</v>
      </c>
      <c r="P40" s="7">
        <v>13</v>
      </c>
      <c r="Q40" s="7">
        <v>-0.23901898835981714</v>
      </c>
      <c r="R40" s="7">
        <v>-6.3933332523871678E-4</v>
      </c>
      <c r="T40" s="7">
        <v>12.376237623762377</v>
      </c>
      <c r="U40" s="7">
        <v>-0.23965832168505585</v>
      </c>
    </row>
    <row r="41" spans="1:21" x14ac:dyDescent="0.25">
      <c r="A41">
        <f t="shared" si="2"/>
        <v>8799.61</v>
      </c>
      <c r="B41">
        <v>973.18162002963982</v>
      </c>
      <c r="N41">
        <f t="shared" si="0"/>
        <v>-13</v>
      </c>
      <c r="O41">
        <f t="shared" si="1"/>
        <v>-0.11771765414005131</v>
      </c>
      <c r="P41" s="7">
        <v>14</v>
      </c>
      <c r="Q41" s="7">
        <v>-0.23338038731130473</v>
      </c>
      <c r="R41" s="7">
        <v>-3.7231429471185074E-3</v>
      </c>
      <c r="T41" s="7">
        <v>13.366336633663368</v>
      </c>
      <c r="U41" s="7">
        <v>-0.23710353025842323</v>
      </c>
    </row>
    <row r="42" spans="1:21" x14ac:dyDescent="0.25">
      <c r="A42">
        <f t="shared" si="2"/>
        <v>8800.61</v>
      </c>
      <c r="B42">
        <v>973.18728921285935</v>
      </c>
      <c r="N42">
        <f t="shared" si="0"/>
        <v>-12</v>
      </c>
      <c r="O42">
        <f t="shared" si="1"/>
        <v>-0.11204847092051295</v>
      </c>
      <c r="P42" s="7">
        <v>15</v>
      </c>
      <c r="Q42" s="7">
        <v>-0.22774178626279232</v>
      </c>
      <c r="R42" s="7">
        <v>-3.9856938526175723E-3</v>
      </c>
      <c r="T42" s="7">
        <v>14.356435643564357</v>
      </c>
      <c r="U42" s="7">
        <v>-0.23172748011540989</v>
      </c>
    </row>
    <row r="43" spans="1:21" x14ac:dyDescent="0.25">
      <c r="A43">
        <f t="shared" si="2"/>
        <v>8801.61</v>
      </c>
      <c r="B43">
        <v>973.19784679875625</v>
      </c>
      <c r="N43">
        <f t="shared" si="0"/>
        <v>-11</v>
      </c>
      <c r="O43">
        <f t="shared" si="1"/>
        <v>-0.10149088502362247</v>
      </c>
      <c r="P43" s="7">
        <v>16</v>
      </c>
      <c r="Q43" s="7">
        <v>-0.22210318521427994</v>
      </c>
      <c r="R43" s="7">
        <v>-5.0475553665025041E-3</v>
      </c>
      <c r="T43" s="7">
        <v>15.346534653465346</v>
      </c>
      <c r="U43" s="7">
        <v>-0.22715074058078244</v>
      </c>
    </row>
    <row r="44" spans="1:21" x14ac:dyDescent="0.25">
      <c r="A44">
        <f t="shared" si="2"/>
        <v>8802.61</v>
      </c>
      <c r="B44">
        <v>973.20266395743192</v>
      </c>
      <c r="N44">
        <f t="shared" si="0"/>
        <v>-10</v>
      </c>
      <c r="O44">
        <f t="shared" si="1"/>
        <v>-9.6673726347944466E-2</v>
      </c>
      <c r="P44" s="7">
        <v>17</v>
      </c>
      <c r="Q44" s="7">
        <v>-0.21646458416576753</v>
      </c>
      <c r="R44" s="7">
        <v>-2.3718749670633699E-3</v>
      </c>
      <c r="T44" s="7">
        <v>16.336633663366335</v>
      </c>
      <c r="U44" s="7">
        <v>-0.2188364591328309</v>
      </c>
    </row>
    <row r="45" spans="1:21" x14ac:dyDescent="0.25">
      <c r="A45">
        <f t="shared" si="2"/>
        <v>8803.61</v>
      </c>
      <c r="B45">
        <v>973.20787502501139</v>
      </c>
      <c r="N45">
        <f t="shared" si="0"/>
        <v>-9</v>
      </c>
      <c r="O45">
        <f t="shared" si="1"/>
        <v>-9.1462658768477922E-2</v>
      </c>
      <c r="P45" s="7">
        <v>18</v>
      </c>
      <c r="Q45" s="7">
        <v>-0.21082598311725514</v>
      </c>
      <c r="R45" s="7">
        <v>3.0121239294994551E-4</v>
      </c>
      <c r="T45" s="7">
        <v>17.326732673267326</v>
      </c>
      <c r="U45" s="7">
        <v>-0.2105247707243052</v>
      </c>
    </row>
    <row r="46" spans="1:21" x14ac:dyDescent="0.25">
      <c r="A46">
        <f t="shared" si="2"/>
        <v>8804.61</v>
      </c>
      <c r="B46">
        <v>973.22269286310234</v>
      </c>
      <c r="N46">
        <f t="shared" si="0"/>
        <v>-8</v>
      </c>
      <c r="O46">
        <f t="shared" si="1"/>
        <v>-7.6644820677529424E-2</v>
      </c>
      <c r="P46" s="7">
        <v>19</v>
      </c>
      <c r="Q46" s="7">
        <v>-0.20518738206874274</v>
      </c>
      <c r="R46" s="7">
        <v>-7.230426001575696E-4</v>
      </c>
      <c r="T46" s="7">
        <v>18.316831683168317</v>
      </c>
      <c r="U46" s="7">
        <v>-0.2059104246689003</v>
      </c>
    </row>
    <row r="47" spans="1:21" x14ac:dyDescent="0.25">
      <c r="A47">
        <f t="shared" si="2"/>
        <v>8805.61</v>
      </c>
      <c r="B47">
        <v>973.2271124292289</v>
      </c>
      <c r="N47">
        <f t="shared" si="0"/>
        <v>-7</v>
      </c>
      <c r="O47">
        <f t="shared" si="1"/>
        <v>-7.222525455097184E-2</v>
      </c>
      <c r="P47" s="7">
        <v>20</v>
      </c>
      <c r="Q47" s="7">
        <v>-0.19954878102023033</v>
      </c>
      <c r="R47" s="7">
        <v>-3.8783193246945125E-3</v>
      </c>
      <c r="T47" s="7">
        <v>19.306930693069305</v>
      </c>
      <c r="U47" s="7">
        <v>-0.20342710034492484</v>
      </c>
    </row>
    <row r="48" spans="1:21" x14ac:dyDescent="0.25">
      <c r="A48">
        <f t="shared" si="2"/>
        <v>8806.61</v>
      </c>
      <c r="B48">
        <v>973.22999719740233</v>
      </c>
      <c r="N48">
        <f t="shared" si="0"/>
        <v>-6</v>
      </c>
      <c r="O48">
        <f t="shared" si="1"/>
        <v>-6.9340486377541311E-2</v>
      </c>
      <c r="P48" s="7">
        <v>21</v>
      </c>
      <c r="Q48" s="7">
        <v>-0.19391017997171794</v>
      </c>
      <c r="R48" s="7">
        <v>-7.5873199430900873E-3</v>
      </c>
      <c r="T48" s="7">
        <v>20.297029702970296</v>
      </c>
      <c r="U48" s="7">
        <v>-0.20149749991480803</v>
      </c>
    </row>
    <row r="49" spans="1:21" x14ac:dyDescent="0.25">
      <c r="A49">
        <f t="shared" si="2"/>
        <v>8807.61</v>
      </c>
      <c r="B49">
        <v>973.26012002293021</v>
      </c>
      <c r="N49">
        <f t="shared" si="0"/>
        <v>-5</v>
      </c>
      <c r="O49">
        <f t="shared" si="1"/>
        <v>-3.9217660849658387E-2</v>
      </c>
      <c r="P49" s="7">
        <v>22</v>
      </c>
      <c r="Q49" s="7">
        <v>-0.18827157892320553</v>
      </c>
      <c r="R49" s="7">
        <v>-8.6304347034353024E-3</v>
      </c>
      <c r="T49" s="7">
        <v>21.287128712871286</v>
      </c>
      <c r="U49" s="7">
        <v>-0.19690201362664084</v>
      </c>
    </row>
    <row r="50" spans="1:21" x14ac:dyDescent="0.25">
      <c r="A50">
        <f t="shared" si="2"/>
        <v>8808.61</v>
      </c>
      <c r="B50">
        <v>973.26454839591293</v>
      </c>
      <c r="N50">
        <f t="shared" si="0"/>
        <v>-4</v>
      </c>
      <c r="O50">
        <f t="shared" si="1"/>
        <v>-3.4789287866942686E-2</v>
      </c>
      <c r="P50" s="7">
        <v>23</v>
      </c>
      <c r="Q50" s="7">
        <v>-0.18263297787469315</v>
      </c>
      <c r="R50" s="7">
        <v>-9.6838451324110231E-3</v>
      </c>
      <c r="T50" s="7">
        <v>22.277227722772274</v>
      </c>
      <c r="U50" s="7">
        <v>-0.19231682300710418</v>
      </c>
    </row>
    <row r="51" spans="1:21" x14ac:dyDescent="0.25">
      <c r="A51">
        <f t="shared" si="2"/>
        <v>8809.61</v>
      </c>
      <c r="B51">
        <v>973.27023290184468</v>
      </c>
      <c r="N51">
        <f t="shared" si="0"/>
        <v>-3</v>
      </c>
      <c r="O51">
        <f t="shared" si="1"/>
        <v>-2.9104781935188839E-2</v>
      </c>
      <c r="P51" s="7">
        <v>24</v>
      </c>
      <c r="Q51" s="7">
        <v>-0.17699437682618074</v>
      </c>
      <c r="R51" s="7">
        <v>-1.1274117339346301E-2</v>
      </c>
      <c r="T51" s="7">
        <v>23.267326732673265</v>
      </c>
      <c r="U51" s="7">
        <v>-0.18826849416552704</v>
      </c>
    </row>
    <row r="52" spans="1:21" x14ac:dyDescent="0.25">
      <c r="A52">
        <f t="shared" si="2"/>
        <v>8810.61</v>
      </c>
      <c r="B52">
        <v>973.28055067346907</v>
      </c>
      <c r="N52">
        <f t="shared" si="0"/>
        <v>-2</v>
      </c>
      <c r="O52">
        <f t="shared" si="1"/>
        <v>-1.8787010310802543E-2</v>
      </c>
      <c r="P52" s="7">
        <v>25</v>
      </c>
      <c r="Q52" s="7">
        <v>-0.17135577577766833</v>
      </c>
      <c r="R52" s="7">
        <v>-9.8083234463516578E-3</v>
      </c>
      <c r="T52" s="7">
        <v>24.257425742574256</v>
      </c>
      <c r="U52" s="7">
        <v>-0.18116409922401999</v>
      </c>
    </row>
    <row r="53" spans="1:21" x14ac:dyDescent="0.25">
      <c r="A53">
        <f t="shared" si="2"/>
        <v>8811.61</v>
      </c>
      <c r="B53">
        <v>973.28385159832987</v>
      </c>
      <c r="N53">
        <f t="shared" si="0"/>
        <v>-1</v>
      </c>
      <c r="O53">
        <f t="shared" si="1"/>
        <v>-1.548608544999297E-2</v>
      </c>
      <c r="P53" s="7">
        <v>26</v>
      </c>
      <c r="Q53" s="7">
        <v>-0.16571717472915595</v>
      </c>
      <c r="R53" s="7">
        <v>-1.091376039299205E-2</v>
      </c>
      <c r="T53" s="7">
        <v>25.247524752475247</v>
      </c>
      <c r="U53" s="7">
        <v>-0.176630935122148</v>
      </c>
    </row>
    <row r="54" spans="1:21" x14ac:dyDescent="0.25">
      <c r="A54">
        <f t="shared" si="2"/>
        <v>8812.61</v>
      </c>
      <c r="B54">
        <v>973.29933768377987</v>
      </c>
      <c r="N54">
        <f t="shared" si="0"/>
        <v>0</v>
      </c>
      <c r="O54">
        <f t="shared" si="1"/>
        <v>0</v>
      </c>
      <c r="P54" s="7">
        <v>27</v>
      </c>
      <c r="Q54" s="7">
        <v>-0.16007857368064354</v>
      </c>
      <c r="R54" s="7">
        <v>-1.2006343457947211E-2</v>
      </c>
      <c r="T54" s="7">
        <v>26.237623762376238</v>
      </c>
      <c r="U54" s="7">
        <v>-0.17208491713859075</v>
      </c>
    </row>
    <row r="55" spans="1:21" x14ac:dyDescent="0.25">
      <c r="A55">
        <f t="shared" si="2"/>
        <v>8813.61</v>
      </c>
      <c r="B55">
        <v>973.30373781928938</v>
      </c>
      <c r="N55">
        <f t="shared" si="0"/>
        <v>1</v>
      </c>
      <c r="O55">
        <f t="shared" si="1"/>
        <v>4.4001355095133476E-3</v>
      </c>
      <c r="P55" s="7">
        <v>28</v>
      </c>
      <c r="Q55" s="7">
        <v>-0.15443997263213116</v>
      </c>
      <c r="R55" s="7">
        <v>-1.2723486627068792E-2</v>
      </c>
      <c r="T55" s="7">
        <v>27.227722772277225</v>
      </c>
      <c r="U55" s="7">
        <v>-0.16716345925919995</v>
      </c>
    </row>
    <row r="56" spans="1:21" x14ac:dyDescent="0.25">
      <c r="A56">
        <f t="shared" si="2"/>
        <v>8814.61</v>
      </c>
      <c r="B56">
        <v>973.30730014087897</v>
      </c>
      <c r="N56">
        <f t="shared" si="0"/>
        <v>2</v>
      </c>
      <c r="O56">
        <f t="shared" si="1"/>
        <v>7.9624570990972643E-3</v>
      </c>
      <c r="P56" s="7">
        <v>29</v>
      </c>
      <c r="Q56" s="7">
        <v>-0.14880137158361875</v>
      </c>
      <c r="R56" s="7">
        <v>-1.5514979261109979E-2</v>
      </c>
      <c r="T56" s="7">
        <v>28.217821782178216</v>
      </c>
      <c r="U56" s="7">
        <v>-0.16431635084472873</v>
      </c>
    </row>
    <row r="57" spans="1:21" x14ac:dyDescent="0.25">
      <c r="A57">
        <f t="shared" si="2"/>
        <v>8815.61</v>
      </c>
      <c r="B57">
        <v>973.31240587602269</v>
      </c>
      <c r="N57">
        <f t="shared" si="0"/>
        <v>3</v>
      </c>
      <c r="O57">
        <f t="shared" si="1"/>
        <v>1.3068192242826626E-2</v>
      </c>
      <c r="P57" s="7">
        <v>30</v>
      </c>
      <c r="Q57" s="7">
        <v>-0.14316277053510637</v>
      </c>
      <c r="R57" s="7">
        <v>-1.7722052565680518E-2</v>
      </c>
      <c r="T57" s="7">
        <v>29.207920792079207</v>
      </c>
      <c r="U57" s="7">
        <v>-0.16088482310078689</v>
      </c>
    </row>
    <row r="58" spans="1:21" x14ac:dyDescent="0.25">
      <c r="A58">
        <f t="shared" si="2"/>
        <v>8816.61</v>
      </c>
      <c r="B58">
        <v>973.31694933972847</v>
      </c>
      <c r="N58">
        <f t="shared" si="0"/>
        <v>4</v>
      </c>
      <c r="O58">
        <f t="shared" si="1"/>
        <v>1.7611655948599036E-2</v>
      </c>
      <c r="P58" s="7">
        <v>31</v>
      </c>
      <c r="Q58" s="7">
        <v>-0.13752416948659396</v>
      </c>
      <c r="R58" s="7">
        <v>-3.8935164118379939E-3</v>
      </c>
      <c r="T58" s="7">
        <v>30.198019801980195</v>
      </c>
      <c r="U58" s="7">
        <v>-0.14141768589843196</v>
      </c>
    </row>
    <row r="59" spans="1:21" x14ac:dyDescent="0.25">
      <c r="A59">
        <f t="shared" si="2"/>
        <v>8817.61</v>
      </c>
      <c r="B59">
        <v>973.32258647654021</v>
      </c>
      <c r="N59">
        <f t="shared" si="0"/>
        <v>5</v>
      </c>
      <c r="O59">
        <f t="shared" si="1"/>
        <v>2.324879276034153E-2</v>
      </c>
      <c r="P59" s="7">
        <v>32</v>
      </c>
      <c r="Q59" s="7">
        <v>-0.13188556843808158</v>
      </c>
      <c r="R59" s="7">
        <v>-2.6193420991211247E-3</v>
      </c>
      <c r="T59" s="7">
        <v>31.188118811881186</v>
      </c>
      <c r="U59" s="7">
        <v>-0.1345049105372027</v>
      </c>
    </row>
    <row r="60" spans="1:21" x14ac:dyDescent="0.25">
      <c r="A60">
        <f t="shared" si="2"/>
        <v>8818.61</v>
      </c>
      <c r="B60">
        <v>973.32700344273269</v>
      </c>
      <c r="N60">
        <f t="shared" si="0"/>
        <v>6</v>
      </c>
      <c r="O60">
        <f t="shared" si="1"/>
        <v>2.7665758952821307E-2</v>
      </c>
      <c r="P60" s="7">
        <v>33</v>
      </c>
      <c r="Q60" s="7">
        <v>-0.12624696738956917</v>
      </c>
      <c r="R60" s="7">
        <v>-1.8208661859591413E-3</v>
      </c>
      <c r="T60" s="7">
        <v>32.178217821782177</v>
      </c>
      <c r="U60" s="7">
        <v>-0.12806783357552831</v>
      </c>
    </row>
    <row r="61" spans="1:21" x14ac:dyDescent="0.25">
      <c r="A61">
        <f t="shared" si="2"/>
        <v>8819.61</v>
      </c>
      <c r="B61">
        <v>973.33018119225244</v>
      </c>
      <c r="N61">
        <f t="shared" si="0"/>
        <v>7</v>
      </c>
      <c r="O61">
        <f t="shared" si="1"/>
        <v>3.0843508472571557E-2</v>
      </c>
      <c r="P61" s="7">
        <v>34</v>
      </c>
      <c r="Q61" s="7">
        <v>-0.12060836634105676</v>
      </c>
      <c r="R61" s="7">
        <v>-2.2935648052594404E-3</v>
      </c>
      <c r="T61" s="7">
        <v>33.168316831683164</v>
      </c>
      <c r="U61" s="7">
        <v>-0.1229019311463162</v>
      </c>
    </row>
    <row r="62" spans="1:21" x14ac:dyDescent="0.25">
      <c r="A62">
        <f t="shared" si="2"/>
        <v>8820.61</v>
      </c>
      <c r="B62">
        <v>973.33293466164673</v>
      </c>
      <c r="N62">
        <f t="shared" si="0"/>
        <v>8</v>
      </c>
      <c r="O62">
        <f t="shared" si="1"/>
        <v>3.3596977866864108E-2</v>
      </c>
      <c r="P62" s="7">
        <v>35</v>
      </c>
      <c r="Q62" s="7">
        <v>-0.11496976529254437</v>
      </c>
      <c r="R62" s="7">
        <v>-6.1299399498419699E-3</v>
      </c>
      <c r="T62" s="7">
        <v>34.158415841584159</v>
      </c>
      <c r="U62" s="7">
        <v>-0.12218717766950249</v>
      </c>
    </row>
    <row r="63" spans="1:21" x14ac:dyDescent="0.25">
      <c r="A63">
        <f t="shared" si="2"/>
        <v>8821.61</v>
      </c>
      <c r="B63">
        <v>973.33639329942628</v>
      </c>
      <c r="N63">
        <f t="shared" si="0"/>
        <v>9</v>
      </c>
      <c r="O63">
        <f t="shared" si="1"/>
        <v>3.7055615646409024E-2</v>
      </c>
      <c r="P63" s="7">
        <v>36</v>
      </c>
      <c r="Q63" s="7">
        <v>-0.10933116424403197</v>
      </c>
      <c r="R63" s="7">
        <v>-1.2715043070351567E-2</v>
      </c>
      <c r="T63" s="7">
        <v>35.148514851485146</v>
      </c>
      <c r="U63" s="7">
        <v>-0.12204620731438354</v>
      </c>
    </row>
    <row r="64" spans="1:21" x14ac:dyDescent="0.25">
      <c r="A64">
        <f t="shared" si="2"/>
        <v>8822.61</v>
      </c>
      <c r="B64">
        <v>973.33912280842003</v>
      </c>
      <c r="N64">
        <f t="shared" si="0"/>
        <v>10</v>
      </c>
      <c r="O64">
        <f t="shared" si="1"/>
        <v>3.9785124640161484E-2</v>
      </c>
      <c r="P64" s="7">
        <v>37</v>
      </c>
      <c r="Q64" s="7">
        <v>-0.10369256319551957</v>
      </c>
      <c r="R64" s="7">
        <v>-1.8494614473982915E-2</v>
      </c>
      <c r="T64" s="7">
        <v>36.138613861386141</v>
      </c>
      <c r="U64" s="7">
        <v>-0.12109970524238634</v>
      </c>
    </row>
    <row r="65" spans="1:21" x14ac:dyDescent="0.25">
      <c r="A65">
        <f t="shared" si="2"/>
        <v>8823.61</v>
      </c>
      <c r="B65">
        <v>973.34591111454722</v>
      </c>
      <c r="N65">
        <f t="shared" si="0"/>
        <v>11</v>
      </c>
      <c r="O65">
        <f t="shared" si="1"/>
        <v>4.6573430767352875E-2</v>
      </c>
      <c r="P65" s="7">
        <v>38</v>
      </c>
      <c r="Q65" s="7">
        <v>-9.8053962147007165E-2</v>
      </c>
      <c r="R65" s="7">
        <v>-1.9663691993044144E-2</v>
      </c>
      <c r="T65" s="7">
        <v>37.128712871287128</v>
      </c>
      <c r="U65" s="7">
        <v>-0.11771765414005131</v>
      </c>
    </row>
    <row r="66" spans="1:21" x14ac:dyDescent="0.25">
      <c r="A66">
        <f t="shared" si="2"/>
        <v>8824.61</v>
      </c>
      <c r="B66">
        <v>973.35420276439731</v>
      </c>
      <c r="N66">
        <f t="shared" si="0"/>
        <v>12</v>
      </c>
      <c r="O66">
        <f t="shared" si="1"/>
        <v>5.4865080617446438E-2</v>
      </c>
      <c r="P66" s="7">
        <v>39</v>
      </c>
      <c r="Q66" s="7">
        <v>-9.2415361098494769E-2</v>
      </c>
      <c r="R66" s="7">
        <v>-1.9633109822018185E-2</v>
      </c>
      <c r="T66" s="7">
        <v>38.118811881188115</v>
      </c>
      <c r="U66" s="7">
        <v>-0.11204847092051295</v>
      </c>
    </row>
    <row r="67" spans="1:21" x14ac:dyDescent="0.25">
      <c r="A67">
        <f t="shared" si="2"/>
        <v>8825.61</v>
      </c>
      <c r="B67">
        <v>973.35852258762873</v>
      </c>
      <c r="N67">
        <f t="shared" si="0"/>
        <v>13</v>
      </c>
      <c r="O67">
        <f t="shared" si="1"/>
        <v>5.9184903848858994E-2</v>
      </c>
      <c r="P67" s="7">
        <v>40</v>
      </c>
      <c r="Q67" s="7">
        <v>-8.6776760049982374E-2</v>
      </c>
      <c r="R67" s="7">
        <v>-1.4714124973640094E-2</v>
      </c>
      <c r="T67" s="7">
        <v>39.10891089108911</v>
      </c>
      <c r="U67" s="7">
        <v>-0.10149088502362247</v>
      </c>
    </row>
    <row r="68" spans="1:21" x14ac:dyDescent="0.25">
      <c r="A68">
        <f t="shared" si="2"/>
        <v>8826.61</v>
      </c>
      <c r="B68">
        <v>973.35911501914211</v>
      </c>
      <c r="N68">
        <f t="shared" si="0"/>
        <v>14</v>
      </c>
      <c r="O68">
        <f t="shared" si="1"/>
        <v>5.9777335362241502E-2</v>
      </c>
      <c r="P68" s="7">
        <v>41</v>
      </c>
      <c r="Q68" s="7">
        <v>-8.1138159001469978E-2</v>
      </c>
      <c r="R68" s="7">
        <v>-1.5535567346474488E-2</v>
      </c>
      <c r="T68" s="7">
        <v>40.099009900990097</v>
      </c>
      <c r="U68" s="7">
        <v>-9.6673726347944466E-2</v>
      </c>
    </row>
    <row r="69" spans="1:21" x14ac:dyDescent="0.25">
      <c r="A69">
        <f t="shared" si="2"/>
        <v>8827.61</v>
      </c>
      <c r="B69">
        <v>973.360777103337</v>
      </c>
      <c r="N69">
        <f t="shared" ref="N69:N104" si="3">A69-$B$1</f>
        <v>15</v>
      </c>
      <c r="O69">
        <f t="shared" ref="O69:O104" si="4">B69-$F$3</f>
        <v>6.1439419557132169E-2</v>
      </c>
      <c r="P69" s="7">
        <v>42</v>
      </c>
      <c r="Q69" s="7">
        <v>-7.5499557952957583E-2</v>
      </c>
      <c r="R69" s="7">
        <v>-1.596310081552034E-2</v>
      </c>
      <c r="T69" s="7">
        <v>41.089108910891085</v>
      </c>
      <c r="U69" s="7">
        <v>-9.1462658768477922E-2</v>
      </c>
    </row>
    <row r="70" spans="1:21" x14ac:dyDescent="0.25">
      <c r="A70">
        <f t="shared" ref="A70:A104" si="5">A69+1</f>
        <v>8828.61</v>
      </c>
      <c r="B70">
        <v>973.36420844246538</v>
      </c>
      <c r="N70">
        <f t="shared" si="3"/>
        <v>16</v>
      </c>
      <c r="O70">
        <f t="shared" si="4"/>
        <v>6.4870758685515284E-2</v>
      </c>
      <c r="P70" s="7">
        <v>43</v>
      </c>
      <c r="Q70" s="7">
        <v>-6.9860956904445187E-2</v>
      </c>
      <c r="R70" s="7">
        <v>-6.7838637730842366E-3</v>
      </c>
      <c r="T70" s="7">
        <v>42.079207920792079</v>
      </c>
      <c r="U70" s="7">
        <v>-7.6644820677529424E-2</v>
      </c>
    </row>
    <row r="71" spans="1:21" x14ac:dyDescent="0.25">
      <c r="A71">
        <f t="shared" si="5"/>
        <v>8829.61</v>
      </c>
      <c r="B71">
        <v>973.36973229053126</v>
      </c>
      <c r="N71">
        <f t="shared" si="3"/>
        <v>17</v>
      </c>
      <c r="O71">
        <f t="shared" si="4"/>
        <v>7.039460675139253E-2</v>
      </c>
      <c r="P71" s="7">
        <v>44</v>
      </c>
      <c r="Q71" s="7">
        <v>-6.4222355855932792E-2</v>
      </c>
      <c r="R71" s="7">
        <v>-8.0028986950390485E-3</v>
      </c>
      <c r="T71" s="7">
        <v>43.069306930693067</v>
      </c>
      <c r="U71" s="7">
        <v>-7.222525455097184E-2</v>
      </c>
    </row>
    <row r="72" spans="1:21" x14ac:dyDescent="0.25">
      <c r="A72">
        <f t="shared" si="5"/>
        <v>8830.61</v>
      </c>
      <c r="B72">
        <v>973.37084650816519</v>
      </c>
      <c r="N72">
        <f t="shared" si="3"/>
        <v>18</v>
      </c>
      <c r="O72">
        <f t="shared" si="4"/>
        <v>7.1508824385318803E-2</v>
      </c>
      <c r="P72" s="7">
        <v>45</v>
      </c>
      <c r="Q72" s="7">
        <v>-5.8583754807420382E-2</v>
      </c>
      <c r="R72" s="7">
        <v>-1.0756731570120928E-2</v>
      </c>
      <c r="T72" s="7">
        <v>44.059405940594054</v>
      </c>
      <c r="U72" s="7">
        <v>-6.9340486377541311E-2</v>
      </c>
    </row>
    <row r="73" spans="1:21" x14ac:dyDescent="0.25">
      <c r="A73">
        <f t="shared" si="5"/>
        <v>8831.61</v>
      </c>
      <c r="B73">
        <v>973.3761079440153</v>
      </c>
      <c r="N73">
        <f t="shared" si="3"/>
        <v>19</v>
      </c>
      <c r="O73">
        <f t="shared" si="4"/>
        <v>7.6770260235434762E-2</v>
      </c>
      <c r="P73" s="7">
        <v>46</v>
      </c>
      <c r="Q73" s="7">
        <v>-5.2945153758907987E-2</v>
      </c>
      <c r="R73" s="7">
        <v>1.37274929092496E-2</v>
      </c>
      <c r="T73" s="7">
        <v>45.049504950495049</v>
      </c>
      <c r="U73" s="7">
        <v>-3.9217660849658387E-2</v>
      </c>
    </row>
    <row r="74" spans="1:21" x14ac:dyDescent="0.25">
      <c r="A74">
        <f t="shared" si="5"/>
        <v>8832.61</v>
      </c>
      <c r="B74">
        <v>973.37882238426585</v>
      </c>
      <c r="N74">
        <f t="shared" si="3"/>
        <v>20</v>
      </c>
      <c r="O74">
        <f t="shared" si="4"/>
        <v>7.9484700485977555E-2</v>
      </c>
      <c r="P74" s="7">
        <v>47</v>
      </c>
      <c r="Q74" s="7">
        <v>-4.7306552710395591E-2</v>
      </c>
      <c r="R74" s="7">
        <v>1.2517264843452905E-2</v>
      </c>
      <c r="T74" s="7">
        <v>46.039603960396036</v>
      </c>
      <c r="U74" s="7">
        <v>-3.4789287866942686E-2</v>
      </c>
    </row>
    <row r="75" spans="1:21" x14ac:dyDescent="0.25">
      <c r="A75">
        <f t="shared" si="5"/>
        <v>8833.61</v>
      </c>
      <c r="B75">
        <v>973.40095176659884</v>
      </c>
      <c r="N75">
        <f t="shared" si="3"/>
        <v>21</v>
      </c>
      <c r="O75">
        <f t="shared" si="4"/>
        <v>0.10161408281896911</v>
      </c>
      <c r="P75" s="7">
        <v>48</v>
      </c>
      <c r="Q75" s="7">
        <v>-4.1667951661883196E-2</v>
      </c>
      <c r="R75" s="7">
        <v>1.2563169726694356E-2</v>
      </c>
      <c r="T75" s="7">
        <v>47.029702970297031</v>
      </c>
      <c r="U75" s="7">
        <v>-2.9104781935188839E-2</v>
      </c>
    </row>
    <row r="76" spans="1:21" x14ac:dyDescent="0.25">
      <c r="A76">
        <f t="shared" si="5"/>
        <v>8834.61</v>
      </c>
      <c r="B76">
        <v>973.40440854654264</v>
      </c>
      <c r="N76">
        <f t="shared" si="3"/>
        <v>22</v>
      </c>
      <c r="O76">
        <f t="shared" si="4"/>
        <v>0.10507086276277278</v>
      </c>
      <c r="P76" s="7">
        <v>49</v>
      </c>
      <c r="Q76" s="7">
        <v>-3.6029350613370793E-2</v>
      </c>
      <c r="R76" s="7">
        <v>1.724234030256825E-2</v>
      </c>
      <c r="T76" s="7">
        <v>48.019801980198018</v>
      </c>
      <c r="U76" s="7">
        <v>-1.8787010310802543E-2</v>
      </c>
    </row>
    <row r="77" spans="1:21" x14ac:dyDescent="0.25">
      <c r="A77">
        <f t="shared" si="5"/>
        <v>8835.61</v>
      </c>
      <c r="B77">
        <v>973.4081518461503</v>
      </c>
      <c r="N77">
        <f t="shared" si="3"/>
        <v>23</v>
      </c>
      <c r="O77">
        <f t="shared" si="4"/>
        <v>0.10881416237043595</v>
      </c>
      <c r="P77" s="7">
        <v>50</v>
      </c>
      <c r="Q77" s="7">
        <v>-3.0390749564858398E-2</v>
      </c>
      <c r="R77" s="7">
        <v>1.4904664114865428E-2</v>
      </c>
      <c r="T77" s="7">
        <v>49.009900990099005</v>
      </c>
      <c r="U77" s="7">
        <v>-1.548608544999297E-2</v>
      </c>
    </row>
    <row r="78" spans="1:21" x14ac:dyDescent="0.25">
      <c r="A78">
        <f t="shared" si="5"/>
        <v>8836.61</v>
      </c>
      <c r="B78">
        <v>973.4118999127985</v>
      </c>
      <c r="N78">
        <f t="shared" si="3"/>
        <v>24</v>
      </c>
      <c r="O78">
        <f t="shared" si="4"/>
        <v>0.11256222901863566</v>
      </c>
      <c r="P78" s="7">
        <v>51</v>
      </c>
      <c r="Q78" s="7">
        <v>-2.4752148516345999E-2</v>
      </c>
      <c r="R78" s="7">
        <v>2.4752148516345999E-2</v>
      </c>
      <c r="T78" s="7">
        <v>50</v>
      </c>
      <c r="U78" s="7">
        <v>0</v>
      </c>
    </row>
    <row r="79" spans="1:21" x14ac:dyDescent="0.25">
      <c r="A79">
        <f t="shared" si="5"/>
        <v>8837.61</v>
      </c>
      <c r="B79">
        <v>973.41871720470385</v>
      </c>
      <c r="N79">
        <f t="shared" si="3"/>
        <v>25</v>
      </c>
      <c r="O79">
        <f t="shared" si="4"/>
        <v>0.11937952092398518</v>
      </c>
      <c r="P79" s="7">
        <v>52</v>
      </c>
      <c r="Q79" s="7">
        <v>-1.91135474678336E-2</v>
      </c>
      <c r="R79" s="7">
        <v>2.3513682977346947E-2</v>
      </c>
      <c r="T79" s="7">
        <v>50.990099009900987</v>
      </c>
      <c r="U79" s="7">
        <v>4.4001355095133476E-3</v>
      </c>
    </row>
    <row r="80" spans="1:21" x14ac:dyDescent="0.25">
      <c r="A80">
        <f t="shared" si="5"/>
        <v>8838.61</v>
      </c>
      <c r="B80">
        <v>973.42437927410106</v>
      </c>
      <c r="N80">
        <f t="shared" si="3"/>
        <v>26</v>
      </c>
      <c r="O80">
        <f t="shared" si="4"/>
        <v>0.12504159032118878</v>
      </c>
      <c r="P80" s="7">
        <v>53</v>
      </c>
      <c r="Q80" s="7">
        <v>-1.3474946419321203E-2</v>
      </c>
      <c r="R80" s="7">
        <v>2.1437403518418469E-2</v>
      </c>
      <c r="T80" s="7">
        <v>51.980198019801982</v>
      </c>
      <c r="U80" s="7">
        <v>7.9624570990972643E-3</v>
      </c>
    </row>
    <row r="81" spans="1:21" x14ac:dyDescent="0.25">
      <c r="A81">
        <f t="shared" si="5"/>
        <v>8839.61</v>
      </c>
      <c r="B81">
        <v>973.43430268646603</v>
      </c>
      <c r="N81">
        <f t="shared" si="3"/>
        <v>27</v>
      </c>
      <c r="O81">
        <f t="shared" si="4"/>
        <v>0.13496500268615819</v>
      </c>
      <c r="P81" s="7">
        <v>54</v>
      </c>
      <c r="Q81" s="7">
        <v>-7.8363453708088053E-3</v>
      </c>
      <c r="R81" s="7">
        <v>2.0904537613635431E-2</v>
      </c>
      <c r="T81" s="7">
        <v>52.970297029702969</v>
      </c>
      <c r="U81" s="7">
        <v>1.3068192242826626E-2</v>
      </c>
    </row>
    <row r="82" spans="1:21" x14ac:dyDescent="0.25">
      <c r="A82">
        <f t="shared" si="5"/>
        <v>8840.61</v>
      </c>
      <c r="B82">
        <v>973.43798032407904</v>
      </c>
      <c r="N82">
        <f t="shared" si="3"/>
        <v>28</v>
      </c>
      <c r="O82">
        <f t="shared" si="4"/>
        <v>0.1386426402991674</v>
      </c>
      <c r="P82" s="7">
        <v>55</v>
      </c>
      <c r="Q82" s="7">
        <v>-2.1977443222964063E-3</v>
      </c>
      <c r="R82" s="7">
        <v>1.9809400270895443E-2</v>
      </c>
      <c r="T82" s="7">
        <v>53.960396039603957</v>
      </c>
      <c r="U82" s="7">
        <v>1.7611655948599036E-2</v>
      </c>
    </row>
    <row r="83" spans="1:21" x14ac:dyDescent="0.25">
      <c r="A83">
        <f t="shared" si="5"/>
        <v>8841.61</v>
      </c>
      <c r="B83">
        <v>973.44117621943428</v>
      </c>
      <c r="N83">
        <f t="shared" si="3"/>
        <v>29</v>
      </c>
      <c r="O83">
        <f t="shared" si="4"/>
        <v>0.14183853565441495</v>
      </c>
      <c r="P83" s="7">
        <v>56</v>
      </c>
      <c r="Q83" s="7">
        <v>3.4408567262159927E-3</v>
      </c>
      <c r="R83" s="7">
        <v>1.9807936034125537E-2</v>
      </c>
      <c r="T83" s="7">
        <v>54.950495049504951</v>
      </c>
      <c r="U83" s="7">
        <v>2.324879276034153E-2</v>
      </c>
    </row>
    <row r="84" spans="1:21" x14ac:dyDescent="0.25">
      <c r="A84">
        <f t="shared" si="5"/>
        <v>8842.61</v>
      </c>
      <c r="B84">
        <v>973.44327351788002</v>
      </c>
      <c r="N84">
        <f t="shared" si="3"/>
        <v>30</v>
      </c>
      <c r="O84">
        <f t="shared" si="4"/>
        <v>0.14393583410014799</v>
      </c>
      <c r="P84" s="7">
        <v>57</v>
      </c>
      <c r="Q84" s="7">
        <v>9.0794577747283882E-3</v>
      </c>
      <c r="R84" s="7">
        <v>1.8586301178092918E-2</v>
      </c>
      <c r="T84" s="7">
        <v>55.940594059405939</v>
      </c>
      <c r="U84" s="7">
        <v>2.7665758952821307E-2</v>
      </c>
    </row>
    <row r="85" spans="1:21" x14ac:dyDescent="0.25">
      <c r="A85">
        <f t="shared" si="5"/>
        <v>8843.61</v>
      </c>
      <c r="B85">
        <v>973.45123462878632</v>
      </c>
      <c r="N85">
        <f t="shared" si="3"/>
        <v>31</v>
      </c>
      <c r="O85">
        <f t="shared" si="4"/>
        <v>0.15189694500645601</v>
      </c>
      <c r="P85" s="7">
        <v>58</v>
      </c>
      <c r="Q85" s="7">
        <v>1.4718058823240791E-2</v>
      </c>
      <c r="R85" s="7">
        <v>1.6125449649330766E-2</v>
      </c>
      <c r="T85" s="7">
        <v>56.930693069306926</v>
      </c>
      <c r="U85" s="7">
        <v>3.0843508472571557E-2</v>
      </c>
    </row>
    <row r="86" spans="1:21" x14ac:dyDescent="0.25">
      <c r="A86">
        <f t="shared" si="5"/>
        <v>8844.61</v>
      </c>
      <c r="B86">
        <v>973.45488624073243</v>
      </c>
      <c r="N86">
        <f t="shared" si="3"/>
        <v>32</v>
      </c>
      <c r="O86">
        <f t="shared" si="4"/>
        <v>0.1555485569525672</v>
      </c>
      <c r="P86" s="7">
        <v>59</v>
      </c>
      <c r="Q86" s="7">
        <v>2.0356659871753186E-2</v>
      </c>
      <c r="R86" s="7">
        <v>1.3240317995110922E-2</v>
      </c>
      <c r="T86" s="7">
        <v>57.920792079207921</v>
      </c>
      <c r="U86" s="7">
        <v>3.3596977866864108E-2</v>
      </c>
    </row>
    <row r="87" spans="1:21" x14ac:dyDescent="0.25">
      <c r="A87">
        <f t="shared" si="5"/>
        <v>8845.61</v>
      </c>
      <c r="B87">
        <v>973.45827496695824</v>
      </c>
      <c r="N87">
        <f t="shared" si="3"/>
        <v>33</v>
      </c>
      <c r="O87">
        <f t="shared" si="4"/>
        <v>0.15893728317837486</v>
      </c>
      <c r="P87" s="7">
        <v>60</v>
      </c>
      <c r="Q87" s="7">
        <v>2.5995260920265582E-2</v>
      </c>
      <c r="R87" s="7">
        <v>1.1060354726143442E-2</v>
      </c>
      <c r="T87" s="7">
        <v>58.910891089108908</v>
      </c>
      <c r="U87" s="7">
        <v>3.7055615646409024E-2</v>
      </c>
    </row>
    <row r="88" spans="1:21" x14ac:dyDescent="0.25">
      <c r="A88">
        <f t="shared" si="5"/>
        <v>8846.61</v>
      </c>
      <c r="B88">
        <v>973.46316759302499</v>
      </c>
      <c r="N88">
        <f t="shared" si="3"/>
        <v>34</v>
      </c>
      <c r="O88">
        <f t="shared" si="4"/>
        <v>0.16382990924512342</v>
      </c>
      <c r="P88" s="7">
        <v>61</v>
      </c>
      <c r="Q88" s="7">
        <v>3.1633861968777988E-2</v>
      </c>
      <c r="R88" s="7">
        <v>8.1512626713834968E-3</v>
      </c>
      <c r="T88" s="7">
        <v>59.900990099009896</v>
      </c>
      <c r="U88" s="7">
        <v>3.9785124640161484E-2</v>
      </c>
    </row>
    <row r="89" spans="1:21" x14ac:dyDescent="0.25">
      <c r="A89">
        <f t="shared" si="5"/>
        <v>8847.61</v>
      </c>
      <c r="B89">
        <v>973.46733739329818</v>
      </c>
      <c r="N89">
        <f t="shared" si="3"/>
        <v>35</v>
      </c>
      <c r="O89">
        <f t="shared" si="4"/>
        <v>0.16799970951831256</v>
      </c>
      <c r="P89" s="7">
        <v>62</v>
      </c>
      <c r="Q89" s="7">
        <v>3.7272463017290383E-2</v>
      </c>
      <c r="R89" s="7">
        <v>9.3009677500624915E-3</v>
      </c>
      <c r="T89" s="7">
        <v>60.89108910891089</v>
      </c>
      <c r="U89" s="7">
        <v>4.6573430767352875E-2</v>
      </c>
    </row>
    <row r="90" spans="1:21" x14ac:dyDescent="0.25">
      <c r="A90">
        <f t="shared" si="5"/>
        <v>8848.61</v>
      </c>
      <c r="B90">
        <v>973.47147355739787</v>
      </c>
      <c r="N90">
        <f t="shared" si="3"/>
        <v>36</v>
      </c>
      <c r="O90">
        <f t="shared" si="4"/>
        <v>0.17213587361800364</v>
      </c>
      <c r="P90" s="7">
        <v>63</v>
      </c>
      <c r="Q90" s="7">
        <v>4.2911064065802779E-2</v>
      </c>
      <c r="R90" s="7">
        <v>1.1954016551643659E-2</v>
      </c>
      <c r="T90" s="7">
        <v>61.881188118811878</v>
      </c>
      <c r="U90" s="7">
        <v>5.4865080617446438E-2</v>
      </c>
    </row>
    <row r="91" spans="1:21" x14ac:dyDescent="0.25">
      <c r="A91">
        <f t="shared" si="5"/>
        <v>8849.61</v>
      </c>
      <c r="B91">
        <v>973.47976615318305</v>
      </c>
      <c r="N91">
        <f t="shared" si="3"/>
        <v>37</v>
      </c>
      <c r="O91">
        <f t="shared" si="4"/>
        <v>0.18042846940318213</v>
      </c>
      <c r="P91" s="7">
        <v>64</v>
      </c>
      <c r="Q91" s="7">
        <v>4.8549665114315174E-2</v>
      </c>
      <c r="R91" s="7">
        <v>1.063523873454382E-2</v>
      </c>
      <c r="T91" s="7">
        <v>62.871287128712872</v>
      </c>
      <c r="U91" s="7">
        <v>5.9184903848858994E-2</v>
      </c>
    </row>
    <row r="92" spans="1:21" x14ac:dyDescent="0.25">
      <c r="A92">
        <f t="shared" si="5"/>
        <v>8850.61</v>
      </c>
      <c r="B92">
        <v>973.4839211458758</v>
      </c>
      <c r="N92">
        <f t="shared" si="3"/>
        <v>38</v>
      </c>
      <c r="O92">
        <f t="shared" si="4"/>
        <v>0.18458346209592946</v>
      </c>
      <c r="P92" s="7">
        <v>65</v>
      </c>
      <c r="Q92" s="7">
        <v>5.4188266162827584E-2</v>
      </c>
      <c r="R92" s="7">
        <v>5.589069199413918E-3</v>
      </c>
      <c r="T92" s="7">
        <v>63.861386138613859</v>
      </c>
      <c r="U92" s="7">
        <v>5.9777335362241502E-2</v>
      </c>
    </row>
    <row r="93" spans="1:21" x14ac:dyDescent="0.25">
      <c r="A93">
        <f t="shared" si="5"/>
        <v>8851.61</v>
      </c>
      <c r="B93">
        <v>973.48699252812969</v>
      </c>
      <c r="N93">
        <f t="shared" si="3"/>
        <v>39</v>
      </c>
      <c r="O93">
        <f t="shared" si="4"/>
        <v>0.18765484434982227</v>
      </c>
      <c r="P93" s="7">
        <v>66</v>
      </c>
      <c r="Q93" s="7">
        <v>5.9826867211339979E-2</v>
      </c>
      <c r="R93" s="7">
        <v>1.6125523457921898E-3</v>
      </c>
      <c r="T93" s="7">
        <v>64.851485148514854</v>
      </c>
      <c r="U93" s="7">
        <v>6.1439419557132169E-2</v>
      </c>
    </row>
    <row r="94" spans="1:21" x14ac:dyDescent="0.25">
      <c r="A94">
        <f t="shared" si="5"/>
        <v>8852.61</v>
      </c>
      <c r="B94">
        <v>973.49236550556111</v>
      </c>
      <c r="N94">
        <f t="shared" si="3"/>
        <v>40</v>
      </c>
      <c r="O94">
        <f t="shared" si="4"/>
        <v>0.19302782178124289</v>
      </c>
      <c r="P94" s="7">
        <v>67</v>
      </c>
      <c r="Q94" s="7">
        <v>6.5465468259852375E-2</v>
      </c>
      <c r="R94" s="7">
        <v>-5.947095743370906E-4</v>
      </c>
      <c r="T94" s="7">
        <v>65.841584158415841</v>
      </c>
      <c r="U94" s="7">
        <v>6.4870758685515284E-2</v>
      </c>
    </row>
    <row r="95" spans="1:21" x14ac:dyDescent="0.25">
      <c r="A95">
        <f t="shared" si="5"/>
        <v>8853.61</v>
      </c>
      <c r="B95">
        <v>973.49561843410163</v>
      </c>
      <c r="N95">
        <f t="shared" si="3"/>
        <v>41</v>
      </c>
      <c r="O95">
        <f t="shared" si="4"/>
        <v>0.19628075032176184</v>
      </c>
      <c r="P95" s="7">
        <v>68</v>
      </c>
      <c r="Q95" s="7">
        <v>7.110406930836477E-2</v>
      </c>
      <c r="R95" s="7">
        <v>-7.0946255697224014E-4</v>
      </c>
      <c r="T95" s="7">
        <v>66.831683168316843</v>
      </c>
      <c r="U95" s="7">
        <v>7.039460675139253E-2</v>
      </c>
    </row>
    <row r="96" spans="1:21" x14ac:dyDescent="0.25">
      <c r="A96">
        <f t="shared" si="5"/>
        <v>8854.61</v>
      </c>
      <c r="B96">
        <v>973.51142468595538</v>
      </c>
      <c r="N96">
        <f t="shared" si="3"/>
        <v>42</v>
      </c>
      <c r="O96">
        <f t="shared" si="4"/>
        <v>0.21208700217550813</v>
      </c>
      <c r="P96" s="7">
        <v>69</v>
      </c>
      <c r="Q96" s="7">
        <v>7.6742670356877166E-2</v>
      </c>
      <c r="R96" s="7">
        <v>-5.2338459715583624E-3</v>
      </c>
      <c r="T96" s="7">
        <v>67.821782178217831</v>
      </c>
      <c r="U96" s="7">
        <v>7.1508824385318803E-2</v>
      </c>
    </row>
    <row r="97" spans="1:21" x14ac:dyDescent="0.25">
      <c r="A97">
        <f t="shared" si="5"/>
        <v>8855.61</v>
      </c>
      <c r="B97">
        <v>973.51554082127075</v>
      </c>
      <c r="N97">
        <f t="shared" si="3"/>
        <v>43</v>
      </c>
      <c r="O97">
        <f t="shared" si="4"/>
        <v>0.21620313749087927</v>
      </c>
      <c r="P97" s="7">
        <v>70</v>
      </c>
      <c r="Q97" s="7">
        <v>8.2381271405389575E-2</v>
      </c>
      <c r="R97" s="7">
        <v>-5.6110111699548132E-3</v>
      </c>
      <c r="T97" s="7">
        <v>68.811881188118818</v>
      </c>
      <c r="U97" s="7">
        <v>7.6770260235434762E-2</v>
      </c>
    </row>
    <row r="98" spans="1:21" x14ac:dyDescent="0.25">
      <c r="A98">
        <f t="shared" si="5"/>
        <v>8856.61</v>
      </c>
      <c r="B98">
        <v>973.51648197119118</v>
      </c>
      <c r="N98">
        <f t="shared" si="3"/>
        <v>44</v>
      </c>
      <c r="O98">
        <f t="shared" si="4"/>
        <v>0.21714428741131542</v>
      </c>
      <c r="P98" s="7">
        <v>71</v>
      </c>
      <c r="Q98" s="7">
        <v>8.8019872453901971E-2</v>
      </c>
      <c r="R98" s="7">
        <v>-8.5351719679244153E-3</v>
      </c>
      <c r="T98" s="7">
        <v>69.801980198019805</v>
      </c>
      <c r="U98" s="7">
        <v>7.9484700485977555E-2</v>
      </c>
    </row>
    <row r="99" spans="1:21" x14ac:dyDescent="0.25">
      <c r="A99">
        <f t="shared" si="5"/>
        <v>8857.61</v>
      </c>
      <c r="B99">
        <v>973.51812820583359</v>
      </c>
      <c r="N99">
        <f t="shared" si="3"/>
        <v>45</v>
      </c>
      <c r="O99">
        <f t="shared" si="4"/>
        <v>0.21879052205372318</v>
      </c>
      <c r="P99" s="7">
        <v>72</v>
      </c>
      <c r="Q99" s="7">
        <v>9.3658473502414366E-2</v>
      </c>
      <c r="R99" s="7">
        <v>7.9556093165547431E-3</v>
      </c>
      <c r="T99" s="7">
        <v>70.792079207920793</v>
      </c>
      <c r="U99" s="7">
        <v>0.10161408281896911</v>
      </c>
    </row>
    <row r="100" spans="1:21" x14ac:dyDescent="0.25">
      <c r="A100">
        <f t="shared" si="5"/>
        <v>8858.61</v>
      </c>
      <c r="B100">
        <v>973.52117163231685</v>
      </c>
      <c r="N100">
        <f t="shared" si="3"/>
        <v>46</v>
      </c>
      <c r="O100">
        <f t="shared" si="4"/>
        <v>0.22183394853698246</v>
      </c>
      <c r="P100" s="7">
        <v>73</v>
      </c>
      <c r="Q100" s="7">
        <v>9.9297074550926762E-2</v>
      </c>
      <c r="R100" s="7">
        <v>5.7737882118460149E-3</v>
      </c>
      <c r="T100" s="7">
        <v>71.782178217821794</v>
      </c>
      <c r="U100" s="7">
        <v>0.10507086276277278</v>
      </c>
    </row>
    <row r="101" spans="1:21" x14ac:dyDescent="0.25">
      <c r="A101">
        <f t="shared" si="5"/>
        <v>8859.61</v>
      </c>
      <c r="B101">
        <v>973.5293732555815</v>
      </c>
      <c r="N101">
        <f t="shared" si="3"/>
        <v>47</v>
      </c>
      <c r="O101">
        <f t="shared" si="4"/>
        <v>0.23003557180163625</v>
      </c>
      <c r="P101" s="7">
        <v>74</v>
      </c>
      <c r="Q101" s="7">
        <v>0.10493567559943917</v>
      </c>
      <c r="R101" s="7">
        <v>3.8784867709967807E-3</v>
      </c>
      <c r="T101" s="7">
        <v>72.772277227722782</v>
      </c>
      <c r="U101" s="7">
        <v>0.10881416237043595</v>
      </c>
    </row>
    <row r="102" spans="1:21" x14ac:dyDescent="0.25">
      <c r="A102">
        <f t="shared" si="5"/>
        <v>8860.61</v>
      </c>
      <c r="B102">
        <v>973.5347353415923</v>
      </c>
      <c r="N102">
        <f t="shared" si="3"/>
        <v>48</v>
      </c>
      <c r="O102">
        <f t="shared" si="4"/>
        <v>0.2353976578124275</v>
      </c>
      <c r="P102" s="7">
        <v>75</v>
      </c>
      <c r="Q102" s="7">
        <v>0.11057427664795155</v>
      </c>
      <c r="R102" s="7">
        <v>1.9879523706841096E-3</v>
      </c>
      <c r="T102" s="7">
        <v>73.762376237623769</v>
      </c>
      <c r="U102" s="7">
        <v>0.11256222901863566</v>
      </c>
    </row>
    <row r="103" spans="1:21" x14ac:dyDescent="0.25">
      <c r="A103">
        <f t="shared" si="5"/>
        <v>8861.61</v>
      </c>
      <c r="B103">
        <v>973.55134803783699</v>
      </c>
      <c r="N103">
        <f t="shared" si="3"/>
        <v>49</v>
      </c>
      <c r="O103">
        <f t="shared" si="4"/>
        <v>0.25201035405711991</v>
      </c>
      <c r="P103" s="7">
        <v>76</v>
      </c>
      <c r="Q103" s="7">
        <v>0.11621287769646396</v>
      </c>
      <c r="R103" s="7">
        <v>3.1666432275212208E-3</v>
      </c>
      <c r="T103" s="7">
        <v>74.752475247524757</v>
      </c>
      <c r="U103" s="7">
        <v>0.11937952092398518</v>
      </c>
    </row>
    <row r="104" spans="1:21" x14ac:dyDescent="0.25">
      <c r="A104">
        <f t="shared" si="5"/>
        <v>8862.61</v>
      </c>
      <c r="B104">
        <v>973.55673917135198</v>
      </c>
      <c r="N104">
        <f t="shared" si="3"/>
        <v>50</v>
      </c>
      <c r="O104">
        <f t="shared" si="4"/>
        <v>0.25740148757211045</v>
      </c>
      <c r="P104" s="7">
        <v>77</v>
      </c>
      <c r="Q104" s="7">
        <v>0.12185147874497634</v>
      </c>
      <c r="R104" s="7">
        <v>3.1901115762124344E-3</v>
      </c>
      <c r="T104" s="7">
        <v>75.742574257425744</v>
      </c>
      <c r="U104" s="7">
        <v>0.12504159032118878</v>
      </c>
    </row>
    <row r="105" spans="1:21" x14ac:dyDescent="0.25">
      <c r="P105" s="7">
        <v>78</v>
      </c>
      <c r="Q105" s="7">
        <v>0.12749007979348875</v>
      </c>
      <c r="R105" s="7">
        <v>7.4749228926694333E-3</v>
      </c>
      <c r="T105" s="7">
        <v>76.732673267326732</v>
      </c>
      <c r="U105" s="7">
        <v>0.13496500268615819</v>
      </c>
    </row>
    <row r="106" spans="1:21" x14ac:dyDescent="0.25">
      <c r="P106" s="7">
        <v>79</v>
      </c>
      <c r="Q106" s="7">
        <v>0.13312868084200116</v>
      </c>
      <c r="R106" s="7">
        <v>5.5139594571662343E-3</v>
      </c>
      <c r="T106" s="7">
        <v>77.722772277227733</v>
      </c>
      <c r="U106" s="7">
        <v>0.1386426402991674</v>
      </c>
    </row>
    <row r="107" spans="1:21" x14ac:dyDescent="0.25">
      <c r="P107" s="7">
        <v>80</v>
      </c>
      <c r="Q107" s="7">
        <v>0.13876728189051354</v>
      </c>
      <c r="R107" s="7">
        <v>3.0712537639014104E-3</v>
      </c>
      <c r="T107" s="7">
        <v>78.712871287128721</v>
      </c>
      <c r="U107" s="7">
        <v>0.14183853565441495</v>
      </c>
    </row>
    <row r="108" spans="1:21" x14ac:dyDescent="0.25">
      <c r="P108" s="7">
        <v>81</v>
      </c>
      <c r="Q108" s="7">
        <v>0.14440588293902595</v>
      </c>
      <c r="R108" s="7">
        <v>-4.7004883887796778E-4</v>
      </c>
      <c r="T108" s="7">
        <v>79.702970297029708</v>
      </c>
      <c r="U108" s="7">
        <v>0.14393583410014799</v>
      </c>
    </row>
    <row r="109" spans="1:21" x14ac:dyDescent="0.25">
      <c r="P109" s="7">
        <v>82</v>
      </c>
      <c r="Q109" s="7">
        <v>0.15004448398753834</v>
      </c>
      <c r="R109" s="7">
        <v>1.8524610189176727E-3</v>
      </c>
      <c r="T109" s="7">
        <v>80.693069306930695</v>
      </c>
      <c r="U109" s="7">
        <v>0.15189694500645601</v>
      </c>
    </row>
    <row r="110" spans="1:21" x14ac:dyDescent="0.25">
      <c r="P110" s="7">
        <v>83</v>
      </c>
      <c r="Q110" s="7">
        <v>0.15568308503605074</v>
      </c>
      <c r="R110" s="7">
        <v>-1.3452808348354828E-4</v>
      </c>
      <c r="T110" s="7">
        <v>81.683168316831683</v>
      </c>
      <c r="U110" s="7">
        <v>0.1555485569525672</v>
      </c>
    </row>
    <row r="111" spans="1:21" x14ac:dyDescent="0.25">
      <c r="P111" s="7">
        <v>84</v>
      </c>
      <c r="Q111" s="7">
        <v>0.16132168608456315</v>
      </c>
      <c r="R111" s="7">
        <v>-2.3844029061882988E-3</v>
      </c>
      <c r="T111" s="7">
        <v>82.673267326732685</v>
      </c>
      <c r="U111" s="7">
        <v>0.15893728317837486</v>
      </c>
    </row>
    <row r="112" spans="1:21" x14ac:dyDescent="0.25">
      <c r="P112" s="7">
        <v>85</v>
      </c>
      <c r="Q112" s="7">
        <v>0.16696028713307554</v>
      </c>
      <c r="R112" s="7">
        <v>-3.1303778879521182E-3</v>
      </c>
      <c r="T112" s="7">
        <v>83.663366336633672</v>
      </c>
      <c r="U112" s="7">
        <v>0.16382990924512342</v>
      </c>
    </row>
    <row r="113" spans="16:21" x14ac:dyDescent="0.25">
      <c r="P113" s="7">
        <v>86</v>
      </c>
      <c r="Q113" s="7">
        <v>0.17259888818158794</v>
      </c>
      <c r="R113" s="7">
        <v>-4.5991786632753884E-3</v>
      </c>
      <c r="T113" s="7">
        <v>84.653465346534659</v>
      </c>
      <c r="U113" s="7">
        <v>0.16799970951831256</v>
      </c>
    </row>
    <row r="114" spans="16:21" x14ac:dyDescent="0.25">
      <c r="P114" s="7">
        <v>87</v>
      </c>
      <c r="Q114" s="7">
        <v>0.17823748923010033</v>
      </c>
      <c r="R114" s="7">
        <v>-6.1016156120966836E-3</v>
      </c>
      <c r="T114" s="7">
        <v>85.643564356435647</v>
      </c>
      <c r="U114" s="7">
        <v>0.17213587361800364</v>
      </c>
    </row>
    <row r="115" spans="16:21" x14ac:dyDescent="0.25">
      <c r="P115" s="7">
        <v>88</v>
      </c>
      <c r="Q115" s="7">
        <v>0.18387609027861274</v>
      </c>
      <c r="R115" s="7">
        <v>-3.4476208754306015E-3</v>
      </c>
      <c r="T115" s="7">
        <v>86.633663366336634</v>
      </c>
      <c r="U115" s="7">
        <v>0.18042846940318213</v>
      </c>
    </row>
    <row r="116" spans="16:21" x14ac:dyDescent="0.25">
      <c r="P116" s="7">
        <v>89</v>
      </c>
      <c r="Q116" s="7">
        <v>0.18951469132712515</v>
      </c>
      <c r="R116" s="7">
        <v>-4.9312292311956829E-3</v>
      </c>
      <c r="T116" s="7">
        <v>87.623762376237622</v>
      </c>
      <c r="U116" s="7">
        <v>0.18458346209592946</v>
      </c>
    </row>
    <row r="117" spans="16:21" x14ac:dyDescent="0.25">
      <c r="P117" s="7">
        <v>90</v>
      </c>
      <c r="Q117" s="7">
        <v>0.19515329237563753</v>
      </c>
      <c r="R117" s="7">
        <v>-7.4984480258152575E-3</v>
      </c>
      <c r="T117" s="7">
        <v>88.613861386138623</v>
      </c>
      <c r="U117" s="7">
        <v>0.18765484434982227</v>
      </c>
    </row>
    <row r="118" spans="16:21" x14ac:dyDescent="0.25">
      <c r="P118" s="7">
        <v>91</v>
      </c>
      <c r="Q118" s="7">
        <v>0.20079189342414994</v>
      </c>
      <c r="R118" s="7">
        <v>-7.7640716429070444E-3</v>
      </c>
      <c r="T118" s="7">
        <v>89.603960396039611</v>
      </c>
      <c r="U118" s="7">
        <v>0.19302782178124289</v>
      </c>
    </row>
    <row r="119" spans="16:21" x14ac:dyDescent="0.25">
      <c r="P119" s="7">
        <v>92</v>
      </c>
      <c r="Q119" s="7">
        <v>0.20643049447266232</v>
      </c>
      <c r="R119" s="7">
        <v>-1.0149744150900475E-2</v>
      </c>
      <c r="T119" s="7">
        <v>90.594059405940598</v>
      </c>
      <c r="U119" s="7">
        <v>0.19628075032176184</v>
      </c>
    </row>
    <row r="120" spans="16:21" x14ac:dyDescent="0.25">
      <c r="P120" s="7">
        <v>93</v>
      </c>
      <c r="Q120" s="7">
        <v>0.21206909552117473</v>
      </c>
      <c r="R120" s="7">
        <v>1.7906654333404992E-5</v>
      </c>
      <c r="T120" s="7">
        <v>91.584158415841586</v>
      </c>
      <c r="U120" s="7">
        <v>0.21208700217550813</v>
      </c>
    </row>
    <row r="121" spans="16:21" x14ac:dyDescent="0.25">
      <c r="P121" s="7">
        <v>94</v>
      </c>
      <c r="Q121" s="7">
        <v>0.21770769656968714</v>
      </c>
      <c r="R121" s="7">
        <v>-1.5045590788078655E-3</v>
      </c>
      <c r="T121" s="7">
        <v>92.574257425742573</v>
      </c>
      <c r="U121" s="7">
        <v>0.21620313749087927</v>
      </c>
    </row>
    <row r="122" spans="16:21" x14ac:dyDescent="0.25">
      <c r="P122" s="7">
        <v>95</v>
      </c>
      <c r="Q122" s="7">
        <v>0.22334629761819952</v>
      </c>
      <c r="R122" s="7">
        <v>-6.202010206884101E-3</v>
      </c>
      <c r="T122" s="7">
        <v>93.564356435643575</v>
      </c>
      <c r="U122" s="7">
        <v>0.21714428741131542</v>
      </c>
    </row>
    <row r="123" spans="16:21" x14ac:dyDescent="0.25">
      <c r="P123" s="7">
        <v>96</v>
      </c>
      <c r="Q123" s="7">
        <v>0.2289848986667119</v>
      </c>
      <c r="R123" s="7">
        <v>-1.019437661298872E-2</v>
      </c>
      <c r="T123" s="7">
        <v>94.554455445544562</v>
      </c>
      <c r="U123" s="7">
        <v>0.21879052205372318</v>
      </c>
    </row>
    <row r="124" spans="16:21" x14ac:dyDescent="0.25">
      <c r="P124" s="7">
        <v>97</v>
      </c>
      <c r="Q124" s="7">
        <v>0.23462349971522434</v>
      </c>
      <c r="R124" s="7">
        <v>-1.2789551178241876E-2</v>
      </c>
      <c r="T124" s="7">
        <v>95.544554455445549</v>
      </c>
      <c r="U124" s="7">
        <v>0.22183394853698246</v>
      </c>
    </row>
    <row r="125" spans="16:21" x14ac:dyDescent="0.25">
      <c r="P125" s="7">
        <v>98</v>
      </c>
      <c r="Q125" s="7">
        <v>0.24026210076373672</v>
      </c>
      <c r="R125" s="7">
        <v>-1.0226528962100467E-2</v>
      </c>
      <c r="T125" s="7">
        <v>96.534653465346537</v>
      </c>
      <c r="U125" s="7">
        <v>0.23003557180163625</v>
      </c>
    </row>
    <row r="126" spans="16:21" x14ac:dyDescent="0.25">
      <c r="P126" s="7">
        <v>99</v>
      </c>
      <c r="Q126" s="7">
        <v>0.2459007018122491</v>
      </c>
      <c r="R126" s="7">
        <v>-1.0503043999821604E-2</v>
      </c>
      <c r="T126" s="7">
        <v>97.524752475247524</v>
      </c>
      <c r="U126" s="7">
        <v>0.2353976578124275</v>
      </c>
    </row>
    <row r="127" spans="16:21" x14ac:dyDescent="0.25">
      <c r="P127" s="7">
        <v>100</v>
      </c>
      <c r="Q127" s="7">
        <v>0.25153930286076154</v>
      </c>
      <c r="R127" s="7">
        <v>4.7105119635837411E-4</v>
      </c>
      <c r="T127" s="7">
        <v>98.514851485148526</v>
      </c>
      <c r="U127" s="7">
        <v>0.25201035405711991</v>
      </c>
    </row>
    <row r="128" spans="16:21" ht="15.75" thickBot="1" x14ac:dyDescent="0.3">
      <c r="P128" s="8">
        <v>101</v>
      </c>
      <c r="Q128" s="8">
        <v>0.25717790390927392</v>
      </c>
      <c r="R128" s="8">
        <v>2.2358366283653508E-4</v>
      </c>
      <c r="T128" s="8">
        <v>99.504950495049513</v>
      </c>
      <c r="U128" s="8">
        <v>0.25740148757211045</v>
      </c>
    </row>
  </sheetData>
  <sortState ref="U28:U128">
    <sortCondition ref="U2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Sheet13.black_scholes_delta_in_s2">
                <anchor moveWithCells="1" sizeWithCells="1">
                  <from>
                    <xdr:col>4</xdr:col>
                    <xdr:colOff>142875</xdr:colOff>
                    <xdr:row>4</xdr:row>
                    <xdr:rowOff>114300</xdr:rowOff>
                  </from>
                  <to>
                    <xdr:col>7</xdr:col>
                    <xdr:colOff>9525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X128"/>
  <sheetViews>
    <sheetView workbookViewId="0"/>
  </sheetViews>
  <sheetFormatPr defaultRowHeight="15" x14ac:dyDescent="0.25"/>
  <cols>
    <col min="1" max="1" width="10.140625" bestFit="1" customWidth="1"/>
    <col min="2" max="2" width="15.140625" bestFit="1" customWidth="1"/>
  </cols>
  <sheetData>
    <row r="1" spans="1:21" x14ac:dyDescent="0.25">
      <c r="A1" t="s">
        <v>43</v>
      </c>
      <c r="B1">
        <f>'Parameter Page'!H10</f>
        <v>7000.89</v>
      </c>
      <c r="D1">
        <f>B1-50</f>
        <v>6950.89</v>
      </c>
      <c r="E1">
        <f>B1+50</f>
        <v>7050.89</v>
      </c>
    </row>
    <row r="2" spans="1:21" x14ac:dyDescent="0.25">
      <c r="B2" t="s">
        <v>36</v>
      </c>
      <c r="C2">
        <f>COUNT(A4:A104)</f>
        <v>101</v>
      </c>
    </row>
    <row r="3" spans="1:21" x14ac:dyDescent="0.25">
      <c r="A3" t="s">
        <v>44</v>
      </c>
      <c r="B3" t="s">
        <v>35</v>
      </c>
      <c r="E3" t="s">
        <v>114</v>
      </c>
      <c r="F3">
        <f>$B$54</f>
        <v>969.53256536235142</v>
      </c>
      <c r="N3" t="s">
        <v>112</v>
      </c>
      <c r="O3" t="s">
        <v>113</v>
      </c>
    </row>
    <row r="4" spans="1:21" x14ac:dyDescent="0.25">
      <c r="A4">
        <f>D1</f>
        <v>6950.89</v>
      </c>
      <c r="B4">
        <v>969.01386123596046</v>
      </c>
      <c r="N4">
        <f>A4-$B$1</f>
        <v>-50</v>
      </c>
      <c r="O4">
        <f>B4-$F$3</f>
        <v>-0.51870412639095775</v>
      </c>
      <c r="P4" t="s">
        <v>80</v>
      </c>
    </row>
    <row r="5" spans="1:21" ht="15.75" thickBot="1" x14ac:dyDescent="0.3">
      <c r="A5">
        <f>A4+1</f>
        <v>6951.89</v>
      </c>
      <c r="B5">
        <v>969.02607284123235</v>
      </c>
      <c r="N5">
        <f t="shared" ref="N5:N68" si="0">A5-$B$1</f>
        <v>-49</v>
      </c>
      <c r="O5">
        <f t="shared" ref="O5:O68" si="1">B5-$F$3</f>
        <v>-0.50649252111907117</v>
      </c>
    </row>
    <row r="6" spans="1:21" x14ac:dyDescent="0.25">
      <c r="A6">
        <f t="shared" ref="A6:A69" si="2">A5+1</f>
        <v>6952.89</v>
      </c>
      <c r="B6">
        <v>969.03965541015361</v>
      </c>
      <c r="N6">
        <f t="shared" si="0"/>
        <v>-48</v>
      </c>
      <c r="O6">
        <f t="shared" si="1"/>
        <v>-0.49290995219780598</v>
      </c>
      <c r="P6" s="10" t="s">
        <v>81</v>
      </c>
      <c r="Q6" s="10"/>
    </row>
    <row r="7" spans="1:21" x14ac:dyDescent="0.25">
      <c r="A7">
        <f t="shared" si="2"/>
        <v>6953.89</v>
      </c>
      <c r="B7">
        <v>969.05782724607604</v>
      </c>
      <c r="N7">
        <f t="shared" si="0"/>
        <v>-47</v>
      </c>
      <c r="O7">
        <f t="shared" si="1"/>
        <v>-0.47473811627537543</v>
      </c>
      <c r="P7" s="7" t="s">
        <v>82</v>
      </c>
      <c r="Q7" s="7">
        <v>0.99764383892127639</v>
      </c>
    </row>
    <row r="8" spans="1:21" x14ac:dyDescent="0.25">
      <c r="A8">
        <f t="shared" si="2"/>
        <v>6954.89</v>
      </c>
      <c r="B8">
        <v>969.06988956224063</v>
      </c>
      <c r="N8">
        <f t="shared" si="0"/>
        <v>-46</v>
      </c>
      <c r="O8">
        <f t="shared" si="1"/>
        <v>-0.46267580011078735</v>
      </c>
      <c r="P8" s="7" t="s">
        <v>83</v>
      </c>
      <c r="Q8" s="7">
        <v>0.99529322933758169</v>
      </c>
    </row>
    <row r="9" spans="1:21" x14ac:dyDescent="0.25">
      <c r="A9">
        <f t="shared" si="2"/>
        <v>6955.89</v>
      </c>
      <c r="B9">
        <v>969.11346978822417</v>
      </c>
      <c r="N9">
        <f t="shared" si="0"/>
        <v>-45</v>
      </c>
      <c r="O9">
        <f t="shared" si="1"/>
        <v>-0.41909557412725462</v>
      </c>
      <c r="P9" s="7" t="s">
        <v>84</v>
      </c>
      <c r="Q9" s="7">
        <v>0.99524568619957743</v>
      </c>
    </row>
    <row r="10" spans="1:21" x14ac:dyDescent="0.25">
      <c r="A10">
        <f t="shared" si="2"/>
        <v>6956.89</v>
      </c>
      <c r="B10">
        <v>969.12324014298406</v>
      </c>
      <c r="N10">
        <f t="shared" si="0"/>
        <v>-44</v>
      </c>
      <c r="O10">
        <f t="shared" si="1"/>
        <v>-0.40932521936736066</v>
      </c>
      <c r="P10" s="7" t="s">
        <v>85</v>
      </c>
      <c r="Q10" s="7">
        <v>1.9324226643116393E-2</v>
      </c>
    </row>
    <row r="11" spans="1:21" ht="15.75" thickBot="1" x14ac:dyDescent="0.3">
      <c r="A11">
        <f t="shared" si="2"/>
        <v>6957.89</v>
      </c>
      <c r="B11">
        <v>969.14440098274861</v>
      </c>
      <c r="N11">
        <f t="shared" si="0"/>
        <v>-43</v>
      </c>
      <c r="O11">
        <f t="shared" si="1"/>
        <v>-0.38816437960281291</v>
      </c>
      <c r="P11" s="8" t="s">
        <v>86</v>
      </c>
      <c r="Q11" s="8">
        <v>101</v>
      </c>
    </row>
    <row r="12" spans="1:21" x14ac:dyDescent="0.25">
      <c r="A12">
        <f t="shared" si="2"/>
        <v>6958.89</v>
      </c>
      <c r="B12">
        <v>969.15774469993562</v>
      </c>
      <c r="N12">
        <f t="shared" si="0"/>
        <v>-42</v>
      </c>
      <c r="O12">
        <f t="shared" si="1"/>
        <v>-0.37482066241580014</v>
      </c>
    </row>
    <row r="13" spans="1:21" ht="15.75" thickBot="1" x14ac:dyDescent="0.3">
      <c r="A13">
        <f t="shared" si="2"/>
        <v>6959.89</v>
      </c>
      <c r="B13">
        <v>969.17389517031324</v>
      </c>
      <c r="N13">
        <f t="shared" si="0"/>
        <v>-41</v>
      </c>
      <c r="O13">
        <f t="shared" si="1"/>
        <v>-0.35867019203817563</v>
      </c>
      <c r="P13" t="s">
        <v>87</v>
      </c>
    </row>
    <row r="14" spans="1:21" x14ac:dyDescent="0.25">
      <c r="A14">
        <f t="shared" si="2"/>
        <v>6960.89</v>
      </c>
      <c r="B14">
        <v>969.1849881739281</v>
      </c>
      <c r="N14">
        <f t="shared" si="0"/>
        <v>-40</v>
      </c>
      <c r="O14">
        <f t="shared" si="1"/>
        <v>-0.34757718842331542</v>
      </c>
      <c r="P14" s="9"/>
      <c r="Q14" s="9" t="s">
        <v>92</v>
      </c>
      <c r="R14" s="9" t="s">
        <v>93</v>
      </c>
      <c r="S14" s="9" t="s">
        <v>94</v>
      </c>
      <c r="T14" s="9" t="s">
        <v>95</v>
      </c>
      <c r="U14" s="9" t="s">
        <v>96</v>
      </c>
    </row>
    <row r="15" spans="1:21" x14ac:dyDescent="0.25">
      <c r="A15">
        <f t="shared" si="2"/>
        <v>6961.89</v>
      </c>
      <c r="B15">
        <v>969.19391953540435</v>
      </c>
      <c r="N15">
        <f t="shared" si="0"/>
        <v>-39</v>
      </c>
      <c r="O15">
        <f t="shared" si="1"/>
        <v>-0.33864582694707224</v>
      </c>
      <c r="P15" s="7" t="s">
        <v>88</v>
      </c>
      <c r="Q15" s="7">
        <v>1</v>
      </c>
      <c r="R15" s="7">
        <v>7.8174921063421587</v>
      </c>
      <c r="S15" s="7">
        <v>7.8174921063421587</v>
      </c>
      <c r="T15" s="7">
        <v>20934.529589719496</v>
      </c>
      <c r="U15" s="7">
        <v>5.0561540086702678E-117</v>
      </c>
    </row>
    <row r="16" spans="1:21" x14ac:dyDescent="0.25">
      <c r="A16">
        <f t="shared" si="2"/>
        <v>6962.89</v>
      </c>
      <c r="B16">
        <v>969.19209039393206</v>
      </c>
      <c r="N16">
        <f t="shared" si="0"/>
        <v>-38</v>
      </c>
      <c r="O16">
        <f t="shared" si="1"/>
        <v>-0.34047496841935754</v>
      </c>
      <c r="P16" s="7" t="s">
        <v>89</v>
      </c>
      <c r="Q16" s="7">
        <v>99</v>
      </c>
      <c r="R16" s="7">
        <v>3.6969147800098419E-2</v>
      </c>
      <c r="S16" s="7">
        <v>3.7342573535452948E-4</v>
      </c>
      <c r="T16" s="7"/>
      <c r="U16" s="7"/>
    </row>
    <row r="17" spans="1:24" ht="15.75" thickBot="1" x14ac:dyDescent="0.3">
      <c r="A17">
        <f t="shared" si="2"/>
        <v>6963.89</v>
      </c>
      <c r="B17">
        <v>969.20098505559793</v>
      </c>
      <c r="N17">
        <f t="shared" si="0"/>
        <v>-37</v>
      </c>
      <c r="O17">
        <f t="shared" si="1"/>
        <v>-0.33158030675349437</v>
      </c>
      <c r="P17" s="8" t="s">
        <v>90</v>
      </c>
      <c r="Q17" s="8">
        <v>100</v>
      </c>
      <c r="R17" s="8">
        <v>7.8544612541422572</v>
      </c>
      <c r="S17" s="8"/>
      <c r="T17" s="8"/>
      <c r="U17" s="8"/>
    </row>
    <row r="18" spans="1:24" ht="15.75" thickBot="1" x14ac:dyDescent="0.3">
      <c r="A18">
        <f t="shared" si="2"/>
        <v>6964.89</v>
      </c>
      <c r="B18">
        <v>969.20537544851823</v>
      </c>
      <c r="N18">
        <f t="shared" si="0"/>
        <v>-36</v>
      </c>
      <c r="O18">
        <f t="shared" si="1"/>
        <v>-0.32718991383319462</v>
      </c>
    </row>
    <row r="19" spans="1:24" x14ac:dyDescent="0.25">
      <c r="A19">
        <f t="shared" si="2"/>
        <v>6965.89</v>
      </c>
      <c r="B19">
        <v>969.21500155341812</v>
      </c>
      <c r="N19">
        <f t="shared" si="0"/>
        <v>-35</v>
      </c>
      <c r="O19">
        <f t="shared" si="1"/>
        <v>-0.31756380893330061</v>
      </c>
      <c r="P19" s="9"/>
      <c r="Q19" s="9" t="s">
        <v>97</v>
      </c>
      <c r="R19" s="9" t="s">
        <v>85</v>
      </c>
      <c r="S19" s="9" t="s">
        <v>98</v>
      </c>
      <c r="T19" s="9" t="s">
        <v>99</v>
      </c>
      <c r="U19" s="9" t="s">
        <v>100</v>
      </c>
      <c r="V19" s="9" t="s">
        <v>101</v>
      </c>
      <c r="W19" s="9" t="s">
        <v>102</v>
      </c>
      <c r="X19" s="9" t="s">
        <v>103</v>
      </c>
    </row>
    <row r="20" spans="1:24" x14ac:dyDescent="0.25">
      <c r="A20">
        <f t="shared" si="2"/>
        <v>6966.89</v>
      </c>
      <c r="B20">
        <v>969.22242269024593</v>
      </c>
      <c r="N20">
        <f t="shared" si="0"/>
        <v>-34</v>
      </c>
      <c r="O20">
        <f t="shared" si="1"/>
        <v>-0.31014267210548496</v>
      </c>
      <c r="P20" s="7" t="s">
        <v>91</v>
      </c>
      <c r="Q20" s="7">
        <v>2.0786949414319581E-2</v>
      </c>
      <c r="R20" s="7">
        <v>1.9228324181947548E-3</v>
      </c>
      <c r="S20" s="7">
        <v>10.810588181072662</v>
      </c>
      <c r="T20" s="7">
        <v>1.8803653400365054E-18</v>
      </c>
      <c r="U20" s="7">
        <v>1.6971632735077648E-2</v>
      </c>
      <c r="V20" s="7">
        <v>2.4602266093561514E-2</v>
      </c>
      <c r="W20" s="7">
        <v>1.6971632735077648E-2</v>
      </c>
      <c r="X20" s="7">
        <v>2.4602266093561514E-2</v>
      </c>
    </row>
    <row r="21" spans="1:24" ht="15.75" thickBot="1" x14ac:dyDescent="0.3">
      <c r="A21">
        <f t="shared" si="2"/>
        <v>6967.89</v>
      </c>
      <c r="B21">
        <v>969.23317622668503</v>
      </c>
      <c r="N21">
        <f t="shared" si="0"/>
        <v>-33</v>
      </c>
      <c r="O21">
        <f t="shared" si="1"/>
        <v>-0.29938913566638803</v>
      </c>
      <c r="P21" s="8" t="s">
        <v>104</v>
      </c>
      <c r="Q21" s="8">
        <v>9.5425309223855503E-3</v>
      </c>
      <c r="R21" s="8">
        <v>6.5952607837309858E-5</v>
      </c>
      <c r="S21" s="8">
        <v>144.6876967461971</v>
      </c>
      <c r="T21" s="8">
        <v>5.0561540086702678E-117</v>
      </c>
      <c r="U21" s="8">
        <v>9.4116666399134286E-3</v>
      </c>
      <c r="V21" s="8">
        <v>9.6733952048576721E-3</v>
      </c>
      <c r="W21" s="8">
        <v>9.4116666399134286E-3</v>
      </c>
      <c r="X21" s="8">
        <v>9.6733952048576721E-3</v>
      </c>
    </row>
    <row r="22" spans="1:24" x14ac:dyDescent="0.25">
      <c r="A22">
        <f t="shared" si="2"/>
        <v>6968.89</v>
      </c>
      <c r="B22">
        <v>969.24171866959603</v>
      </c>
      <c r="N22">
        <f t="shared" si="0"/>
        <v>-32</v>
      </c>
      <c r="O22">
        <f t="shared" si="1"/>
        <v>-0.29084669275539454</v>
      </c>
    </row>
    <row r="23" spans="1:24" x14ac:dyDescent="0.25">
      <c r="A23">
        <f t="shared" si="2"/>
        <v>6969.89</v>
      </c>
      <c r="B23">
        <v>969.2456107179313</v>
      </c>
      <c r="N23">
        <f t="shared" si="0"/>
        <v>-31</v>
      </c>
      <c r="O23">
        <f t="shared" si="1"/>
        <v>-0.28695464442012053</v>
      </c>
    </row>
    <row r="24" spans="1:24" x14ac:dyDescent="0.25">
      <c r="A24">
        <f t="shared" si="2"/>
        <v>6970.89</v>
      </c>
      <c r="B24">
        <v>969.25892809565016</v>
      </c>
      <c r="N24">
        <f t="shared" si="0"/>
        <v>-30</v>
      </c>
      <c r="O24">
        <f t="shared" si="1"/>
        <v>-0.27363726670125743</v>
      </c>
    </row>
    <row r="25" spans="1:24" x14ac:dyDescent="0.25">
      <c r="A25">
        <f t="shared" si="2"/>
        <v>6971.89</v>
      </c>
      <c r="B25">
        <v>969.27701933697699</v>
      </c>
      <c r="N25">
        <f t="shared" si="0"/>
        <v>-29</v>
      </c>
      <c r="O25">
        <f t="shared" si="1"/>
        <v>-0.25554602537442861</v>
      </c>
      <c r="P25" t="s">
        <v>105</v>
      </c>
      <c r="T25" t="s">
        <v>109</v>
      </c>
    </row>
    <row r="26" spans="1:24" ht="15.75" thickBot="1" x14ac:dyDescent="0.3">
      <c r="A26">
        <f t="shared" si="2"/>
        <v>6972.89</v>
      </c>
      <c r="B26">
        <v>969.28483824920045</v>
      </c>
      <c r="N26">
        <f t="shared" si="0"/>
        <v>-28</v>
      </c>
      <c r="O26">
        <f t="shared" si="1"/>
        <v>-0.2477271131509724</v>
      </c>
    </row>
    <row r="27" spans="1:24" x14ac:dyDescent="0.25">
      <c r="A27">
        <f t="shared" si="2"/>
        <v>6973.89</v>
      </c>
      <c r="B27">
        <v>969.30229186142287</v>
      </c>
      <c r="N27">
        <f t="shared" si="0"/>
        <v>-27</v>
      </c>
      <c r="O27">
        <f t="shared" si="1"/>
        <v>-0.23027350092854704</v>
      </c>
      <c r="P27" s="9" t="s">
        <v>106</v>
      </c>
      <c r="Q27" s="9" t="s">
        <v>107</v>
      </c>
      <c r="R27" s="9" t="s">
        <v>108</v>
      </c>
      <c r="T27" s="9" t="s">
        <v>110</v>
      </c>
      <c r="U27" s="9" t="s">
        <v>111</v>
      </c>
    </row>
    <row r="28" spans="1:24" x14ac:dyDescent="0.25">
      <c r="A28">
        <f t="shared" si="2"/>
        <v>6974.89</v>
      </c>
      <c r="B28">
        <v>969.32622661319408</v>
      </c>
      <c r="N28">
        <f t="shared" si="0"/>
        <v>-26</v>
      </c>
      <c r="O28">
        <f t="shared" si="1"/>
        <v>-0.20633874915733941</v>
      </c>
      <c r="P28" s="7">
        <v>1</v>
      </c>
      <c r="Q28" s="7">
        <v>-0.45633959670495794</v>
      </c>
      <c r="R28" s="7">
        <v>-6.2364529685999814E-2</v>
      </c>
      <c r="T28" s="7">
        <v>0.49504950495049505</v>
      </c>
      <c r="U28" s="7">
        <v>-0.51870412639095775</v>
      </c>
    </row>
    <row r="29" spans="1:24" x14ac:dyDescent="0.25">
      <c r="A29">
        <f t="shared" si="2"/>
        <v>6975.89</v>
      </c>
      <c r="B29">
        <v>969.33620047272791</v>
      </c>
      <c r="N29">
        <f t="shared" si="0"/>
        <v>-25</v>
      </c>
      <c r="O29">
        <f t="shared" si="1"/>
        <v>-0.19636488962350995</v>
      </c>
      <c r="P29" s="7">
        <v>2</v>
      </c>
      <c r="Q29" s="7">
        <v>-0.44679706578257239</v>
      </c>
      <c r="R29" s="7">
        <v>-5.9695455336498782E-2</v>
      </c>
      <c r="T29" s="7">
        <v>1.4851485148514851</v>
      </c>
      <c r="U29" s="7">
        <v>-0.50649252111907117</v>
      </c>
    </row>
    <row r="30" spans="1:24" x14ac:dyDescent="0.25">
      <c r="A30">
        <f t="shared" si="2"/>
        <v>6976.89</v>
      </c>
      <c r="B30">
        <v>969.35039753521528</v>
      </c>
      <c r="N30">
        <f t="shared" si="0"/>
        <v>-24</v>
      </c>
      <c r="O30">
        <f t="shared" si="1"/>
        <v>-0.18216782713614066</v>
      </c>
      <c r="P30" s="7">
        <v>3</v>
      </c>
      <c r="Q30" s="7">
        <v>-0.43725453486018684</v>
      </c>
      <c r="R30" s="7">
        <v>-5.565541733761914E-2</v>
      </c>
      <c r="T30" s="7">
        <v>2.4752475247524752</v>
      </c>
      <c r="U30" s="7">
        <v>-0.49290995219780598</v>
      </c>
    </row>
    <row r="31" spans="1:24" x14ac:dyDescent="0.25">
      <c r="A31">
        <f t="shared" si="2"/>
        <v>6977.89</v>
      </c>
      <c r="B31">
        <v>969.35649356681972</v>
      </c>
      <c r="N31">
        <f t="shared" si="0"/>
        <v>-23</v>
      </c>
      <c r="O31">
        <f t="shared" si="1"/>
        <v>-0.17607179553169772</v>
      </c>
      <c r="P31" s="7">
        <v>4</v>
      </c>
      <c r="Q31" s="7">
        <v>-0.42771200393780129</v>
      </c>
      <c r="R31" s="7">
        <v>-4.7026112337574144E-2</v>
      </c>
      <c r="T31" s="7">
        <v>3.4653465346534653</v>
      </c>
      <c r="U31" s="7">
        <v>-0.47473811627537543</v>
      </c>
    </row>
    <row r="32" spans="1:24" x14ac:dyDescent="0.25">
      <c r="A32">
        <f t="shared" si="2"/>
        <v>6978.89</v>
      </c>
      <c r="B32">
        <v>969.36792227799322</v>
      </c>
      <c r="N32">
        <f t="shared" si="0"/>
        <v>-22</v>
      </c>
      <c r="O32">
        <f t="shared" si="1"/>
        <v>-0.16464308435820385</v>
      </c>
      <c r="P32" s="7">
        <v>5</v>
      </c>
      <c r="Q32" s="7">
        <v>-0.41816947301541574</v>
      </c>
      <c r="R32" s="7">
        <v>-4.4506327095371612E-2</v>
      </c>
      <c r="T32" s="7">
        <v>4.4554455445544559</v>
      </c>
      <c r="U32" s="7">
        <v>-0.46267580011078735</v>
      </c>
    </row>
    <row r="33" spans="1:21" x14ac:dyDescent="0.25">
      <c r="A33">
        <f t="shared" si="2"/>
        <v>6979.89</v>
      </c>
      <c r="B33">
        <v>969.37336541711124</v>
      </c>
      <c r="N33">
        <f t="shared" si="0"/>
        <v>-21</v>
      </c>
      <c r="O33">
        <f t="shared" si="1"/>
        <v>-0.15919994524017511</v>
      </c>
      <c r="P33" s="7">
        <v>6</v>
      </c>
      <c r="Q33" s="7">
        <v>-0.40862694209303019</v>
      </c>
      <c r="R33" s="7">
        <v>-1.0468632034224434E-2</v>
      </c>
      <c r="T33" s="7">
        <v>5.4455445544554451</v>
      </c>
      <c r="U33" s="7">
        <v>-0.41909557412725462</v>
      </c>
    </row>
    <row r="34" spans="1:21" x14ac:dyDescent="0.25">
      <c r="A34">
        <f t="shared" si="2"/>
        <v>6980.89</v>
      </c>
      <c r="B34">
        <v>969.38082283326662</v>
      </c>
      <c r="N34">
        <f t="shared" si="0"/>
        <v>-20</v>
      </c>
      <c r="O34">
        <f t="shared" si="1"/>
        <v>-0.15174252908479957</v>
      </c>
      <c r="P34" s="7">
        <v>7</v>
      </c>
      <c r="Q34" s="7">
        <v>-0.39908441117064464</v>
      </c>
      <c r="R34" s="7">
        <v>-1.0240808196716022E-2</v>
      </c>
      <c r="T34" s="7">
        <v>6.435643564356436</v>
      </c>
      <c r="U34" s="7">
        <v>-0.40932521936736066</v>
      </c>
    </row>
    <row r="35" spans="1:21" x14ac:dyDescent="0.25">
      <c r="A35">
        <f t="shared" si="2"/>
        <v>6981.89</v>
      </c>
      <c r="B35">
        <v>969.38970418267536</v>
      </c>
      <c r="N35">
        <f t="shared" si="0"/>
        <v>-19</v>
      </c>
      <c r="O35">
        <f t="shared" si="1"/>
        <v>-0.1428611796760606</v>
      </c>
      <c r="P35" s="7">
        <v>8</v>
      </c>
      <c r="Q35" s="7">
        <v>-0.38954188024825909</v>
      </c>
      <c r="R35" s="7">
        <v>1.3775006454461725E-3</v>
      </c>
      <c r="T35" s="7">
        <v>7.4257425742574252</v>
      </c>
      <c r="U35" s="7">
        <v>-0.38816437960281291</v>
      </c>
    </row>
    <row r="36" spans="1:21" x14ac:dyDescent="0.25">
      <c r="A36">
        <f t="shared" si="2"/>
        <v>6982.89</v>
      </c>
      <c r="B36">
        <v>969.39178650122074</v>
      </c>
      <c r="N36">
        <f t="shared" si="0"/>
        <v>-18</v>
      </c>
      <c r="O36">
        <f t="shared" si="1"/>
        <v>-0.14077886113068416</v>
      </c>
      <c r="P36" s="7">
        <v>9</v>
      </c>
      <c r="Q36" s="7">
        <v>-0.37999934932587354</v>
      </c>
      <c r="R36" s="7">
        <v>5.1786869100733934E-3</v>
      </c>
      <c r="T36" s="7">
        <v>8.4158415841584162</v>
      </c>
      <c r="U36" s="7">
        <v>-0.37482066241580014</v>
      </c>
    </row>
    <row r="37" spans="1:21" x14ac:dyDescent="0.25">
      <c r="A37">
        <f t="shared" si="2"/>
        <v>6983.89</v>
      </c>
      <c r="B37">
        <v>969.40724524328789</v>
      </c>
      <c r="N37">
        <f t="shared" si="0"/>
        <v>-17</v>
      </c>
      <c r="O37">
        <f t="shared" si="1"/>
        <v>-0.12532011906353091</v>
      </c>
      <c r="P37" s="7">
        <v>10</v>
      </c>
      <c r="Q37" s="7">
        <v>-0.37045681840348799</v>
      </c>
      <c r="R37" s="7">
        <v>1.1786626365312358E-2</v>
      </c>
      <c r="T37" s="7">
        <v>9.4059405940594072</v>
      </c>
      <c r="U37" s="7">
        <v>-0.35867019203817563</v>
      </c>
    </row>
    <row r="38" spans="1:21" x14ac:dyDescent="0.25">
      <c r="A38">
        <f t="shared" si="2"/>
        <v>6984.89</v>
      </c>
      <c r="B38">
        <v>969.42075137107247</v>
      </c>
      <c r="N38">
        <f t="shared" si="0"/>
        <v>-16</v>
      </c>
      <c r="O38">
        <f t="shared" si="1"/>
        <v>-0.1118139912789502</v>
      </c>
      <c r="P38" s="7">
        <v>11</v>
      </c>
      <c r="Q38" s="7">
        <v>-0.36091428748110244</v>
      </c>
      <c r="R38" s="7">
        <v>1.3337099057787016E-2</v>
      </c>
      <c r="T38" s="7">
        <v>10.396039603960396</v>
      </c>
      <c r="U38" s="7">
        <v>-0.34757718842331542</v>
      </c>
    </row>
    <row r="39" spans="1:21" x14ac:dyDescent="0.25">
      <c r="A39">
        <f t="shared" si="2"/>
        <v>6985.89</v>
      </c>
      <c r="B39">
        <v>969.42867313678983</v>
      </c>
      <c r="N39">
        <f t="shared" si="0"/>
        <v>-15</v>
      </c>
      <c r="O39">
        <f t="shared" si="1"/>
        <v>-0.10389222556159439</v>
      </c>
      <c r="P39" s="7">
        <v>12</v>
      </c>
      <c r="Q39" s="7">
        <v>-0.35137175655871689</v>
      </c>
      <c r="R39" s="7">
        <v>1.2725929611644649E-2</v>
      </c>
      <c r="T39" s="7">
        <v>11.386138613861386</v>
      </c>
      <c r="U39" s="7">
        <v>-0.34047496841935754</v>
      </c>
    </row>
    <row r="40" spans="1:21" x14ac:dyDescent="0.25">
      <c r="A40">
        <f t="shared" si="2"/>
        <v>6986.89</v>
      </c>
      <c r="B40">
        <v>969.4342766469066</v>
      </c>
      <c r="N40">
        <f t="shared" si="0"/>
        <v>-14</v>
      </c>
      <c r="O40">
        <f t="shared" si="1"/>
        <v>-9.8288715444823538E-2</v>
      </c>
      <c r="P40" s="7">
        <v>13</v>
      </c>
      <c r="Q40" s="7">
        <v>-0.34182922563633134</v>
      </c>
      <c r="R40" s="7">
        <v>1.3542572169737976E-3</v>
      </c>
      <c r="T40" s="7">
        <v>12.376237623762377</v>
      </c>
      <c r="U40" s="7">
        <v>-0.33864582694707224</v>
      </c>
    </row>
    <row r="41" spans="1:21" x14ac:dyDescent="0.25">
      <c r="A41">
        <f t="shared" si="2"/>
        <v>6987.89</v>
      </c>
      <c r="B41">
        <v>969.43944741901112</v>
      </c>
      <c r="N41">
        <f t="shared" si="0"/>
        <v>-13</v>
      </c>
      <c r="O41">
        <f t="shared" si="1"/>
        <v>-9.31179433403031E-2</v>
      </c>
      <c r="P41" s="7">
        <v>14</v>
      </c>
      <c r="Q41" s="7">
        <v>-0.33228669471394578</v>
      </c>
      <c r="R41" s="7">
        <v>7.0638796045141561E-4</v>
      </c>
      <c r="T41" s="7">
        <v>13.366336633663368</v>
      </c>
      <c r="U41" s="7">
        <v>-0.33158030675349437</v>
      </c>
    </row>
    <row r="42" spans="1:21" x14ac:dyDescent="0.25">
      <c r="A42">
        <f t="shared" si="2"/>
        <v>6988.89</v>
      </c>
      <c r="B42">
        <v>969.44724125844596</v>
      </c>
      <c r="N42">
        <f t="shared" si="0"/>
        <v>-12</v>
      </c>
      <c r="O42">
        <f t="shared" si="1"/>
        <v>-8.5324103905463744E-2</v>
      </c>
      <c r="P42" s="7">
        <v>15</v>
      </c>
      <c r="Q42" s="7">
        <v>-0.32274416379156023</v>
      </c>
      <c r="R42" s="7">
        <v>-4.4457500416343887E-3</v>
      </c>
      <c r="T42" s="7">
        <v>14.356435643564357</v>
      </c>
      <c r="U42" s="7">
        <v>-0.32718991383319462</v>
      </c>
    </row>
    <row r="43" spans="1:21" x14ac:dyDescent="0.25">
      <c r="A43">
        <f t="shared" si="2"/>
        <v>6989.89</v>
      </c>
      <c r="B43">
        <v>969.45587280776999</v>
      </c>
      <c r="N43">
        <f t="shared" si="0"/>
        <v>-11</v>
      </c>
      <c r="O43">
        <f t="shared" si="1"/>
        <v>-7.669255458142743E-2</v>
      </c>
      <c r="P43" s="7">
        <v>16</v>
      </c>
      <c r="Q43" s="7">
        <v>-0.31320163286917468</v>
      </c>
      <c r="R43" s="7">
        <v>-4.3621760641259222E-3</v>
      </c>
      <c r="T43" s="7">
        <v>15.346534653465346</v>
      </c>
      <c r="U43" s="7">
        <v>-0.31756380893330061</v>
      </c>
    </row>
    <row r="44" spans="1:21" x14ac:dyDescent="0.25">
      <c r="A44">
        <f t="shared" si="2"/>
        <v>6990.89</v>
      </c>
      <c r="B44">
        <v>969.46219580690195</v>
      </c>
      <c r="N44">
        <f t="shared" si="0"/>
        <v>-10</v>
      </c>
      <c r="O44">
        <f t="shared" si="1"/>
        <v>-7.0369555449474319E-2</v>
      </c>
      <c r="P44" s="7">
        <v>17</v>
      </c>
      <c r="Q44" s="7">
        <v>-0.30365910194678913</v>
      </c>
      <c r="R44" s="7">
        <v>-6.4835701586958283E-3</v>
      </c>
      <c r="T44" s="7">
        <v>16.336633663366335</v>
      </c>
      <c r="U44" s="7">
        <v>-0.31014267210548496</v>
      </c>
    </row>
    <row r="45" spans="1:21" x14ac:dyDescent="0.25">
      <c r="A45">
        <f t="shared" si="2"/>
        <v>6991.89</v>
      </c>
      <c r="B45">
        <v>969.47130275401344</v>
      </c>
      <c r="N45">
        <f t="shared" si="0"/>
        <v>-9</v>
      </c>
      <c r="O45">
        <f t="shared" si="1"/>
        <v>-6.1262608337983693E-2</v>
      </c>
      <c r="P45" s="7">
        <v>18</v>
      </c>
      <c r="Q45" s="7">
        <v>-0.29411657102440358</v>
      </c>
      <c r="R45" s="7">
        <v>-5.2725646419844452E-3</v>
      </c>
      <c r="T45" s="7">
        <v>17.326732673267326</v>
      </c>
      <c r="U45" s="7">
        <v>-0.29938913566638803</v>
      </c>
    </row>
    <row r="46" spans="1:21" x14ac:dyDescent="0.25">
      <c r="A46">
        <f t="shared" si="2"/>
        <v>6992.89</v>
      </c>
      <c r="B46">
        <v>969.47649420295875</v>
      </c>
      <c r="N46">
        <f t="shared" si="0"/>
        <v>-8</v>
      </c>
      <c r="O46">
        <f t="shared" si="1"/>
        <v>-5.6071159392672598E-2</v>
      </c>
      <c r="P46" s="7">
        <v>19</v>
      </c>
      <c r="Q46" s="7">
        <v>-0.28457404010201803</v>
      </c>
      <c r="R46" s="7">
        <v>-6.2726526533765092E-3</v>
      </c>
      <c r="T46" s="7">
        <v>18.316831683168317</v>
      </c>
      <c r="U46" s="7">
        <v>-0.29084669275539454</v>
      </c>
    </row>
    <row r="47" spans="1:21" x14ac:dyDescent="0.25">
      <c r="A47">
        <f t="shared" si="2"/>
        <v>6993.89</v>
      </c>
      <c r="B47">
        <v>969.48355504487176</v>
      </c>
      <c r="N47">
        <f t="shared" si="0"/>
        <v>-7</v>
      </c>
      <c r="O47">
        <f t="shared" si="1"/>
        <v>-4.9010317479655896E-2</v>
      </c>
      <c r="P47" s="7">
        <v>20</v>
      </c>
      <c r="Q47" s="7">
        <v>-0.27503150917963248</v>
      </c>
      <c r="R47" s="7">
        <v>-1.1923135240488048E-2</v>
      </c>
      <c r="T47" s="7">
        <v>19.306930693069305</v>
      </c>
      <c r="U47" s="7">
        <v>-0.28695464442012053</v>
      </c>
    </row>
    <row r="48" spans="1:21" x14ac:dyDescent="0.25">
      <c r="A48">
        <f t="shared" si="2"/>
        <v>6994.89</v>
      </c>
      <c r="B48">
        <v>969.48967054055765</v>
      </c>
      <c r="N48">
        <f t="shared" si="0"/>
        <v>-6</v>
      </c>
      <c r="O48">
        <f t="shared" si="1"/>
        <v>-4.2894821793765914E-2</v>
      </c>
      <c r="P48" s="7">
        <v>21</v>
      </c>
      <c r="Q48" s="7">
        <v>-0.26548897825724693</v>
      </c>
      <c r="R48" s="7">
        <v>-8.1482884440104986E-3</v>
      </c>
      <c r="T48" s="7">
        <v>20.297029702970296</v>
      </c>
      <c r="U48" s="7">
        <v>-0.27363726670125743</v>
      </c>
    </row>
    <row r="49" spans="1:21" x14ac:dyDescent="0.25">
      <c r="A49">
        <f t="shared" si="2"/>
        <v>6995.89</v>
      </c>
      <c r="B49">
        <v>969.49663484151347</v>
      </c>
      <c r="N49">
        <f t="shared" si="0"/>
        <v>-5</v>
      </c>
      <c r="O49">
        <f t="shared" si="1"/>
        <v>-3.5930520837951008E-2</v>
      </c>
      <c r="P49" s="7">
        <v>22</v>
      </c>
      <c r="Q49" s="7">
        <v>-0.25594644733486138</v>
      </c>
      <c r="R49" s="7">
        <v>4.0042196043277301E-4</v>
      </c>
      <c r="T49" s="7">
        <v>21.287128712871286</v>
      </c>
      <c r="U49" s="7">
        <v>-0.25554602537442861</v>
      </c>
    </row>
    <row r="50" spans="1:21" x14ac:dyDescent="0.25">
      <c r="A50">
        <f t="shared" si="2"/>
        <v>6996.89</v>
      </c>
      <c r="B50">
        <v>969.50458485226568</v>
      </c>
      <c r="N50">
        <f t="shared" si="0"/>
        <v>-4</v>
      </c>
      <c r="O50">
        <f t="shared" si="1"/>
        <v>-2.7980510085740207E-2</v>
      </c>
      <c r="P50" s="7">
        <v>23</v>
      </c>
      <c r="Q50" s="7">
        <v>-0.24640391641247583</v>
      </c>
      <c r="R50" s="7">
        <v>-1.3231967384965682E-3</v>
      </c>
      <c r="T50" s="7">
        <v>22.277227722772274</v>
      </c>
      <c r="U50" s="7">
        <v>-0.2477271131509724</v>
      </c>
    </row>
    <row r="51" spans="1:21" x14ac:dyDescent="0.25">
      <c r="A51">
        <f t="shared" si="2"/>
        <v>6997.89</v>
      </c>
      <c r="B51">
        <v>969.50994377455743</v>
      </c>
      <c r="N51">
        <f t="shared" si="0"/>
        <v>-3</v>
      </c>
      <c r="O51">
        <f t="shared" si="1"/>
        <v>-2.2621587793992148E-2</v>
      </c>
      <c r="P51" s="7">
        <v>24</v>
      </c>
      <c r="Q51" s="7">
        <v>-0.23686138549009028</v>
      </c>
      <c r="R51" s="7">
        <v>6.5878845615432446E-3</v>
      </c>
      <c r="T51" s="7">
        <v>23.267326732673265</v>
      </c>
      <c r="U51" s="7">
        <v>-0.23027350092854704</v>
      </c>
    </row>
    <row r="52" spans="1:21" x14ac:dyDescent="0.25">
      <c r="A52">
        <f t="shared" si="2"/>
        <v>6998.89</v>
      </c>
      <c r="B52">
        <v>969.51507503725088</v>
      </c>
      <c r="N52">
        <f t="shared" si="0"/>
        <v>-2</v>
      </c>
      <c r="O52">
        <f t="shared" si="1"/>
        <v>-1.7490325100538939E-2</v>
      </c>
      <c r="P52" s="7">
        <v>25</v>
      </c>
      <c r="Q52" s="7">
        <v>-0.22731885456770473</v>
      </c>
      <c r="R52" s="7">
        <v>2.0980105410365324E-2</v>
      </c>
      <c r="T52" s="7">
        <v>24.257425742574256</v>
      </c>
      <c r="U52" s="7">
        <v>-0.20633874915733941</v>
      </c>
    </row>
    <row r="53" spans="1:21" x14ac:dyDescent="0.25">
      <c r="A53">
        <f t="shared" si="2"/>
        <v>6999.89</v>
      </c>
      <c r="B53">
        <v>969.52339118423833</v>
      </c>
      <c r="N53">
        <f t="shared" si="0"/>
        <v>-1</v>
      </c>
      <c r="O53">
        <f t="shared" si="1"/>
        <v>-9.1741781130849631E-3</v>
      </c>
      <c r="P53" s="7">
        <v>26</v>
      </c>
      <c r="Q53" s="7">
        <v>-0.21777632364531918</v>
      </c>
      <c r="R53" s="7">
        <v>2.1411434021809228E-2</v>
      </c>
      <c r="T53" s="7">
        <v>25.247524752475247</v>
      </c>
      <c r="U53" s="7">
        <v>-0.19636488962350995</v>
      </c>
    </row>
    <row r="54" spans="1:21" x14ac:dyDescent="0.25">
      <c r="A54">
        <f t="shared" si="2"/>
        <v>7000.89</v>
      </c>
      <c r="B54">
        <v>969.53256536235142</v>
      </c>
      <c r="N54">
        <f t="shared" si="0"/>
        <v>0</v>
      </c>
      <c r="O54">
        <f t="shared" si="1"/>
        <v>0</v>
      </c>
      <c r="P54" s="7">
        <v>27</v>
      </c>
      <c r="Q54" s="7">
        <v>-0.20823379272293363</v>
      </c>
      <c r="R54" s="7">
        <v>2.6065965586792972E-2</v>
      </c>
      <c r="T54" s="7">
        <v>26.237623762376238</v>
      </c>
      <c r="U54" s="7">
        <v>-0.18216782713614066</v>
      </c>
    </row>
    <row r="55" spans="1:21" x14ac:dyDescent="0.25">
      <c r="A55">
        <f t="shared" si="2"/>
        <v>7001.89</v>
      </c>
      <c r="B55">
        <v>969.58604728029241</v>
      </c>
      <c r="N55">
        <f t="shared" si="0"/>
        <v>1</v>
      </c>
      <c r="O55">
        <f t="shared" si="1"/>
        <v>5.3481917940985113E-2</v>
      </c>
      <c r="P55" s="7">
        <v>28</v>
      </c>
      <c r="Q55" s="7">
        <v>-0.19869126180054808</v>
      </c>
      <c r="R55" s="7">
        <v>2.2619466268850363E-2</v>
      </c>
      <c r="T55" s="7">
        <v>27.227722772277225</v>
      </c>
      <c r="U55" s="7">
        <v>-0.17607179553169772</v>
      </c>
    </row>
    <row r="56" spans="1:21" x14ac:dyDescent="0.25">
      <c r="A56">
        <f t="shared" si="2"/>
        <v>7002.89</v>
      </c>
      <c r="B56">
        <v>969.59347537153167</v>
      </c>
      <c r="N56">
        <f t="shared" si="0"/>
        <v>2</v>
      </c>
      <c r="O56">
        <f t="shared" si="1"/>
        <v>6.0910009180247471E-2</v>
      </c>
      <c r="P56" s="7">
        <v>29</v>
      </c>
      <c r="Q56" s="7">
        <v>-0.18914873087816253</v>
      </c>
      <c r="R56" s="7">
        <v>2.4505646519958679E-2</v>
      </c>
      <c r="T56" s="7">
        <v>28.217821782178216</v>
      </c>
      <c r="U56" s="7">
        <v>-0.16464308435820385</v>
      </c>
    </row>
    <row r="57" spans="1:21" x14ac:dyDescent="0.25">
      <c r="A57">
        <f t="shared" si="2"/>
        <v>7003.89</v>
      </c>
      <c r="B57">
        <v>969.59856148060669</v>
      </c>
      <c r="N57">
        <f t="shared" si="0"/>
        <v>3</v>
      </c>
      <c r="O57">
        <f t="shared" si="1"/>
        <v>6.599611825527063E-2</v>
      </c>
      <c r="P57" s="7">
        <v>30</v>
      </c>
      <c r="Q57" s="7">
        <v>-0.17960619995577698</v>
      </c>
      <c r="R57" s="7">
        <v>2.0406254715601868E-2</v>
      </c>
      <c r="T57" s="7">
        <v>29.207920792079207</v>
      </c>
      <c r="U57" s="7">
        <v>-0.15919994524017511</v>
      </c>
    </row>
    <row r="58" spans="1:21" x14ac:dyDescent="0.25">
      <c r="A58">
        <f t="shared" si="2"/>
        <v>7004.89</v>
      </c>
      <c r="B58">
        <v>969.60455015145465</v>
      </c>
      <c r="N58">
        <f t="shared" si="0"/>
        <v>4</v>
      </c>
      <c r="O58">
        <f t="shared" si="1"/>
        <v>7.1984789103225921E-2</v>
      </c>
      <c r="P58" s="7">
        <v>31</v>
      </c>
      <c r="Q58" s="7">
        <v>-0.17006366903339143</v>
      </c>
      <c r="R58" s="7">
        <v>1.8321139948591858E-2</v>
      </c>
      <c r="T58" s="7">
        <v>30.198019801980195</v>
      </c>
      <c r="U58" s="7">
        <v>-0.15174252908479957</v>
      </c>
    </row>
    <row r="59" spans="1:21" x14ac:dyDescent="0.25">
      <c r="A59">
        <f t="shared" si="2"/>
        <v>7005.89</v>
      </c>
      <c r="B59">
        <v>969.61565657458539</v>
      </c>
      <c r="N59">
        <f t="shared" si="0"/>
        <v>5</v>
      </c>
      <c r="O59">
        <f t="shared" si="1"/>
        <v>8.3091212233966871E-2</v>
      </c>
      <c r="P59" s="7">
        <v>32</v>
      </c>
      <c r="Q59" s="7">
        <v>-0.16052113811100588</v>
      </c>
      <c r="R59" s="7">
        <v>1.7659958434945278E-2</v>
      </c>
      <c r="T59" s="7">
        <v>31.188118811881186</v>
      </c>
      <c r="U59" s="7">
        <v>-0.1428611796760606</v>
      </c>
    </row>
    <row r="60" spans="1:21" x14ac:dyDescent="0.25">
      <c r="A60">
        <f t="shared" si="2"/>
        <v>7006.89</v>
      </c>
      <c r="B60">
        <v>969.62174759010907</v>
      </c>
      <c r="N60">
        <f t="shared" si="0"/>
        <v>6</v>
      </c>
      <c r="O60">
        <f t="shared" si="1"/>
        <v>8.9182227757646615E-2</v>
      </c>
      <c r="P60" s="7">
        <v>33</v>
      </c>
      <c r="Q60" s="7">
        <v>-0.15097860718862033</v>
      </c>
      <c r="R60" s="7">
        <v>1.0199746057936165E-2</v>
      </c>
      <c r="T60" s="7">
        <v>32.178217821782177</v>
      </c>
      <c r="U60" s="7">
        <v>-0.14077886113068416</v>
      </c>
    </row>
    <row r="61" spans="1:21" x14ac:dyDescent="0.25">
      <c r="A61">
        <f t="shared" si="2"/>
        <v>7007.89</v>
      </c>
      <c r="B61">
        <v>969.63401183000838</v>
      </c>
      <c r="N61">
        <f t="shared" si="0"/>
        <v>7</v>
      </c>
      <c r="O61">
        <f t="shared" si="1"/>
        <v>0.10144646765695597</v>
      </c>
      <c r="P61" s="7">
        <v>34</v>
      </c>
      <c r="Q61" s="7">
        <v>-0.14143607626623478</v>
      </c>
      <c r="R61" s="7">
        <v>1.6115957202703868E-2</v>
      </c>
      <c r="T61" s="7">
        <v>33.168316831683164</v>
      </c>
      <c r="U61" s="7">
        <v>-0.12532011906353091</v>
      </c>
    </row>
    <row r="62" spans="1:21" x14ac:dyDescent="0.25">
      <c r="A62">
        <f t="shared" si="2"/>
        <v>7008.89</v>
      </c>
      <c r="B62">
        <v>969.64172262129011</v>
      </c>
      <c r="N62">
        <f t="shared" si="0"/>
        <v>8</v>
      </c>
      <c r="O62">
        <f t="shared" si="1"/>
        <v>0.10915725893869421</v>
      </c>
      <c r="P62" s="7">
        <v>35</v>
      </c>
      <c r="Q62" s="7">
        <v>-0.13189354534384923</v>
      </c>
      <c r="R62" s="7">
        <v>2.007955406489903E-2</v>
      </c>
      <c r="T62" s="7">
        <v>34.158415841584159</v>
      </c>
      <c r="U62" s="7">
        <v>-0.1118139912789502</v>
      </c>
    </row>
    <row r="63" spans="1:21" x14ac:dyDescent="0.25">
      <c r="A63">
        <f t="shared" si="2"/>
        <v>7009.89</v>
      </c>
      <c r="B63">
        <v>969.65622818717293</v>
      </c>
      <c r="N63">
        <f t="shared" si="0"/>
        <v>9</v>
      </c>
      <c r="O63">
        <f t="shared" si="1"/>
        <v>0.12366282482150837</v>
      </c>
      <c r="P63" s="7">
        <v>36</v>
      </c>
      <c r="Q63" s="7">
        <v>-0.12235101442146368</v>
      </c>
      <c r="R63" s="7">
        <v>1.8458788859869291E-2</v>
      </c>
      <c r="T63" s="7">
        <v>35.148514851485146</v>
      </c>
      <c r="U63" s="7">
        <v>-0.10389222556159439</v>
      </c>
    </row>
    <row r="64" spans="1:21" x14ac:dyDescent="0.25">
      <c r="A64">
        <f t="shared" si="2"/>
        <v>7010.89</v>
      </c>
      <c r="B64">
        <v>969.67298768872377</v>
      </c>
      <c r="N64">
        <f t="shared" si="0"/>
        <v>10</v>
      </c>
      <c r="O64">
        <f t="shared" si="1"/>
        <v>0.1404223263723452</v>
      </c>
      <c r="P64" s="7">
        <v>37</v>
      </c>
      <c r="Q64" s="7">
        <v>-0.11280848349907813</v>
      </c>
      <c r="R64" s="7">
        <v>1.4519768054254589E-2</v>
      </c>
      <c r="T64" s="7">
        <v>36.138613861386141</v>
      </c>
      <c r="U64" s="7">
        <v>-9.8288715444823538E-2</v>
      </c>
    </row>
    <row r="65" spans="1:21" x14ac:dyDescent="0.25">
      <c r="A65">
        <f t="shared" si="2"/>
        <v>7011.89</v>
      </c>
      <c r="B65">
        <v>969.68203821416114</v>
      </c>
      <c r="N65">
        <f t="shared" si="0"/>
        <v>11</v>
      </c>
      <c r="O65">
        <f t="shared" si="1"/>
        <v>0.14947285180971903</v>
      </c>
      <c r="P65" s="7">
        <v>38</v>
      </c>
      <c r="Q65" s="7">
        <v>-0.10326595257669258</v>
      </c>
      <c r="R65" s="7">
        <v>1.0148009236389477E-2</v>
      </c>
      <c r="T65" s="7">
        <v>37.128712871287128</v>
      </c>
      <c r="U65" s="7">
        <v>-9.31179433403031E-2</v>
      </c>
    </row>
    <row r="66" spans="1:21" x14ac:dyDescent="0.25">
      <c r="A66">
        <f t="shared" si="2"/>
        <v>7012.89</v>
      </c>
      <c r="B66">
        <v>969.68600359118227</v>
      </c>
      <c r="N66">
        <f t="shared" si="0"/>
        <v>12</v>
      </c>
      <c r="O66">
        <f t="shared" si="1"/>
        <v>0.15343822883085068</v>
      </c>
      <c r="P66" s="7">
        <v>39</v>
      </c>
      <c r="Q66" s="7">
        <v>-9.3723421654307026E-2</v>
      </c>
      <c r="R66" s="7">
        <v>8.3993177488432824E-3</v>
      </c>
      <c r="T66" s="7">
        <v>38.118811881188115</v>
      </c>
      <c r="U66" s="7">
        <v>-8.5324103905463744E-2</v>
      </c>
    </row>
    <row r="67" spans="1:21" x14ac:dyDescent="0.25">
      <c r="A67">
        <f t="shared" si="2"/>
        <v>7013.89</v>
      </c>
      <c r="B67">
        <v>969.69570790170792</v>
      </c>
      <c r="N67">
        <f t="shared" si="0"/>
        <v>13</v>
      </c>
      <c r="O67">
        <f t="shared" si="1"/>
        <v>0.16314253935649958</v>
      </c>
      <c r="P67" s="7">
        <v>40</v>
      </c>
      <c r="Q67" s="7">
        <v>-8.4180890731921476E-2</v>
      </c>
      <c r="R67" s="7">
        <v>7.488336150494046E-3</v>
      </c>
      <c r="T67" s="7">
        <v>39.10891089108911</v>
      </c>
      <c r="U67" s="7">
        <v>-7.669255458142743E-2</v>
      </c>
    </row>
    <row r="68" spans="1:21" x14ac:dyDescent="0.25">
      <c r="A68">
        <f t="shared" si="2"/>
        <v>7014.89</v>
      </c>
      <c r="B68">
        <v>969.70335288923377</v>
      </c>
      <c r="N68">
        <f t="shared" si="0"/>
        <v>14</v>
      </c>
      <c r="O68">
        <f t="shared" si="1"/>
        <v>0.17078752688234999</v>
      </c>
      <c r="P68" s="7">
        <v>41</v>
      </c>
      <c r="Q68" s="7">
        <v>-7.4638359809535926E-2</v>
      </c>
      <c r="R68" s="7">
        <v>4.2688043600616066E-3</v>
      </c>
      <c r="T68" s="7">
        <v>40.099009900990097</v>
      </c>
      <c r="U68" s="7">
        <v>-7.0369555449474319E-2</v>
      </c>
    </row>
    <row r="69" spans="1:21" x14ac:dyDescent="0.25">
      <c r="A69">
        <f t="shared" si="2"/>
        <v>7015.89</v>
      </c>
      <c r="B69">
        <v>969.72287099501261</v>
      </c>
      <c r="N69">
        <f t="shared" ref="N69:N104" si="3">A69-$B$1</f>
        <v>15</v>
      </c>
      <c r="O69">
        <f t="shared" ref="O69:O104" si="4">B69-$F$3</f>
        <v>0.19030563266119316</v>
      </c>
      <c r="P69" s="7">
        <v>42</v>
      </c>
      <c r="Q69" s="7">
        <v>-6.5095828887150375E-2</v>
      </c>
      <c r="R69" s="7">
        <v>3.8332205491666826E-3</v>
      </c>
      <c r="T69" s="7">
        <v>41.089108910891085</v>
      </c>
      <c r="U69" s="7">
        <v>-6.1262608337983693E-2</v>
      </c>
    </row>
    <row r="70" spans="1:21" x14ac:dyDescent="0.25">
      <c r="A70">
        <f t="shared" ref="A70:A104" si="5">A69+1</f>
        <v>7016.89</v>
      </c>
      <c r="B70">
        <v>969.72770382961858</v>
      </c>
      <c r="N70">
        <f t="shared" si="3"/>
        <v>16</v>
      </c>
      <c r="O70">
        <f t="shared" si="4"/>
        <v>0.19513846726715656</v>
      </c>
      <c r="P70" s="7">
        <v>43</v>
      </c>
      <c r="Q70" s="7">
        <v>-5.5553297964764825E-2</v>
      </c>
      <c r="R70" s="7">
        <v>-5.1786142790777312E-4</v>
      </c>
      <c r="T70" s="7">
        <v>42.079207920792079</v>
      </c>
      <c r="U70" s="7">
        <v>-5.6071159392672598E-2</v>
      </c>
    </row>
    <row r="71" spans="1:21" x14ac:dyDescent="0.25">
      <c r="A71">
        <f t="shared" si="5"/>
        <v>7017.89</v>
      </c>
      <c r="B71">
        <v>969.73421977860119</v>
      </c>
      <c r="N71">
        <f t="shared" si="3"/>
        <v>17</v>
      </c>
      <c r="O71">
        <f t="shared" si="4"/>
        <v>0.20165441624976665</v>
      </c>
      <c r="P71" s="7">
        <v>44</v>
      </c>
      <c r="Q71" s="7">
        <v>-4.6010767042379275E-2</v>
      </c>
      <c r="R71" s="7">
        <v>-2.9995504372766213E-3</v>
      </c>
      <c r="T71" s="7">
        <v>43.069306930693067</v>
      </c>
      <c r="U71" s="7">
        <v>-4.9010317479655896E-2</v>
      </c>
    </row>
    <row r="72" spans="1:21" x14ac:dyDescent="0.25">
      <c r="A72">
        <f t="shared" si="5"/>
        <v>7018.89</v>
      </c>
      <c r="B72">
        <v>969.74202514433648</v>
      </c>
      <c r="N72">
        <f t="shared" si="3"/>
        <v>18</v>
      </c>
      <c r="O72">
        <f t="shared" si="4"/>
        <v>0.20945978198506054</v>
      </c>
      <c r="P72" s="7">
        <v>45</v>
      </c>
      <c r="Q72" s="7">
        <v>-3.6468236119993724E-2</v>
      </c>
      <c r="R72" s="7">
        <v>-6.4265856737721894E-3</v>
      </c>
      <c r="T72" s="7">
        <v>44.059405940594054</v>
      </c>
      <c r="U72" s="7">
        <v>-4.2894821793765914E-2</v>
      </c>
    </row>
    <row r="73" spans="1:21" x14ac:dyDescent="0.25">
      <c r="A73">
        <f t="shared" si="5"/>
        <v>7019.89</v>
      </c>
      <c r="B73">
        <v>969.7502867857927</v>
      </c>
      <c r="N73">
        <f t="shared" si="3"/>
        <v>19</v>
      </c>
      <c r="O73">
        <f t="shared" si="4"/>
        <v>0.21772142344127587</v>
      </c>
      <c r="P73" s="7">
        <v>46</v>
      </c>
      <c r="Q73" s="7">
        <v>-2.6925705197608171E-2</v>
      </c>
      <c r="R73" s="7">
        <v>-9.0048156403428371E-3</v>
      </c>
      <c r="T73" s="7">
        <v>45.049504950495049</v>
      </c>
      <c r="U73" s="7">
        <v>-3.5930520837951008E-2</v>
      </c>
    </row>
    <row r="74" spans="1:21" x14ac:dyDescent="0.25">
      <c r="A74">
        <f t="shared" si="5"/>
        <v>7020.89</v>
      </c>
      <c r="B74">
        <v>969.7589910125364</v>
      </c>
      <c r="N74">
        <f t="shared" si="3"/>
        <v>20</v>
      </c>
      <c r="O74">
        <f t="shared" si="4"/>
        <v>0.22642565018497862</v>
      </c>
      <c r="P74" s="7">
        <v>47</v>
      </c>
      <c r="Q74" s="7">
        <v>-1.738317427522262E-2</v>
      </c>
      <c r="R74" s="7">
        <v>-1.0597335810517586E-2</v>
      </c>
      <c r="T74" s="7">
        <v>46.039603960396036</v>
      </c>
      <c r="U74" s="7">
        <v>-2.7980510085740207E-2</v>
      </c>
    </row>
    <row r="75" spans="1:21" x14ac:dyDescent="0.25">
      <c r="A75">
        <f t="shared" si="5"/>
        <v>7021.89</v>
      </c>
      <c r="B75">
        <v>969.76808529229231</v>
      </c>
      <c r="N75">
        <f t="shared" si="3"/>
        <v>21</v>
      </c>
      <c r="O75">
        <f t="shared" si="4"/>
        <v>0.23551992994089233</v>
      </c>
      <c r="P75" s="7">
        <v>48</v>
      </c>
      <c r="Q75" s="7">
        <v>-7.8406433528370699E-3</v>
      </c>
      <c r="R75" s="7">
        <v>-1.4780944441155078E-2</v>
      </c>
      <c r="T75" s="7">
        <v>47.029702970297031</v>
      </c>
      <c r="U75" s="7">
        <v>-2.2621587793992148E-2</v>
      </c>
    </row>
    <row r="76" spans="1:21" x14ac:dyDescent="0.25">
      <c r="A76">
        <f t="shared" si="5"/>
        <v>7022.89</v>
      </c>
      <c r="B76">
        <v>969.77586747143528</v>
      </c>
      <c r="N76">
        <f t="shared" si="3"/>
        <v>22</v>
      </c>
      <c r="O76">
        <f t="shared" si="4"/>
        <v>0.24330210908385652</v>
      </c>
      <c r="P76" s="7">
        <v>49</v>
      </c>
      <c r="Q76" s="7">
        <v>1.7018875695484804E-3</v>
      </c>
      <c r="R76" s="7">
        <v>-1.919221267008742E-2</v>
      </c>
      <c r="T76" s="7">
        <v>48.019801980198018</v>
      </c>
      <c r="U76" s="7">
        <v>-1.7490325100538939E-2</v>
      </c>
    </row>
    <row r="77" spans="1:21" x14ac:dyDescent="0.25">
      <c r="A77">
        <f t="shared" si="5"/>
        <v>7023.89</v>
      </c>
      <c r="B77">
        <v>969.78337446702039</v>
      </c>
      <c r="N77">
        <f t="shared" si="3"/>
        <v>23</v>
      </c>
      <c r="O77">
        <f t="shared" si="4"/>
        <v>0.25080910466897421</v>
      </c>
      <c r="P77" s="7">
        <v>50</v>
      </c>
      <c r="Q77" s="7">
        <v>1.1244418491934031E-2</v>
      </c>
      <c r="R77" s="7">
        <v>-2.0418596605018994E-2</v>
      </c>
      <c r="T77" s="7">
        <v>49.009900990099005</v>
      </c>
      <c r="U77" s="7">
        <v>-9.1741781130849631E-3</v>
      </c>
    </row>
    <row r="78" spans="1:21" x14ac:dyDescent="0.25">
      <c r="A78">
        <f t="shared" si="5"/>
        <v>7024.89</v>
      </c>
      <c r="B78">
        <v>969.78869786943346</v>
      </c>
      <c r="N78">
        <f t="shared" si="3"/>
        <v>24</v>
      </c>
      <c r="O78">
        <f t="shared" si="4"/>
        <v>0.25613250708204305</v>
      </c>
      <c r="P78" s="7">
        <v>51</v>
      </c>
      <c r="Q78" s="7">
        <v>2.0786949414319581E-2</v>
      </c>
      <c r="R78" s="7">
        <v>-2.0786949414319581E-2</v>
      </c>
      <c r="T78" s="7">
        <v>50</v>
      </c>
      <c r="U78" s="7">
        <v>0</v>
      </c>
    </row>
    <row r="79" spans="1:21" x14ac:dyDescent="0.25">
      <c r="A79">
        <f t="shared" si="5"/>
        <v>7025.89</v>
      </c>
      <c r="B79">
        <v>969.79356630921586</v>
      </c>
      <c r="N79">
        <f t="shared" si="3"/>
        <v>25</v>
      </c>
      <c r="O79">
        <f t="shared" si="4"/>
        <v>0.26100094686444208</v>
      </c>
      <c r="P79" s="7">
        <v>52</v>
      </c>
      <c r="Q79" s="7">
        <v>3.0329480336705131E-2</v>
      </c>
      <c r="R79" s="7">
        <v>2.3152437604279982E-2</v>
      </c>
      <c r="T79" s="7">
        <v>50.990099009900987</v>
      </c>
      <c r="U79" s="7">
        <v>5.3481917940985113E-2</v>
      </c>
    </row>
    <row r="80" spans="1:21" x14ac:dyDescent="0.25">
      <c r="A80">
        <f t="shared" si="5"/>
        <v>7026.89</v>
      </c>
      <c r="B80">
        <v>969.79845596117138</v>
      </c>
      <c r="N80">
        <f t="shared" si="3"/>
        <v>26</v>
      </c>
      <c r="O80">
        <f t="shared" si="4"/>
        <v>0.26589059881996491</v>
      </c>
      <c r="P80" s="7">
        <v>53</v>
      </c>
      <c r="Q80" s="7">
        <v>3.9872011259090678E-2</v>
      </c>
      <c r="R80" s="7">
        <v>2.1037997921156792E-2</v>
      </c>
      <c r="T80" s="7">
        <v>51.980198019801982</v>
      </c>
      <c r="U80" s="7">
        <v>6.0910009180247471E-2</v>
      </c>
    </row>
    <row r="81" spans="1:21" x14ac:dyDescent="0.25">
      <c r="A81">
        <f t="shared" si="5"/>
        <v>7027.89</v>
      </c>
      <c r="B81">
        <v>969.80713765158373</v>
      </c>
      <c r="N81">
        <f t="shared" si="3"/>
        <v>27</v>
      </c>
      <c r="O81">
        <f t="shared" si="4"/>
        <v>0.27457228923231014</v>
      </c>
      <c r="P81" s="7">
        <v>54</v>
      </c>
      <c r="Q81" s="7">
        <v>4.9414542181476229E-2</v>
      </c>
      <c r="R81" s="7">
        <v>1.6581576073794402E-2</v>
      </c>
      <c r="T81" s="7">
        <v>52.970297029702969</v>
      </c>
      <c r="U81" s="7">
        <v>6.599611825527063E-2</v>
      </c>
    </row>
    <row r="82" spans="1:21" x14ac:dyDescent="0.25">
      <c r="A82">
        <f t="shared" si="5"/>
        <v>7028.89</v>
      </c>
      <c r="B82">
        <v>969.81567794002456</v>
      </c>
      <c r="N82">
        <f t="shared" si="3"/>
        <v>28</v>
      </c>
      <c r="O82">
        <f t="shared" si="4"/>
        <v>0.28311257767313691</v>
      </c>
      <c r="P82" s="7">
        <v>55</v>
      </c>
      <c r="Q82" s="7">
        <v>5.8957073103861779E-2</v>
      </c>
      <c r="R82" s="7">
        <v>1.3027715999364142E-2</v>
      </c>
      <c r="T82" s="7">
        <v>53.960396039603957</v>
      </c>
      <c r="U82" s="7">
        <v>7.1984789103225921E-2</v>
      </c>
    </row>
    <row r="83" spans="1:21" x14ac:dyDescent="0.25">
      <c r="A83">
        <f t="shared" si="5"/>
        <v>7029.89</v>
      </c>
      <c r="B83">
        <v>969.8340369629243</v>
      </c>
      <c r="N83">
        <f t="shared" si="3"/>
        <v>29</v>
      </c>
      <c r="O83">
        <f t="shared" si="4"/>
        <v>0.30147160057288147</v>
      </c>
      <c r="P83" s="7">
        <v>56</v>
      </c>
      <c r="Q83" s="7">
        <v>6.8499604026247329E-2</v>
      </c>
      <c r="R83" s="7">
        <v>1.4591608207719542E-2</v>
      </c>
      <c r="T83" s="7">
        <v>54.950495049504951</v>
      </c>
      <c r="U83" s="7">
        <v>8.3091212233966871E-2</v>
      </c>
    </row>
    <row r="84" spans="1:21" x14ac:dyDescent="0.25">
      <c r="A84">
        <f t="shared" si="5"/>
        <v>7030.89</v>
      </c>
      <c r="B84">
        <v>969.84089515172138</v>
      </c>
      <c r="N84">
        <f t="shared" si="3"/>
        <v>30</v>
      </c>
      <c r="O84">
        <f t="shared" si="4"/>
        <v>0.30832978936996369</v>
      </c>
      <c r="P84" s="7">
        <v>57</v>
      </c>
      <c r="Q84" s="7">
        <v>7.804213494863288E-2</v>
      </c>
      <c r="R84" s="7">
        <v>1.1140092809013735E-2</v>
      </c>
      <c r="T84" s="7">
        <v>55.940594059405939</v>
      </c>
      <c r="U84" s="7">
        <v>8.9182227757646615E-2</v>
      </c>
    </row>
    <row r="85" spans="1:21" x14ac:dyDescent="0.25">
      <c r="A85">
        <f t="shared" si="5"/>
        <v>7031.89</v>
      </c>
      <c r="B85">
        <v>969.85270957951366</v>
      </c>
      <c r="N85">
        <f t="shared" si="3"/>
        <v>31</v>
      </c>
      <c r="O85">
        <f t="shared" si="4"/>
        <v>0.32014421716223751</v>
      </c>
      <c r="P85" s="7">
        <v>58</v>
      </c>
      <c r="Q85" s="7">
        <v>8.758466587101843E-2</v>
      </c>
      <c r="R85" s="7">
        <v>1.3861801785937544E-2</v>
      </c>
      <c r="T85" s="7">
        <v>56.930693069306926</v>
      </c>
      <c r="U85" s="7">
        <v>0.10144646765695597</v>
      </c>
    </row>
    <row r="86" spans="1:21" x14ac:dyDescent="0.25">
      <c r="A86">
        <f t="shared" si="5"/>
        <v>7032.89</v>
      </c>
      <c r="B86">
        <v>969.86661170140485</v>
      </c>
      <c r="N86">
        <f t="shared" si="3"/>
        <v>32</v>
      </c>
      <c r="O86">
        <f t="shared" si="4"/>
        <v>0.33404633905342962</v>
      </c>
      <c r="P86" s="7">
        <v>59</v>
      </c>
      <c r="Q86" s="7">
        <v>9.712719679340398E-2</v>
      </c>
      <c r="R86" s="7">
        <v>1.2030062145290232E-2</v>
      </c>
      <c r="T86" s="7">
        <v>57.920792079207921</v>
      </c>
      <c r="U86" s="7">
        <v>0.10915725893869421</v>
      </c>
    </row>
    <row r="87" spans="1:21" x14ac:dyDescent="0.25">
      <c r="A87">
        <f t="shared" si="5"/>
        <v>7033.89</v>
      </c>
      <c r="B87">
        <v>969.87201278227303</v>
      </c>
      <c r="N87">
        <f t="shared" si="3"/>
        <v>33</v>
      </c>
      <c r="O87">
        <f t="shared" si="4"/>
        <v>0.33944741992161198</v>
      </c>
      <c r="P87" s="7">
        <v>60</v>
      </c>
      <c r="Q87" s="7">
        <v>0.10666972771578953</v>
      </c>
      <c r="R87" s="7">
        <v>1.6993097105718835E-2</v>
      </c>
      <c r="T87" s="7">
        <v>58.910891089108908</v>
      </c>
      <c r="U87" s="7">
        <v>0.12366282482150837</v>
      </c>
    </row>
    <row r="88" spans="1:21" x14ac:dyDescent="0.25">
      <c r="A88">
        <f t="shared" si="5"/>
        <v>7034.89</v>
      </c>
      <c r="B88">
        <v>969.87948084042796</v>
      </c>
      <c r="N88">
        <f t="shared" si="3"/>
        <v>34</v>
      </c>
      <c r="O88">
        <f t="shared" si="4"/>
        <v>0.34691547807653933</v>
      </c>
      <c r="P88" s="7">
        <v>61</v>
      </c>
      <c r="Q88" s="7">
        <v>0.11621225863817508</v>
      </c>
      <c r="R88" s="7">
        <v>2.4210067734170115E-2</v>
      </c>
      <c r="T88" s="7">
        <v>59.900990099009896</v>
      </c>
      <c r="U88" s="7">
        <v>0.1404223263723452</v>
      </c>
    </row>
    <row r="89" spans="1:21" x14ac:dyDescent="0.25">
      <c r="A89">
        <f t="shared" si="5"/>
        <v>7035.89</v>
      </c>
      <c r="B89">
        <v>969.88360194754739</v>
      </c>
      <c r="N89">
        <f t="shared" si="3"/>
        <v>35</v>
      </c>
      <c r="O89">
        <f t="shared" si="4"/>
        <v>0.35103658519597047</v>
      </c>
      <c r="P89" s="7">
        <v>62</v>
      </c>
      <c r="Q89" s="7">
        <v>0.12575478956056063</v>
      </c>
      <c r="R89" s="7">
        <v>2.37180622491584E-2</v>
      </c>
      <c r="T89" s="7">
        <v>60.89108910891089</v>
      </c>
      <c r="U89" s="7">
        <v>0.14947285180971903</v>
      </c>
    </row>
    <row r="90" spans="1:21" x14ac:dyDescent="0.25">
      <c r="A90">
        <f t="shared" si="5"/>
        <v>7036.89</v>
      </c>
      <c r="B90">
        <v>969.88599533586557</v>
      </c>
      <c r="N90">
        <f t="shared" si="3"/>
        <v>36</v>
      </c>
      <c r="O90">
        <f t="shared" si="4"/>
        <v>0.35342997351415306</v>
      </c>
      <c r="P90" s="7">
        <v>63</v>
      </c>
      <c r="Q90" s="7">
        <v>0.13529732048294618</v>
      </c>
      <c r="R90" s="7">
        <v>1.8140908347904494E-2</v>
      </c>
      <c r="T90" s="7">
        <v>61.881188118811878</v>
      </c>
      <c r="U90" s="7">
        <v>0.15343822883085068</v>
      </c>
    </row>
    <row r="91" spans="1:21" x14ac:dyDescent="0.25">
      <c r="A91">
        <f t="shared" si="5"/>
        <v>7037.89</v>
      </c>
      <c r="B91">
        <v>969.88959536126072</v>
      </c>
      <c r="N91">
        <f t="shared" si="3"/>
        <v>37</v>
      </c>
      <c r="O91">
        <f t="shared" si="4"/>
        <v>0.35702999890929732</v>
      </c>
      <c r="P91" s="7">
        <v>64</v>
      </c>
      <c r="Q91" s="7">
        <v>0.14483985140533173</v>
      </c>
      <c r="R91" s="7">
        <v>1.8302687951167851E-2</v>
      </c>
      <c r="T91" s="7">
        <v>62.871287128712872</v>
      </c>
      <c r="U91" s="7">
        <v>0.16314253935649958</v>
      </c>
    </row>
    <row r="92" spans="1:21" x14ac:dyDescent="0.25">
      <c r="A92">
        <f t="shared" si="5"/>
        <v>7038.89</v>
      </c>
      <c r="B92">
        <v>969.8964753251721</v>
      </c>
      <c r="N92">
        <f t="shared" si="3"/>
        <v>38</v>
      </c>
      <c r="O92">
        <f t="shared" si="4"/>
        <v>0.363909962820685</v>
      </c>
      <c r="P92" s="7">
        <v>65</v>
      </c>
      <c r="Q92" s="7">
        <v>0.15438238232771728</v>
      </c>
      <c r="R92" s="7">
        <v>1.6405144554632711E-2</v>
      </c>
      <c r="T92" s="7">
        <v>63.861386138613859</v>
      </c>
      <c r="U92" s="7">
        <v>0.17078752688234999</v>
      </c>
    </row>
    <row r="93" spans="1:21" x14ac:dyDescent="0.25">
      <c r="A93">
        <f t="shared" si="5"/>
        <v>7039.89</v>
      </c>
      <c r="B93">
        <v>969.89786548180405</v>
      </c>
      <c r="N93">
        <f t="shared" si="3"/>
        <v>39</v>
      </c>
      <c r="O93">
        <f t="shared" si="4"/>
        <v>0.36530011945262686</v>
      </c>
      <c r="P93" s="7">
        <v>66</v>
      </c>
      <c r="Q93" s="7">
        <v>0.16392491325010283</v>
      </c>
      <c r="R93" s="7">
        <v>2.6380719411090325E-2</v>
      </c>
      <c r="T93" s="7">
        <v>64.851485148514854</v>
      </c>
      <c r="U93" s="7">
        <v>0.19030563266119316</v>
      </c>
    </row>
    <row r="94" spans="1:21" x14ac:dyDescent="0.25">
      <c r="A94">
        <f t="shared" si="5"/>
        <v>7040.89</v>
      </c>
      <c r="B94">
        <v>969.90592084839807</v>
      </c>
      <c r="N94">
        <f t="shared" si="3"/>
        <v>40</v>
      </c>
      <c r="O94">
        <f t="shared" si="4"/>
        <v>0.37335548604664837</v>
      </c>
      <c r="P94" s="7">
        <v>67</v>
      </c>
      <c r="Q94" s="7">
        <v>0.17346744417248838</v>
      </c>
      <c r="R94" s="7">
        <v>2.1671023094668174E-2</v>
      </c>
      <c r="T94" s="7">
        <v>65.841584158415841</v>
      </c>
      <c r="U94" s="7">
        <v>0.19513846726715656</v>
      </c>
    </row>
    <row r="95" spans="1:21" x14ac:dyDescent="0.25">
      <c r="A95">
        <f t="shared" si="5"/>
        <v>7041.89</v>
      </c>
      <c r="B95">
        <v>969.91693158205203</v>
      </c>
      <c r="N95">
        <f t="shared" si="3"/>
        <v>41</v>
      </c>
      <c r="O95">
        <f t="shared" si="4"/>
        <v>0.38436621970060969</v>
      </c>
      <c r="P95" s="7">
        <v>68</v>
      </c>
      <c r="Q95" s="7">
        <v>0.18300997509487393</v>
      </c>
      <c r="R95" s="7">
        <v>1.8644441154892721E-2</v>
      </c>
      <c r="T95" s="7">
        <v>66.831683168316843</v>
      </c>
      <c r="U95" s="7">
        <v>0.20165441624976665</v>
      </c>
    </row>
    <row r="96" spans="1:21" x14ac:dyDescent="0.25">
      <c r="A96">
        <f t="shared" si="5"/>
        <v>7042.89</v>
      </c>
      <c r="B96">
        <v>969.93525157967792</v>
      </c>
      <c r="N96">
        <f t="shared" si="3"/>
        <v>42</v>
      </c>
      <c r="O96">
        <f t="shared" si="4"/>
        <v>0.40268621732650445</v>
      </c>
      <c r="P96" s="7">
        <v>69</v>
      </c>
      <c r="Q96" s="7">
        <v>0.19255250601725948</v>
      </c>
      <c r="R96" s="7">
        <v>1.6907275967801061E-2</v>
      </c>
      <c r="T96" s="7">
        <v>67.821782178217831</v>
      </c>
      <c r="U96" s="7">
        <v>0.20945978198506054</v>
      </c>
    </row>
    <row r="97" spans="1:21" x14ac:dyDescent="0.25">
      <c r="A97">
        <f t="shared" si="5"/>
        <v>7043.89</v>
      </c>
      <c r="B97">
        <v>969.94195294178712</v>
      </c>
      <c r="N97">
        <f t="shared" si="3"/>
        <v>43</v>
      </c>
      <c r="O97">
        <f t="shared" si="4"/>
        <v>0.40938757943570181</v>
      </c>
      <c r="P97" s="7">
        <v>70</v>
      </c>
      <c r="Q97" s="7">
        <v>0.20209503693964503</v>
      </c>
      <c r="R97" s="7">
        <v>1.562638650163084E-2</v>
      </c>
      <c r="T97" s="7">
        <v>68.811881188118818</v>
      </c>
      <c r="U97" s="7">
        <v>0.21772142344127587</v>
      </c>
    </row>
    <row r="98" spans="1:21" x14ac:dyDescent="0.25">
      <c r="A98">
        <f t="shared" si="5"/>
        <v>7044.89</v>
      </c>
      <c r="B98">
        <v>969.96201959782275</v>
      </c>
      <c r="N98">
        <f t="shared" si="3"/>
        <v>44</v>
      </c>
      <c r="O98">
        <f t="shared" si="4"/>
        <v>0.42945423547132577</v>
      </c>
      <c r="P98" s="7">
        <v>71</v>
      </c>
      <c r="Q98" s="7">
        <v>0.21163756786203058</v>
      </c>
      <c r="R98" s="7">
        <v>1.4788082322948037E-2</v>
      </c>
      <c r="T98" s="7">
        <v>69.801980198019805</v>
      </c>
      <c r="U98" s="7">
        <v>0.22642565018497862</v>
      </c>
    </row>
    <row r="99" spans="1:21" x14ac:dyDescent="0.25">
      <c r="A99">
        <f t="shared" si="5"/>
        <v>7045.89</v>
      </c>
      <c r="B99">
        <v>969.96781841963502</v>
      </c>
      <c r="N99">
        <f t="shared" si="3"/>
        <v>45</v>
      </c>
      <c r="O99">
        <f t="shared" si="4"/>
        <v>0.43525305728360308</v>
      </c>
      <c r="P99" s="7">
        <v>72</v>
      </c>
      <c r="Q99" s="7">
        <v>0.22118009878441613</v>
      </c>
      <c r="R99" s="7">
        <v>1.433983115647619E-2</v>
      </c>
      <c r="T99" s="7">
        <v>70.792079207920793</v>
      </c>
      <c r="U99" s="7">
        <v>0.23551992994089233</v>
      </c>
    </row>
    <row r="100" spans="1:21" x14ac:dyDescent="0.25">
      <c r="A100">
        <f t="shared" si="5"/>
        <v>7046.89</v>
      </c>
      <c r="B100">
        <v>969.97338977565801</v>
      </c>
      <c r="N100">
        <f t="shared" si="3"/>
        <v>46</v>
      </c>
      <c r="O100">
        <f t="shared" si="4"/>
        <v>0.44082441330658639</v>
      </c>
      <c r="P100" s="7">
        <v>73</v>
      </c>
      <c r="Q100" s="7">
        <v>0.23072262970680169</v>
      </c>
      <c r="R100" s="7">
        <v>1.2579479377054836E-2</v>
      </c>
      <c r="T100" s="7">
        <v>71.782178217821794</v>
      </c>
      <c r="U100" s="7">
        <v>0.24330210908385652</v>
      </c>
    </row>
    <row r="101" spans="1:21" x14ac:dyDescent="0.25">
      <c r="A101">
        <f t="shared" si="5"/>
        <v>7047.89</v>
      </c>
      <c r="B101">
        <v>969.97834057968805</v>
      </c>
      <c r="N101">
        <f t="shared" si="3"/>
        <v>47</v>
      </c>
      <c r="O101">
        <f t="shared" si="4"/>
        <v>0.44577521733663161</v>
      </c>
      <c r="P101" s="7">
        <v>74</v>
      </c>
      <c r="Q101" s="7">
        <v>0.24026516062918724</v>
      </c>
      <c r="R101" s="7">
        <v>1.0543944039786979E-2</v>
      </c>
      <c r="T101" s="7">
        <v>72.772277227722782</v>
      </c>
      <c r="U101" s="7">
        <v>0.25080910466897421</v>
      </c>
    </row>
    <row r="102" spans="1:21" x14ac:dyDescent="0.25">
      <c r="A102">
        <f t="shared" si="5"/>
        <v>7048.89</v>
      </c>
      <c r="B102">
        <v>969.98823526279659</v>
      </c>
      <c r="N102">
        <f t="shared" si="3"/>
        <v>48</v>
      </c>
      <c r="O102">
        <f t="shared" si="4"/>
        <v>0.45566990044517297</v>
      </c>
      <c r="P102" s="7">
        <v>75</v>
      </c>
      <c r="Q102" s="7">
        <v>0.24980769155157279</v>
      </c>
      <c r="R102" s="7">
        <v>6.3248155304702625E-3</v>
      </c>
      <c r="T102" s="7">
        <v>73.762376237623769</v>
      </c>
      <c r="U102" s="7">
        <v>0.25613250708204305</v>
      </c>
    </row>
    <row r="103" spans="1:21" x14ac:dyDescent="0.25">
      <c r="A103">
        <f t="shared" si="5"/>
        <v>7049.89</v>
      </c>
      <c r="B103">
        <v>970.00415907152205</v>
      </c>
      <c r="N103">
        <f t="shared" si="3"/>
        <v>49</v>
      </c>
      <c r="O103">
        <f t="shared" si="4"/>
        <v>0.4715937091706337</v>
      </c>
      <c r="P103" s="7">
        <v>76</v>
      </c>
      <c r="Q103" s="7">
        <v>0.25935022247395834</v>
      </c>
      <c r="R103" s="7">
        <v>1.6507243904837487E-3</v>
      </c>
      <c r="T103" s="7">
        <v>74.752475247524757</v>
      </c>
      <c r="U103" s="7">
        <v>0.26100094686444208</v>
      </c>
    </row>
    <row r="104" spans="1:21" x14ac:dyDescent="0.25">
      <c r="A104">
        <f t="shared" si="5"/>
        <v>7050.89</v>
      </c>
      <c r="B104">
        <v>970.00596770588686</v>
      </c>
      <c r="N104">
        <f t="shared" si="3"/>
        <v>50</v>
      </c>
      <c r="O104">
        <f t="shared" si="4"/>
        <v>0.4734023435354402</v>
      </c>
      <c r="P104" s="7">
        <v>77</v>
      </c>
      <c r="Q104" s="7">
        <v>0.26889275339634389</v>
      </c>
      <c r="R104" s="7">
        <v>-3.0021545763789792E-3</v>
      </c>
      <c r="T104" s="7">
        <v>75.742574257425744</v>
      </c>
      <c r="U104" s="7">
        <v>0.26589059881996491</v>
      </c>
    </row>
    <row r="105" spans="1:21" x14ac:dyDescent="0.25">
      <c r="P105" s="7">
        <v>78</v>
      </c>
      <c r="Q105" s="7">
        <v>0.27843528431872944</v>
      </c>
      <c r="R105" s="7">
        <v>-3.8629950864192963E-3</v>
      </c>
      <c r="T105" s="7">
        <v>76.732673267326732</v>
      </c>
      <c r="U105" s="7">
        <v>0.27457228923231014</v>
      </c>
    </row>
    <row r="106" spans="1:21" x14ac:dyDescent="0.25">
      <c r="P106" s="7">
        <v>79</v>
      </c>
      <c r="Q106" s="7">
        <v>0.28797781524111499</v>
      </c>
      <c r="R106" s="7">
        <v>-4.8652375679780757E-3</v>
      </c>
      <c r="T106" s="7">
        <v>77.722772277227733</v>
      </c>
      <c r="U106" s="7">
        <v>0.28311257767313691</v>
      </c>
    </row>
    <row r="107" spans="1:21" x14ac:dyDescent="0.25">
      <c r="P107" s="7">
        <v>80</v>
      </c>
      <c r="Q107" s="7">
        <v>0.29752034616350054</v>
      </c>
      <c r="R107" s="7">
        <v>3.9512544093809332E-3</v>
      </c>
      <c r="T107" s="7">
        <v>78.712871287128721</v>
      </c>
      <c r="U107" s="7">
        <v>0.30147160057288147</v>
      </c>
    </row>
    <row r="108" spans="1:21" x14ac:dyDescent="0.25">
      <c r="P108" s="7">
        <v>81</v>
      </c>
      <c r="Q108" s="7">
        <v>0.30706287708588609</v>
      </c>
      <c r="R108" s="7">
        <v>1.2669122840776037E-3</v>
      </c>
      <c r="T108" s="7">
        <v>79.702970297029708</v>
      </c>
      <c r="U108" s="7">
        <v>0.30832978936996369</v>
      </c>
    </row>
    <row r="109" spans="1:21" x14ac:dyDescent="0.25">
      <c r="P109" s="7">
        <v>82</v>
      </c>
      <c r="Q109" s="7">
        <v>0.31660540800827164</v>
      </c>
      <c r="R109" s="7">
        <v>3.5388091539658717E-3</v>
      </c>
      <c r="T109" s="7">
        <v>80.693069306930695</v>
      </c>
      <c r="U109" s="7">
        <v>0.32014421716223751</v>
      </c>
    </row>
    <row r="110" spans="1:21" x14ac:dyDescent="0.25">
      <c r="P110" s="7">
        <v>83</v>
      </c>
      <c r="Q110" s="7">
        <v>0.32614793893065719</v>
      </c>
      <c r="R110" s="7">
        <v>7.898400122772431E-3</v>
      </c>
      <c r="T110" s="7">
        <v>81.683168316831683</v>
      </c>
      <c r="U110" s="7">
        <v>0.33404633905342962</v>
      </c>
    </row>
    <row r="111" spans="1:21" x14ac:dyDescent="0.25">
      <c r="P111" s="7">
        <v>84</v>
      </c>
      <c r="Q111" s="7">
        <v>0.33569046985304274</v>
      </c>
      <c r="R111" s="7">
        <v>3.7569500685692425E-3</v>
      </c>
      <c r="T111" s="7">
        <v>82.673267326732685</v>
      </c>
      <c r="U111" s="7">
        <v>0.33944741992161198</v>
      </c>
    </row>
    <row r="112" spans="1:21" x14ac:dyDescent="0.25">
      <c r="P112" s="7">
        <v>85</v>
      </c>
      <c r="Q112" s="7">
        <v>0.34523300077542829</v>
      </c>
      <c r="R112" s="7">
        <v>1.6824773011110405E-3</v>
      </c>
      <c r="T112" s="7">
        <v>83.663366336633672</v>
      </c>
      <c r="U112" s="7">
        <v>0.34691547807653933</v>
      </c>
    </row>
    <row r="113" spans="16:21" x14ac:dyDescent="0.25">
      <c r="P113" s="7">
        <v>86</v>
      </c>
      <c r="Q113" s="7">
        <v>0.35477553169781384</v>
      </c>
      <c r="R113" s="7">
        <v>-3.7389465018433654E-3</v>
      </c>
      <c r="T113" s="7">
        <v>84.653465346534659</v>
      </c>
      <c r="U113" s="7">
        <v>0.35103658519597047</v>
      </c>
    </row>
    <row r="114" spans="16:21" x14ac:dyDescent="0.25">
      <c r="P114" s="7">
        <v>87</v>
      </c>
      <c r="Q114" s="7">
        <v>0.36431806262019939</v>
      </c>
      <c r="R114" s="7">
        <v>-1.0888089106046328E-2</v>
      </c>
      <c r="T114" s="7">
        <v>85.643564356435647</v>
      </c>
      <c r="U114" s="7">
        <v>0.35342997351415306</v>
      </c>
    </row>
    <row r="115" spans="16:21" x14ac:dyDescent="0.25">
      <c r="P115" s="7">
        <v>88</v>
      </c>
      <c r="Q115" s="7">
        <v>0.37386059354258494</v>
      </c>
      <c r="R115" s="7">
        <v>-1.6830594633287621E-2</v>
      </c>
      <c r="T115" s="7">
        <v>86.633663366336634</v>
      </c>
      <c r="U115" s="7">
        <v>0.35702999890929732</v>
      </c>
    </row>
    <row r="116" spans="16:21" x14ac:dyDescent="0.25">
      <c r="P116" s="7">
        <v>89</v>
      </c>
      <c r="Q116" s="7">
        <v>0.38340312446497049</v>
      </c>
      <c r="R116" s="7">
        <v>-1.9493161644285495E-2</v>
      </c>
      <c r="T116" s="7">
        <v>87.623762376237622</v>
      </c>
      <c r="U116" s="7">
        <v>0.363909962820685</v>
      </c>
    </row>
    <row r="117" spans="16:21" x14ac:dyDescent="0.25">
      <c r="P117" s="7">
        <v>90</v>
      </c>
      <c r="Q117" s="7">
        <v>0.39294565538735604</v>
      </c>
      <c r="R117" s="7">
        <v>-2.7645535934729182E-2</v>
      </c>
      <c r="T117" s="7">
        <v>88.613861386138623</v>
      </c>
      <c r="U117" s="7">
        <v>0.36530011945262686</v>
      </c>
    </row>
    <row r="118" spans="16:21" x14ac:dyDescent="0.25">
      <c r="P118" s="7">
        <v>91</v>
      </c>
      <c r="Q118" s="7">
        <v>0.40248818630974159</v>
      </c>
      <c r="R118" s="7">
        <v>-2.9132700263093225E-2</v>
      </c>
      <c r="T118" s="7">
        <v>89.603960396039611</v>
      </c>
      <c r="U118" s="7">
        <v>0.37335548604664837</v>
      </c>
    </row>
    <row r="119" spans="16:21" x14ac:dyDescent="0.25">
      <c r="P119" s="7">
        <v>92</v>
      </c>
      <c r="Q119" s="7">
        <v>0.41203071723212714</v>
      </c>
      <c r="R119" s="7">
        <v>-2.7664497531517451E-2</v>
      </c>
      <c r="T119" s="7">
        <v>90.594059405940598</v>
      </c>
      <c r="U119" s="7">
        <v>0.38436621970060969</v>
      </c>
    </row>
    <row r="120" spans="16:21" x14ac:dyDescent="0.25">
      <c r="P120" s="7">
        <v>93</v>
      </c>
      <c r="Q120" s="7">
        <v>0.42157324815451269</v>
      </c>
      <c r="R120" s="7">
        <v>-1.8887030828008244E-2</v>
      </c>
      <c r="T120" s="7">
        <v>91.584158415841586</v>
      </c>
      <c r="U120" s="7">
        <v>0.40268621732650445</v>
      </c>
    </row>
    <row r="121" spans="16:21" x14ac:dyDescent="0.25">
      <c r="P121" s="7">
        <v>94</v>
      </c>
      <c r="Q121" s="7">
        <v>0.43111577907689824</v>
      </c>
      <c r="R121" s="7">
        <v>-2.1728199641196433E-2</v>
      </c>
      <c r="T121" s="7">
        <v>92.574257425742573</v>
      </c>
      <c r="U121" s="7">
        <v>0.40938757943570181</v>
      </c>
    </row>
    <row r="122" spans="16:21" x14ac:dyDescent="0.25">
      <c r="P122" s="7">
        <v>95</v>
      </c>
      <c r="Q122" s="7">
        <v>0.44065830999928379</v>
      </c>
      <c r="R122" s="7">
        <v>-1.1204074527958019E-2</v>
      </c>
      <c r="T122" s="7">
        <v>93.564356435643575</v>
      </c>
      <c r="U122" s="7">
        <v>0.42945423547132577</v>
      </c>
    </row>
    <row r="123" spans="16:21" x14ac:dyDescent="0.25">
      <c r="P123" s="7">
        <v>96</v>
      </c>
      <c r="Q123" s="7">
        <v>0.45020084092166934</v>
      </c>
      <c r="R123" s="7">
        <v>-1.4947783638066259E-2</v>
      </c>
      <c r="T123" s="7">
        <v>94.554455445544562</v>
      </c>
      <c r="U123" s="7">
        <v>0.43525305728360308</v>
      </c>
    </row>
    <row r="124" spans="16:21" x14ac:dyDescent="0.25">
      <c r="P124" s="7">
        <v>97</v>
      </c>
      <c r="Q124" s="7">
        <v>0.45974337184405489</v>
      </c>
      <c r="R124" s="7">
        <v>-1.89189585374685E-2</v>
      </c>
      <c r="T124" s="7">
        <v>95.544554455445549</v>
      </c>
      <c r="U124" s="7">
        <v>0.44082441330658639</v>
      </c>
    </row>
    <row r="125" spans="16:21" x14ac:dyDescent="0.25">
      <c r="P125" s="7">
        <v>98</v>
      </c>
      <c r="Q125" s="7">
        <v>0.46928590276644044</v>
      </c>
      <c r="R125" s="7">
        <v>-2.3510685429808831E-2</v>
      </c>
      <c r="T125" s="7">
        <v>96.534653465346537</v>
      </c>
      <c r="U125" s="7">
        <v>0.44577521733663161</v>
      </c>
    </row>
    <row r="126" spans="16:21" x14ac:dyDescent="0.25">
      <c r="P126" s="7">
        <v>99</v>
      </c>
      <c r="Q126" s="7">
        <v>0.47882843368882599</v>
      </c>
      <c r="R126" s="7">
        <v>-2.3158533243653023E-2</v>
      </c>
      <c r="T126" s="7">
        <v>97.524752475247524</v>
      </c>
      <c r="U126" s="7">
        <v>0.45566990044517297</v>
      </c>
    </row>
    <row r="127" spans="16:21" x14ac:dyDescent="0.25">
      <c r="P127" s="7">
        <v>100</v>
      </c>
      <c r="Q127" s="7">
        <v>0.48837096461121154</v>
      </c>
      <c r="R127" s="7">
        <v>-1.6777255440577843E-2</v>
      </c>
      <c r="T127" s="7">
        <v>98.514851485148526</v>
      </c>
      <c r="U127" s="7">
        <v>0.4715937091706337</v>
      </c>
    </row>
    <row r="128" spans="16:21" ht="15.75" thickBot="1" x14ac:dyDescent="0.3">
      <c r="P128" s="8">
        <v>101</v>
      </c>
      <c r="Q128" s="8">
        <v>0.49791349553359709</v>
      </c>
      <c r="R128" s="8">
        <v>-2.4511151998156899E-2</v>
      </c>
      <c r="T128" s="8">
        <v>99.504950495049513</v>
      </c>
      <c r="U128" s="8">
        <v>0.4734023435354402</v>
      </c>
    </row>
  </sheetData>
  <sortState ref="U28:U128">
    <sortCondition ref="U2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heet14.black_scholes_delta_in_s3">
                <anchor moveWithCells="1" sizeWithCells="1">
                  <from>
                    <xdr:col>4</xdr:col>
                    <xdr:colOff>314325</xdr:colOff>
                    <xdr:row>4</xdr:row>
                    <xdr:rowOff>66675</xdr:rowOff>
                  </from>
                  <to>
                    <xdr:col>6</xdr:col>
                    <xdr:colOff>247650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104"/>
  <sheetViews>
    <sheetView workbookViewId="0"/>
  </sheetViews>
  <sheetFormatPr defaultRowHeight="15" x14ac:dyDescent="0.25"/>
  <cols>
    <col min="2" max="2" width="10.140625" bestFit="1" customWidth="1"/>
    <col min="3" max="3" width="15.140625" bestFit="1" customWidth="1"/>
    <col min="11" max="11" width="9.85546875" bestFit="1" customWidth="1"/>
    <col min="13" max="13" width="16" bestFit="1" customWidth="1"/>
  </cols>
  <sheetData>
    <row r="1" spans="1:14" x14ac:dyDescent="0.25">
      <c r="B1" t="s">
        <v>37</v>
      </c>
      <c r="C1">
        <f>'Parameter Page'!E10</f>
        <v>8812.61</v>
      </c>
      <c r="E1">
        <f>8812-5</f>
        <v>8807</v>
      </c>
      <c r="F1">
        <f>8812+5</f>
        <v>8817</v>
      </c>
    </row>
    <row r="2" spans="1:14" x14ac:dyDescent="0.25">
      <c r="C2" t="s">
        <v>36</v>
      </c>
      <c r="D2">
        <f>COUNT(B4:B104)</f>
        <v>101</v>
      </c>
      <c r="J2" t="s">
        <v>46</v>
      </c>
    </row>
    <row r="3" spans="1:14" x14ac:dyDescent="0.25">
      <c r="B3" t="s">
        <v>41</v>
      </c>
      <c r="C3" t="s">
        <v>35</v>
      </c>
      <c r="I3" t="s">
        <v>41</v>
      </c>
      <c r="J3" t="s">
        <v>35</v>
      </c>
      <c r="K3" t="s">
        <v>47</v>
      </c>
    </row>
    <row r="4" spans="1:14" x14ac:dyDescent="0.25">
      <c r="A4" t="str">
        <f>TEXT(B4,"0000.0")</f>
        <v>8807.0</v>
      </c>
      <c r="B4">
        <v>8807</v>
      </c>
      <c r="C4">
        <v>970.70075960419899</v>
      </c>
      <c r="I4" s="5" t="s">
        <v>49</v>
      </c>
      <c r="J4">
        <f>VLOOKUP(I4,$A$4:$C$104,3,0)</f>
        <v>970.71131688664138</v>
      </c>
      <c r="K4" t="s">
        <v>48</v>
      </c>
      <c r="M4" t="s">
        <v>116</v>
      </c>
      <c r="N4" s="14">
        <f>ABS(($J$6-$J$4)/$J$5)</f>
        <v>3.2414565916045105E-7</v>
      </c>
    </row>
    <row r="5" spans="1:14" x14ac:dyDescent="0.25">
      <c r="A5" t="str">
        <f t="shared" ref="A5:A68" si="0">TEXT(B5,"0000.0")</f>
        <v>8807.1</v>
      </c>
      <c r="B5">
        <f>B4+0.1</f>
        <v>8807.1</v>
      </c>
      <c r="C5">
        <v>970.70106877832609</v>
      </c>
      <c r="D5">
        <f>(C5-C4)/(B5-B4)</f>
        <v>3.0917412709528737E-3</v>
      </c>
      <c r="I5" s="5" t="s">
        <v>50</v>
      </c>
      <c r="J5">
        <f t="shared" ref="J5:J6" si="1">VLOOKUP(I5,$A$4:$C$104,3,0)</f>
        <v>970.70853588336297</v>
      </c>
      <c r="K5" s="6">
        <f>(J5-J4)/J4</f>
        <v>-2.8649128016082828E-6</v>
      </c>
      <c r="M5" t="s">
        <v>119</v>
      </c>
      <c r="N5" s="15">
        <f>ABS(($I$6-$I$4)/$I$5)</f>
        <v>2.2694777931597939E-4</v>
      </c>
    </row>
    <row r="6" spans="1:14" x14ac:dyDescent="0.25">
      <c r="A6" t="str">
        <f t="shared" si="0"/>
        <v>8807.2</v>
      </c>
      <c r="B6">
        <f t="shared" ref="B6:B69" si="2">B5+0.1</f>
        <v>8807.2000000000007</v>
      </c>
      <c r="C6">
        <v>970.70138736851993</v>
      </c>
      <c r="D6">
        <f t="shared" ref="D6:D69" si="3">(C6-C5)/(B6-B5)</f>
        <v>3.1859019384112403E-3</v>
      </c>
      <c r="I6" s="5" t="s">
        <v>51</v>
      </c>
      <c r="J6">
        <f t="shared" si="1"/>
        <v>970.7116315375996</v>
      </c>
      <c r="K6" s="6">
        <f>(J6-J5)/J5</f>
        <v>3.189066668517609E-6</v>
      </c>
      <c r="M6" t="s">
        <v>120</v>
      </c>
      <c r="N6" s="15">
        <f>N4/(2*N5)</f>
        <v>7.1414150897934777E-4</v>
      </c>
    </row>
    <row r="7" spans="1:14" x14ac:dyDescent="0.25">
      <c r="A7" t="str">
        <f t="shared" si="0"/>
        <v>8807.3</v>
      </c>
      <c r="B7">
        <f t="shared" si="2"/>
        <v>8807.3000000000011</v>
      </c>
      <c r="C7">
        <v>970.7016961726298</v>
      </c>
      <c r="D7">
        <f t="shared" si="3"/>
        <v>3.0880410986243514E-3</v>
      </c>
    </row>
    <row r="8" spans="1:14" x14ac:dyDescent="0.25">
      <c r="A8" t="str">
        <f t="shared" si="0"/>
        <v>8807.4</v>
      </c>
      <c r="B8">
        <f t="shared" si="2"/>
        <v>8807.4000000000015</v>
      </c>
      <c r="C8">
        <v>970.70087358748094</v>
      </c>
      <c r="D8">
        <f t="shared" si="3"/>
        <v>-8.2258514885025728E-3</v>
      </c>
    </row>
    <row r="9" spans="1:14" x14ac:dyDescent="0.25">
      <c r="A9" t="str">
        <f t="shared" si="0"/>
        <v>8807.5</v>
      </c>
      <c r="B9">
        <f t="shared" si="2"/>
        <v>8807.5000000000018</v>
      </c>
      <c r="C9">
        <v>970.70118168941178</v>
      </c>
      <c r="D9">
        <f t="shared" si="3"/>
        <v>3.0810193083995511E-3</v>
      </c>
    </row>
    <row r="10" spans="1:14" x14ac:dyDescent="0.25">
      <c r="A10" t="str">
        <f t="shared" si="0"/>
        <v>8807.6</v>
      </c>
      <c r="B10">
        <f t="shared" si="2"/>
        <v>8807.6000000000022</v>
      </c>
      <c r="C10">
        <v>970.69866307364407</v>
      </c>
      <c r="D10">
        <f t="shared" si="3"/>
        <v>-2.5186157677034547E-2</v>
      </c>
    </row>
    <row r="11" spans="1:14" x14ac:dyDescent="0.25">
      <c r="A11" t="str">
        <f t="shared" si="0"/>
        <v>8807.7</v>
      </c>
      <c r="B11">
        <f t="shared" si="2"/>
        <v>8807.7000000000025</v>
      </c>
      <c r="C11">
        <v>970.6989711755748</v>
      </c>
      <c r="D11">
        <f t="shared" si="3"/>
        <v>3.0810193072626827E-3</v>
      </c>
    </row>
    <row r="12" spans="1:14" x14ac:dyDescent="0.25">
      <c r="A12" t="str">
        <f t="shared" si="0"/>
        <v>8807.8</v>
      </c>
      <c r="B12">
        <f t="shared" si="2"/>
        <v>8807.8000000000029</v>
      </c>
      <c r="C12">
        <v>970.69927927750598</v>
      </c>
      <c r="D12">
        <f t="shared" si="3"/>
        <v>3.0810193118101562E-3</v>
      </c>
    </row>
    <row r="13" spans="1:14" x14ac:dyDescent="0.25">
      <c r="A13" t="str">
        <f t="shared" si="0"/>
        <v>8807.9</v>
      </c>
      <c r="B13">
        <f t="shared" si="2"/>
        <v>8807.9000000000033</v>
      </c>
      <c r="C13">
        <v>970.69958737943739</v>
      </c>
      <c r="D13">
        <f t="shared" si="3"/>
        <v>3.081019314083893E-3</v>
      </c>
    </row>
    <row r="14" spans="1:14" x14ac:dyDescent="0.25">
      <c r="A14" t="str">
        <f t="shared" si="0"/>
        <v>8808.0</v>
      </c>
      <c r="B14">
        <f t="shared" si="2"/>
        <v>8808.0000000000036</v>
      </c>
      <c r="C14">
        <v>970.6998954813688</v>
      </c>
      <c r="D14">
        <f t="shared" si="3"/>
        <v>3.081019314083893E-3</v>
      </c>
    </row>
    <row r="15" spans="1:14" x14ac:dyDescent="0.25">
      <c r="A15" t="str">
        <f t="shared" si="0"/>
        <v>8808.1</v>
      </c>
      <c r="B15">
        <f t="shared" si="2"/>
        <v>8808.100000000004</v>
      </c>
      <c r="C15">
        <v>970.70020358330055</v>
      </c>
      <c r="D15">
        <f t="shared" si="3"/>
        <v>3.0810193174944981E-3</v>
      </c>
    </row>
    <row r="16" spans="1:14" x14ac:dyDescent="0.25">
      <c r="A16" t="str">
        <f t="shared" si="0"/>
        <v>8808.2</v>
      </c>
      <c r="B16">
        <f t="shared" si="2"/>
        <v>8808.2000000000044</v>
      </c>
      <c r="C16">
        <v>970.70051168523025</v>
      </c>
      <c r="D16">
        <f t="shared" si="3"/>
        <v>3.0810192970308673E-3</v>
      </c>
    </row>
    <row r="17" spans="1:4" x14ac:dyDescent="0.25">
      <c r="A17" t="str">
        <f t="shared" si="0"/>
        <v>8808.3</v>
      </c>
      <c r="B17">
        <f t="shared" si="2"/>
        <v>8808.3000000000047</v>
      </c>
      <c r="C17">
        <v>970.700819787162</v>
      </c>
      <c r="D17">
        <f t="shared" si="3"/>
        <v>3.0810193174944981E-3</v>
      </c>
    </row>
    <row r="18" spans="1:4" x14ac:dyDescent="0.25">
      <c r="A18" t="str">
        <f t="shared" si="0"/>
        <v>8808.4</v>
      </c>
      <c r="B18">
        <f t="shared" si="2"/>
        <v>8808.4000000000051</v>
      </c>
      <c r="C18">
        <v>970.70112788909478</v>
      </c>
      <c r="D18">
        <f t="shared" si="3"/>
        <v>3.0810193277263135E-3</v>
      </c>
    </row>
    <row r="19" spans="1:4" x14ac:dyDescent="0.25">
      <c r="A19" t="str">
        <f t="shared" si="0"/>
        <v>8808.5</v>
      </c>
      <c r="B19">
        <f t="shared" si="2"/>
        <v>8808.5000000000055</v>
      </c>
      <c r="C19">
        <v>970.69926630491079</v>
      </c>
      <c r="D19">
        <f t="shared" si="3"/>
        <v>-1.8615841839778602E-2</v>
      </c>
    </row>
    <row r="20" spans="1:4" x14ac:dyDescent="0.25">
      <c r="A20" t="str">
        <f t="shared" si="0"/>
        <v>8808.6</v>
      </c>
      <c r="B20">
        <f t="shared" si="2"/>
        <v>8808.6000000000058</v>
      </c>
      <c r="C20">
        <v>970.69957440684141</v>
      </c>
      <c r="D20">
        <f t="shared" si="3"/>
        <v>3.0810193061258143E-3</v>
      </c>
    </row>
    <row r="21" spans="1:4" x14ac:dyDescent="0.25">
      <c r="A21" t="str">
        <f t="shared" si="0"/>
        <v>8808.7</v>
      </c>
      <c r="B21">
        <f t="shared" si="2"/>
        <v>8808.7000000000062</v>
      </c>
      <c r="C21">
        <v>970.69988250877259</v>
      </c>
      <c r="D21">
        <f t="shared" si="3"/>
        <v>3.0810193118101562E-3</v>
      </c>
    </row>
    <row r="22" spans="1:4" x14ac:dyDescent="0.25">
      <c r="A22" t="str">
        <f t="shared" si="0"/>
        <v>8808.8</v>
      </c>
      <c r="B22">
        <f t="shared" si="2"/>
        <v>8808.8000000000065</v>
      </c>
      <c r="C22">
        <v>970.70019061070309</v>
      </c>
      <c r="D22">
        <f t="shared" si="3"/>
        <v>3.0810193049889459E-3</v>
      </c>
    </row>
    <row r="23" spans="1:4" x14ac:dyDescent="0.25">
      <c r="A23" t="str">
        <f t="shared" si="0"/>
        <v>8808.9</v>
      </c>
      <c r="B23">
        <f t="shared" si="2"/>
        <v>8808.9000000000069</v>
      </c>
      <c r="C23">
        <v>970.70049694993611</v>
      </c>
      <c r="D23">
        <f t="shared" si="3"/>
        <v>3.0633923301936613E-3</v>
      </c>
    </row>
    <row r="24" spans="1:4" x14ac:dyDescent="0.25">
      <c r="A24" t="str">
        <f t="shared" si="0"/>
        <v>8809.0</v>
      </c>
      <c r="B24">
        <f t="shared" si="2"/>
        <v>8809.0000000000073</v>
      </c>
      <c r="C24">
        <v>970.70080317656789</v>
      </c>
      <c r="D24">
        <f t="shared" si="3"/>
        <v>3.0622663177725835E-3</v>
      </c>
    </row>
    <row r="25" spans="1:4" x14ac:dyDescent="0.25">
      <c r="A25" t="str">
        <f t="shared" si="0"/>
        <v>8809.1</v>
      </c>
      <c r="B25">
        <f t="shared" si="2"/>
        <v>8809.1000000000076</v>
      </c>
      <c r="C25">
        <v>970.70110940320194</v>
      </c>
      <c r="D25">
        <f t="shared" si="3"/>
        <v>3.0622663405099511E-3</v>
      </c>
    </row>
    <row r="26" spans="1:4" x14ac:dyDescent="0.25">
      <c r="A26" t="str">
        <f t="shared" si="0"/>
        <v>8809.2</v>
      </c>
      <c r="B26">
        <f t="shared" si="2"/>
        <v>8809.200000000008</v>
      </c>
      <c r="C26">
        <v>970.70141562983565</v>
      </c>
      <c r="D26">
        <f t="shared" si="3"/>
        <v>3.062266337099346E-3</v>
      </c>
    </row>
    <row r="27" spans="1:4" x14ac:dyDescent="0.25">
      <c r="A27" t="str">
        <f t="shared" si="0"/>
        <v>8809.3</v>
      </c>
      <c r="B27">
        <f t="shared" si="2"/>
        <v>8809.3000000000084</v>
      </c>
      <c r="C27">
        <v>970.7030423691923</v>
      </c>
      <c r="D27">
        <f t="shared" si="3"/>
        <v>1.6267393566463333E-2</v>
      </c>
    </row>
    <row r="28" spans="1:4" x14ac:dyDescent="0.25">
      <c r="A28" t="str">
        <f t="shared" si="0"/>
        <v>8809.4</v>
      </c>
      <c r="B28">
        <f t="shared" si="2"/>
        <v>8809.4000000000087</v>
      </c>
      <c r="C28">
        <v>970.70334859582431</v>
      </c>
      <c r="D28">
        <f t="shared" si="3"/>
        <v>3.0622663200463203E-3</v>
      </c>
    </row>
    <row r="29" spans="1:4" x14ac:dyDescent="0.25">
      <c r="A29" t="str">
        <f t="shared" si="0"/>
        <v>8809.5</v>
      </c>
      <c r="B29">
        <f t="shared" si="2"/>
        <v>8809.5000000000091</v>
      </c>
      <c r="C29">
        <v>970.7036548224587</v>
      </c>
      <c r="D29">
        <f t="shared" si="3"/>
        <v>3.0622663439205562E-3</v>
      </c>
    </row>
    <row r="30" spans="1:4" x14ac:dyDescent="0.25">
      <c r="A30" t="str">
        <f t="shared" si="0"/>
        <v>8809.6</v>
      </c>
      <c r="B30">
        <f t="shared" si="2"/>
        <v>8809.6000000000095</v>
      </c>
      <c r="C30">
        <v>970.70396104909298</v>
      </c>
      <c r="D30">
        <f t="shared" si="3"/>
        <v>3.0622663427836878E-3</v>
      </c>
    </row>
    <row r="31" spans="1:4" x14ac:dyDescent="0.25">
      <c r="A31" t="str">
        <f t="shared" si="0"/>
        <v>8809.7</v>
      </c>
      <c r="B31">
        <f t="shared" si="2"/>
        <v>8809.7000000000098</v>
      </c>
      <c r="C31">
        <v>970.70426727572647</v>
      </c>
      <c r="D31">
        <f t="shared" si="3"/>
        <v>3.0622663348256092E-3</v>
      </c>
    </row>
    <row r="32" spans="1:4" x14ac:dyDescent="0.25">
      <c r="A32" t="str">
        <f t="shared" si="0"/>
        <v>8809.8</v>
      </c>
      <c r="B32">
        <f t="shared" si="2"/>
        <v>8809.8000000000102</v>
      </c>
      <c r="C32">
        <v>970.70457350235972</v>
      </c>
      <c r="D32">
        <f t="shared" si="3"/>
        <v>3.0622663325518724E-3</v>
      </c>
    </row>
    <row r="33" spans="1:4" x14ac:dyDescent="0.25">
      <c r="A33" t="str">
        <f t="shared" si="0"/>
        <v>8809.9</v>
      </c>
      <c r="B33">
        <f t="shared" si="2"/>
        <v>8809.9000000000106</v>
      </c>
      <c r="C33">
        <v>970.7048797289923</v>
      </c>
      <c r="D33">
        <f t="shared" si="3"/>
        <v>3.0622663257306622E-3</v>
      </c>
    </row>
    <row r="34" spans="1:4" x14ac:dyDescent="0.25">
      <c r="A34" t="str">
        <f t="shared" si="0"/>
        <v>8810.0</v>
      </c>
      <c r="B34">
        <f t="shared" si="2"/>
        <v>8810.0000000000109</v>
      </c>
      <c r="C34">
        <v>970.70518595562612</v>
      </c>
      <c r="D34">
        <f t="shared" si="3"/>
        <v>3.0622663382362143E-3</v>
      </c>
    </row>
    <row r="35" spans="1:4" x14ac:dyDescent="0.25">
      <c r="A35" t="str">
        <f t="shared" si="0"/>
        <v>8810.1</v>
      </c>
      <c r="B35">
        <f t="shared" si="2"/>
        <v>8810.1000000000113</v>
      </c>
      <c r="C35">
        <v>970.70549218225995</v>
      </c>
      <c r="D35">
        <f t="shared" si="3"/>
        <v>3.0622663382362143E-3</v>
      </c>
    </row>
    <row r="36" spans="1:4" x14ac:dyDescent="0.25">
      <c r="A36" t="str">
        <f t="shared" si="0"/>
        <v>8810.2</v>
      </c>
      <c r="B36">
        <f t="shared" si="2"/>
        <v>8810.2000000000116</v>
      </c>
      <c r="C36">
        <v>970.70579840889422</v>
      </c>
      <c r="D36">
        <f t="shared" si="3"/>
        <v>3.0622663427836878E-3</v>
      </c>
    </row>
    <row r="37" spans="1:4" x14ac:dyDescent="0.25">
      <c r="A37" t="str">
        <f t="shared" si="0"/>
        <v>8810.3</v>
      </c>
      <c r="B37">
        <f t="shared" si="2"/>
        <v>8810.300000000012</v>
      </c>
      <c r="C37">
        <v>970.7061046355268</v>
      </c>
      <c r="D37">
        <f t="shared" si="3"/>
        <v>3.0622663257306622E-3</v>
      </c>
    </row>
    <row r="38" spans="1:4" x14ac:dyDescent="0.25">
      <c r="A38" t="str">
        <f t="shared" si="0"/>
        <v>8810.4</v>
      </c>
      <c r="B38">
        <f t="shared" si="2"/>
        <v>8810.4000000000124</v>
      </c>
      <c r="C38">
        <v>970.70641086215915</v>
      </c>
      <c r="D38">
        <f t="shared" si="3"/>
        <v>3.0622663234569254E-3</v>
      </c>
    </row>
    <row r="39" spans="1:4" x14ac:dyDescent="0.25">
      <c r="A39" t="str">
        <f t="shared" si="0"/>
        <v>8810.5</v>
      </c>
      <c r="B39">
        <f t="shared" si="2"/>
        <v>8810.5000000000127</v>
      </c>
      <c r="C39">
        <v>970.70671708879354</v>
      </c>
      <c r="D39">
        <f t="shared" si="3"/>
        <v>3.0622663439205562E-3</v>
      </c>
    </row>
    <row r="40" spans="1:4" x14ac:dyDescent="0.25">
      <c r="A40" t="str">
        <f t="shared" si="0"/>
        <v>8810.6</v>
      </c>
      <c r="B40">
        <f t="shared" si="2"/>
        <v>8810.6000000000131</v>
      </c>
      <c r="C40">
        <v>970.70703273149377</v>
      </c>
      <c r="D40">
        <f t="shared" si="3"/>
        <v>3.1564270022839758E-3</v>
      </c>
    </row>
    <row r="41" spans="1:4" x14ac:dyDescent="0.25">
      <c r="A41" t="str">
        <f t="shared" si="0"/>
        <v>8810.7</v>
      </c>
      <c r="B41">
        <f t="shared" si="2"/>
        <v>8810.7000000000135</v>
      </c>
      <c r="C41">
        <v>970.70733895812702</v>
      </c>
      <c r="D41">
        <f t="shared" si="3"/>
        <v>3.0622663325518724E-3</v>
      </c>
    </row>
    <row r="42" spans="1:4" x14ac:dyDescent="0.25">
      <c r="A42" t="str">
        <f t="shared" si="0"/>
        <v>8810.8</v>
      </c>
      <c r="B42">
        <f t="shared" si="2"/>
        <v>8810.8000000000138</v>
      </c>
      <c r="C42">
        <v>970.70764518475994</v>
      </c>
      <c r="D42">
        <f t="shared" si="3"/>
        <v>3.0622663291412673E-3</v>
      </c>
    </row>
    <row r="43" spans="1:4" x14ac:dyDescent="0.25">
      <c r="A43" t="str">
        <f t="shared" si="0"/>
        <v>8810.9</v>
      </c>
      <c r="B43">
        <f t="shared" si="2"/>
        <v>8810.9000000000142</v>
      </c>
      <c r="C43">
        <v>970.70795141139399</v>
      </c>
      <c r="D43">
        <f t="shared" si="3"/>
        <v>3.0622663405099511E-3</v>
      </c>
    </row>
    <row r="44" spans="1:4" x14ac:dyDescent="0.25">
      <c r="A44" t="str">
        <f t="shared" si="0"/>
        <v>8811.0</v>
      </c>
      <c r="B44">
        <f t="shared" si="2"/>
        <v>8811.0000000000146</v>
      </c>
      <c r="C44">
        <v>970.70825763802839</v>
      </c>
      <c r="D44">
        <f t="shared" si="3"/>
        <v>3.0622663439205562E-3</v>
      </c>
    </row>
    <row r="45" spans="1:4" x14ac:dyDescent="0.25">
      <c r="A45" t="str">
        <f t="shared" si="0"/>
        <v>8811.1</v>
      </c>
      <c r="B45">
        <f t="shared" si="2"/>
        <v>8811.1000000000149</v>
      </c>
      <c r="C45">
        <v>970.70856350818292</v>
      </c>
      <c r="D45">
        <f t="shared" si="3"/>
        <v>3.0587015453309189E-3</v>
      </c>
    </row>
    <row r="46" spans="1:4" x14ac:dyDescent="0.25">
      <c r="A46" t="str">
        <f t="shared" si="0"/>
        <v>8811.2</v>
      </c>
      <c r="B46">
        <f t="shared" si="2"/>
        <v>8811.2000000000153</v>
      </c>
      <c r="C46">
        <v>970.70886866308467</v>
      </c>
      <c r="D46">
        <f t="shared" si="3"/>
        <v>3.0515490175164759E-3</v>
      </c>
    </row>
    <row r="47" spans="1:4" x14ac:dyDescent="0.25">
      <c r="A47" t="str">
        <f t="shared" si="0"/>
        <v>8811.3</v>
      </c>
      <c r="B47">
        <f t="shared" si="2"/>
        <v>8811.3000000000156</v>
      </c>
      <c r="C47">
        <v>970.70917381798392</v>
      </c>
      <c r="D47">
        <f t="shared" si="3"/>
        <v>3.0515489925053716E-3</v>
      </c>
    </row>
    <row r="48" spans="1:4" x14ac:dyDescent="0.25">
      <c r="A48" t="str">
        <f t="shared" si="0"/>
        <v>8811.4</v>
      </c>
      <c r="B48">
        <f t="shared" si="2"/>
        <v>8811.400000000016</v>
      </c>
      <c r="C48">
        <v>970.71070657683867</v>
      </c>
      <c r="D48">
        <f t="shared" si="3"/>
        <v>1.532758854745106E-2</v>
      </c>
    </row>
    <row r="49" spans="1:4" x14ac:dyDescent="0.25">
      <c r="A49" t="str">
        <f t="shared" si="0"/>
        <v>8811.5</v>
      </c>
      <c r="B49">
        <f t="shared" si="2"/>
        <v>8811.5000000000164</v>
      </c>
      <c r="C49">
        <v>970.71101173174043</v>
      </c>
      <c r="D49">
        <f t="shared" si="3"/>
        <v>3.0515490175164759E-3</v>
      </c>
    </row>
    <row r="50" spans="1:4" x14ac:dyDescent="0.25">
      <c r="A50" t="str">
        <f t="shared" si="0"/>
        <v>8811.6</v>
      </c>
      <c r="B50">
        <f t="shared" si="2"/>
        <v>8811.6000000000167</v>
      </c>
      <c r="C50">
        <v>970.71131688664138</v>
      </c>
      <c r="D50">
        <f t="shared" si="3"/>
        <v>3.0515490095583972E-3</v>
      </c>
    </row>
    <row r="51" spans="1:4" x14ac:dyDescent="0.25">
      <c r="A51" t="str">
        <f t="shared" si="0"/>
        <v>8811.7</v>
      </c>
      <c r="B51">
        <f t="shared" si="2"/>
        <v>8811.7000000000171</v>
      </c>
      <c r="C51">
        <v>970.71162204154314</v>
      </c>
      <c r="D51">
        <f t="shared" si="3"/>
        <v>3.0515490175164759E-3</v>
      </c>
    </row>
    <row r="52" spans="1:4" x14ac:dyDescent="0.25">
      <c r="A52" t="str">
        <f t="shared" si="0"/>
        <v>8811.8</v>
      </c>
      <c r="B52">
        <f t="shared" si="2"/>
        <v>8811.8000000000175</v>
      </c>
      <c r="C52">
        <v>970.71192719644262</v>
      </c>
      <c r="D52">
        <f t="shared" si="3"/>
        <v>3.0515489947791083E-3</v>
      </c>
    </row>
    <row r="53" spans="1:4" x14ac:dyDescent="0.25">
      <c r="A53" t="str">
        <f t="shared" si="0"/>
        <v>8811.9</v>
      </c>
      <c r="B53">
        <f t="shared" si="2"/>
        <v>8811.9000000000178</v>
      </c>
      <c r="C53">
        <v>970.7069189893665</v>
      </c>
      <c r="D53">
        <f t="shared" si="3"/>
        <v>-5.0082070760981583E-2</v>
      </c>
    </row>
    <row r="54" spans="1:4" x14ac:dyDescent="0.25">
      <c r="A54" t="str">
        <f t="shared" si="0"/>
        <v>8812.0</v>
      </c>
      <c r="B54">
        <f t="shared" si="2"/>
        <v>8812.0000000000182</v>
      </c>
      <c r="C54">
        <v>970.70670495395723</v>
      </c>
      <c r="D54">
        <f t="shared" si="3"/>
        <v>-2.1403540927089474E-3</v>
      </c>
    </row>
    <row r="55" spans="1:4" x14ac:dyDescent="0.25">
      <c r="A55" t="str">
        <f t="shared" si="0"/>
        <v>8812.1</v>
      </c>
      <c r="B55">
        <f t="shared" si="2"/>
        <v>8812.1000000000186</v>
      </c>
      <c r="C55">
        <v>970.70701010885819</v>
      </c>
      <c r="D55">
        <f t="shared" si="3"/>
        <v>3.0515490095583972E-3</v>
      </c>
    </row>
    <row r="56" spans="1:4" x14ac:dyDescent="0.25">
      <c r="A56" t="str">
        <f t="shared" si="0"/>
        <v>8812.2</v>
      </c>
      <c r="B56">
        <f t="shared" si="2"/>
        <v>8812.2000000000189</v>
      </c>
      <c r="C56">
        <v>970.70731526375971</v>
      </c>
      <c r="D56">
        <f t="shared" si="3"/>
        <v>3.0515490152427391E-3</v>
      </c>
    </row>
    <row r="57" spans="1:4" x14ac:dyDescent="0.25">
      <c r="A57" t="str">
        <f t="shared" si="0"/>
        <v>8812.3</v>
      </c>
      <c r="B57">
        <f t="shared" si="2"/>
        <v>8812.3000000000193</v>
      </c>
      <c r="C57">
        <v>970.70762041866078</v>
      </c>
      <c r="D57">
        <f t="shared" si="3"/>
        <v>3.0515490106952656E-3</v>
      </c>
    </row>
    <row r="58" spans="1:4" x14ac:dyDescent="0.25">
      <c r="A58" t="str">
        <f t="shared" si="0"/>
        <v>8812.4</v>
      </c>
      <c r="B58">
        <f t="shared" si="2"/>
        <v>8812.4000000000196</v>
      </c>
      <c r="C58">
        <v>970.70792557356106</v>
      </c>
      <c r="D58">
        <f t="shared" si="3"/>
        <v>3.051549002737187E-3</v>
      </c>
    </row>
    <row r="59" spans="1:4" x14ac:dyDescent="0.25">
      <c r="A59" t="str">
        <f t="shared" si="0"/>
        <v>8812.5</v>
      </c>
      <c r="B59">
        <f t="shared" si="2"/>
        <v>8812.50000000002</v>
      </c>
      <c r="C59">
        <v>970.70823072846179</v>
      </c>
      <c r="D59">
        <f t="shared" si="3"/>
        <v>3.0515490072846605E-3</v>
      </c>
    </row>
    <row r="60" spans="1:4" x14ac:dyDescent="0.25">
      <c r="A60" t="str">
        <f t="shared" si="0"/>
        <v>8812.6</v>
      </c>
      <c r="B60">
        <f t="shared" si="2"/>
        <v>8812.6000000000204</v>
      </c>
      <c r="C60">
        <v>970.70853588336297</v>
      </c>
      <c r="D60">
        <f t="shared" si="3"/>
        <v>3.051549011832134E-3</v>
      </c>
    </row>
    <row r="61" spans="1:4" x14ac:dyDescent="0.25">
      <c r="A61" t="str">
        <f t="shared" si="0"/>
        <v>8812.7</v>
      </c>
      <c r="B61">
        <f t="shared" si="2"/>
        <v>8812.7000000000207</v>
      </c>
      <c r="C61">
        <v>970.70884103826404</v>
      </c>
      <c r="D61">
        <f t="shared" si="3"/>
        <v>3.0515490106952656E-3</v>
      </c>
    </row>
    <row r="62" spans="1:4" x14ac:dyDescent="0.25">
      <c r="A62" t="str">
        <f t="shared" si="0"/>
        <v>8812.8</v>
      </c>
      <c r="B62">
        <f t="shared" si="2"/>
        <v>8812.8000000000211</v>
      </c>
      <c r="C62">
        <v>970.70919224005036</v>
      </c>
      <c r="D62">
        <f t="shared" si="3"/>
        <v>3.5120178631459129E-3</v>
      </c>
    </row>
    <row r="63" spans="1:4" x14ac:dyDescent="0.25">
      <c r="A63" t="str">
        <f t="shared" si="0"/>
        <v>8812.9</v>
      </c>
      <c r="B63">
        <f t="shared" si="2"/>
        <v>8812.9000000000215</v>
      </c>
      <c r="C63">
        <v>970.70949739495325</v>
      </c>
      <c r="D63">
        <f t="shared" si="3"/>
        <v>3.0515490288851596E-3</v>
      </c>
    </row>
    <row r="64" spans="1:4" x14ac:dyDescent="0.25">
      <c r="A64" t="str">
        <f t="shared" si="0"/>
        <v>8813.0</v>
      </c>
      <c r="B64">
        <f t="shared" si="2"/>
        <v>8813.0000000000218</v>
      </c>
      <c r="C64">
        <v>970.70980254985272</v>
      </c>
      <c r="D64">
        <f t="shared" si="3"/>
        <v>3.0515489947791083E-3</v>
      </c>
    </row>
    <row r="65" spans="1:4" x14ac:dyDescent="0.25">
      <c r="A65" t="str">
        <f t="shared" si="0"/>
        <v>8813.1</v>
      </c>
      <c r="B65">
        <f t="shared" si="2"/>
        <v>8813.1000000000222</v>
      </c>
      <c r="C65">
        <v>970.71010770475391</v>
      </c>
      <c r="D65">
        <f t="shared" si="3"/>
        <v>3.051549011832134E-3</v>
      </c>
    </row>
    <row r="66" spans="1:4" x14ac:dyDescent="0.25">
      <c r="A66" t="str">
        <f t="shared" si="0"/>
        <v>8813.2</v>
      </c>
      <c r="B66">
        <f t="shared" si="2"/>
        <v>8813.2000000000226</v>
      </c>
      <c r="C66">
        <v>970.71041285965532</v>
      </c>
      <c r="D66">
        <f t="shared" si="3"/>
        <v>3.0515490141058707E-3</v>
      </c>
    </row>
    <row r="67" spans="1:4" x14ac:dyDescent="0.25">
      <c r="A67" t="str">
        <f t="shared" si="0"/>
        <v>8813.3</v>
      </c>
      <c r="B67">
        <f t="shared" si="2"/>
        <v>8813.3000000000229</v>
      </c>
      <c r="C67">
        <v>970.71071801455514</v>
      </c>
      <c r="D67">
        <f t="shared" si="3"/>
        <v>3.0515489981897135E-3</v>
      </c>
    </row>
    <row r="68" spans="1:4" x14ac:dyDescent="0.25">
      <c r="A68" t="str">
        <f t="shared" si="0"/>
        <v>8813.4</v>
      </c>
      <c r="B68">
        <f t="shared" si="2"/>
        <v>8813.4000000000233</v>
      </c>
      <c r="C68">
        <v>970.7110231694578</v>
      </c>
      <c r="D68">
        <f t="shared" si="3"/>
        <v>3.0515490266114229E-3</v>
      </c>
    </row>
    <row r="69" spans="1:4" x14ac:dyDescent="0.25">
      <c r="A69" t="str">
        <f t="shared" ref="A69:A104" si="4">TEXT(B69,"0000.0")</f>
        <v>8813.5</v>
      </c>
      <c r="B69">
        <f t="shared" si="2"/>
        <v>8813.5000000000236</v>
      </c>
      <c r="C69">
        <v>970.71132743155465</v>
      </c>
      <c r="D69">
        <f t="shared" si="3"/>
        <v>3.0426209684608963E-3</v>
      </c>
    </row>
    <row r="70" spans="1:4" x14ac:dyDescent="0.25">
      <c r="A70" t="str">
        <f t="shared" si="4"/>
        <v>8813.6</v>
      </c>
      <c r="B70">
        <f t="shared" ref="B70:B104" si="5">B69+0.1</f>
        <v>8813.600000000024</v>
      </c>
      <c r="C70">
        <v>970.7116315375996</v>
      </c>
      <c r="D70">
        <f t="shared" ref="D70:D104" si="6">(C70-C69)/(B70-B69)</f>
        <v>3.0410604494935213E-3</v>
      </c>
    </row>
    <row r="71" spans="1:4" x14ac:dyDescent="0.25">
      <c r="A71" t="str">
        <f t="shared" si="4"/>
        <v>8813.7</v>
      </c>
      <c r="B71">
        <f t="shared" si="5"/>
        <v>8813.7000000000244</v>
      </c>
      <c r="C71">
        <v>970.71193564364228</v>
      </c>
      <c r="D71">
        <f t="shared" si="6"/>
        <v>3.0410604267561538E-3</v>
      </c>
    </row>
    <row r="72" spans="1:4" x14ac:dyDescent="0.25">
      <c r="A72" t="str">
        <f t="shared" si="4"/>
        <v>8813.8</v>
      </c>
      <c r="B72">
        <f t="shared" si="5"/>
        <v>8813.8000000000247</v>
      </c>
      <c r="C72">
        <v>970.71223974968575</v>
      </c>
      <c r="D72">
        <f t="shared" si="6"/>
        <v>3.0410604347142324E-3</v>
      </c>
    </row>
    <row r="73" spans="1:4" x14ac:dyDescent="0.25">
      <c r="A73" t="str">
        <f t="shared" si="4"/>
        <v>8813.9</v>
      </c>
      <c r="B73">
        <f t="shared" si="5"/>
        <v>8813.9000000000251</v>
      </c>
      <c r="C73">
        <v>970.70691927214557</v>
      </c>
      <c r="D73">
        <f t="shared" si="6"/>
        <v>-5.3204775401615896E-2</v>
      </c>
    </row>
    <row r="74" spans="1:4" x14ac:dyDescent="0.25">
      <c r="A74" t="str">
        <f t="shared" si="4"/>
        <v>8814.0</v>
      </c>
      <c r="B74">
        <f t="shared" si="5"/>
        <v>8814.0000000000255</v>
      </c>
      <c r="C74">
        <v>970.70722337818927</v>
      </c>
      <c r="D74">
        <f t="shared" si="6"/>
        <v>3.0410604369879692E-3</v>
      </c>
    </row>
    <row r="75" spans="1:4" x14ac:dyDescent="0.25">
      <c r="A75" t="str">
        <f t="shared" si="4"/>
        <v>8814.1</v>
      </c>
      <c r="B75">
        <f t="shared" si="5"/>
        <v>8814.1000000000258</v>
      </c>
      <c r="C75">
        <v>970.70752748423308</v>
      </c>
      <c r="D75">
        <f t="shared" si="6"/>
        <v>3.0410604381248376E-3</v>
      </c>
    </row>
    <row r="76" spans="1:4" x14ac:dyDescent="0.25">
      <c r="A76" t="str">
        <f t="shared" si="4"/>
        <v>8814.2</v>
      </c>
      <c r="B76">
        <f t="shared" si="5"/>
        <v>8814.2000000000262</v>
      </c>
      <c r="C76">
        <v>970.70783159027712</v>
      </c>
      <c r="D76">
        <f t="shared" si="6"/>
        <v>3.0410604403985743E-3</v>
      </c>
    </row>
    <row r="77" spans="1:4" x14ac:dyDescent="0.25">
      <c r="A77" t="str">
        <f t="shared" si="4"/>
        <v>8814.3</v>
      </c>
      <c r="B77">
        <f t="shared" si="5"/>
        <v>8814.3000000000266</v>
      </c>
      <c r="C77">
        <v>970.70813569632128</v>
      </c>
      <c r="D77">
        <f t="shared" si="6"/>
        <v>3.0410604415354427E-3</v>
      </c>
    </row>
    <row r="78" spans="1:4" x14ac:dyDescent="0.25">
      <c r="A78" t="str">
        <f t="shared" si="4"/>
        <v>8814.4</v>
      </c>
      <c r="B78">
        <f t="shared" si="5"/>
        <v>8814.4000000000269</v>
      </c>
      <c r="C78">
        <v>970.70843980236498</v>
      </c>
      <c r="D78">
        <f t="shared" si="6"/>
        <v>3.0410604369879692E-3</v>
      </c>
    </row>
    <row r="79" spans="1:4" x14ac:dyDescent="0.25">
      <c r="A79" t="str">
        <f t="shared" si="4"/>
        <v>8814.5</v>
      </c>
      <c r="B79">
        <f t="shared" si="5"/>
        <v>8814.5000000000273</v>
      </c>
      <c r="C79">
        <v>970.70556188193098</v>
      </c>
      <c r="D79">
        <f t="shared" si="6"/>
        <v>-2.8779204339921201E-2</v>
      </c>
    </row>
    <row r="80" spans="1:4" x14ac:dyDescent="0.25">
      <c r="A80" t="str">
        <f t="shared" si="4"/>
        <v>8814.6</v>
      </c>
      <c r="B80">
        <f t="shared" si="5"/>
        <v>8814.6000000000276</v>
      </c>
      <c r="C80">
        <v>970.70586598797399</v>
      </c>
      <c r="D80">
        <f t="shared" si="6"/>
        <v>3.0410604301667589E-3</v>
      </c>
    </row>
    <row r="81" spans="1:4" x14ac:dyDescent="0.25">
      <c r="A81" t="str">
        <f t="shared" si="4"/>
        <v>8814.7</v>
      </c>
      <c r="B81">
        <f t="shared" si="5"/>
        <v>8814.700000000028</v>
      </c>
      <c r="C81">
        <v>970.70457908078015</v>
      </c>
      <c r="D81">
        <f t="shared" si="6"/>
        <v>-1.286907193839263E-2</v>
      </c>
    </row>
    <row r="82" spans="1:4" x14ac:dyDescent="0.25">
      <c r="A82" t="str">
        <f t="shared" si="4"/>
        <v>8814.8</v>
      </c>
      <c r="B82">
        <f t="shared" si="5"/>
        <v>8814.8000000000284</v>
      </c>
      <c r="C82">
        <v>970.70488318682453</v>
      </c>
      <c r="D82">
        <f t="shared" si="6"/>
        <v>3.0410604438091795E-3</v>
      </c>
    </row>
    <row r="83" spans="1:4" x14ac:dyDescent="0.25">
      <c r="A83" t="str">
        <f t="shared" si="4"/>
        <v>8814.9</v>
      </c>
      <c r="B83">
        <f t="shared" si="5"/>
        <v>8814.9000000000287</v>
      </c>
      <c r="C83">
        <v>970.70769760399821</v>
      </c>
      <c r="D83">
        <f t="shared" si="6"/>
        <v>2.8144171736710109E-2</v>
      </c>
    </row>
    <row r="84" spans="1:4" x14ac:dyDescent="0.25">
      <c r="A84" t="str">
        <f t="shared" si="4"/>
        <v>8815.0</v>
      </c>
      <c r="B84">
        <f t="shared" si="5"/>
        <v>8815.0000000000291</v>
      </c>
      <c r="C84">
        <v>970.70800171004259</v>
      </c>
      <c r="D84">
        <f t="shared" si="6"/>
        <v>3.0410604438091795E-3</v>
      </c>
    </row>
    <row r="85" spans="1:4" x14ac:dyDescent="0.25">
      <c r="A85" t="str">
        <f t="shared" si="4"/>
        <v>8815.1</v>
      </c>
      <c r="B85">
        <f t="shared" si="5"/>
        <v>8815.1000000000295</v>
      </c>
      <c r="C85">
        <v>970.70830581608516</v>
      </c>
      <c r="D85">
        <f t="shared" si="6"/>
        <v>3.0410604256192854E-3</v>
      </c>
    </row>
    <row r="86" spans="1:4" x14ac:dyDescent="0.25">
      <c r="A86" t="str">
        <f t="shared" si="4"/>
        <v>8815.2</v>
      </c>
      <c r="B86">
        <f t="shared" si="5"/>
        <v>8815.2000000000298</v>
      </c>
      <c r="C86">
        <v>970.70860992212886</v>
      </c>
      <c r="D86">
        <f t="shared" si="6"/>
        <v>3.0410604369879692E-3</v>
      </c>
    </row>
    <row r="87" spans="1:4" x14ac:dyDescent="0.25">
      <c r="A87" t="str">
        <f t="shared" si="4"/>
        <v>8815.3</v>
      </c>
      <c r="B87">
        <f t="shared" si="5"/>
        <v>8815.3000000000302</v>
      </c>
      <c r="C87">
        <v>970.70891402817381</v>
      </c>
      <c r="D87">
        <f t="shared" si="6"/>
        <v>3.0410604494935213E-3</v>
      </c>
    </row>
    <row r="88" spans="1:4" x14ac:dyDescent="0.25">
      <c r="A88" t="str">
        <f t="shared" si="4"/>
        <v>8815.4</v>
      </c>
      <c r="B88">
        <f t="shared" si="5"/>
        <v>8815.4000000000306</v>
      </c>
      <c r="C88">
        <v>970.70921813421614</v>
      </c>
      <c r="D88">
        <f t="shared" si="6"/>
        <v>3.0410604233455487E-3</v>
      </c>
    </row>
    <row r="89" spans="1:4" x14ac:dyDescent="0.25">
      <c r="A89" t="str">
        <f t="shared" si="4"/>
        <v>8815.5</v>
      </c>
      <c r="B89">
        <f t="shared" si="5"/>
        <v>8815.5000000000309</v>
      </c>
      <c r="C89">
        <v>970.70952224026053</v>
      </c>
      <c r="D89">
        <f t="shared" si="6"/>
        <v>3.0410604438091795E-3</v>
      </c>
    </row>
    <row r="90" spans="1:4" x14ac:dyDescent="0.25">
      <c r="A90" t="str">
        <f t="shared" si="4"/>
        <v>8815.6</v>
      </c>
      <c r="B90">
        <f t="shared" si="5"/>
        <v>8815.6000000000313</v>
      </c>
      <c r="C90">
        <v>970.7098263463032</v>
      </c>
      <c r="D90">
        <f t="shared" si="6"/>
        <v>3.0410604267561538E-3</v>
      </c>
    </row>
    <row r="91" spans="1:4" x14ac:dyDescent="0.25">
      <c r="A91" t="str">
        <f t="shared" si="4"/>
        <v>8815.7</v>
      </c>
      <c r="B91">
        <f t="shared" si="5"/>
        <v>8815.7000000000317</v>
      </c>
      <c r="C91">
        <v>970.71013045234781</v>
      </c>
      <c r="D91">
        <f t="shared" si="6"/>
        <v>3.0410604460829162E-3</v>
      </c>
    </row>
    <row r="92" spans="1:4" x14ac:dyDescent="0.25">
      <c r="A92" t="str">
        <f t="shared" si="4"/>
        <v>8815.8</v>
      </c>
      <c r="B92">
        <f t="shared" si="5"/>
        <v>8815.800000000032</v>
      </c>
      <c r="C92">
        <v>970.71043455839185</v>
      </c>
      <c r="D92">
        <f t="shared" si="6"/>
        <v>3.0410604403985743E-3</v>
      </c>
    </row>
    <row r="93" spans="1:4" x14ac:dyDescent="0.25">
      <c r="A93" t="str">
        <f t="shared" si="4"/>
        <v>8815.9</v>
      </c>
      <c r="B93">
        <f t="shared" si="5"/>
        <v>8815.9000000000324</v>
      </c>
      <c r="C93">
        <v>970.70861680848964</v>
      </c>
      <c r="D93">
        <f t="shared" si="6"/>
        <v>-1.8177499022092244E-2</v>
      </c>
    </row>
    <row r="94" spans="1:4" x14ac:dyDescent="0.25">
      <c r="A94" t="str">
        <f t="shared" si="4"/>
        <v>8816.0</v>
      </c>
      <c r="B94">
        <f t="shared" si="5"/>
        <v>8816.0000000000327</v>
      </c>
      <c r="C94">
        <v>970.70892091453322</v>
      </c>
      <c r="D94">
        <f t="shared" si="6"/>
        <v>3.0410604358511008E-3</v>
      </c>
    </row>
    <row r="95" spans="1:4" x14ac:dyDescent="0.25">
      <c r="A95" t="str">
        <f t="shared" si="4"/>
        <v>8816.1</v>
      </c>
      <c r="B95">
        <f t="shared" si="5"/>
        <v>8816.1000000000331</v>
      </c>
      <c r="C95">
        <v>970.70922502057726</v>
      </c>
      <c r="D95">
        <f t="shared" si="6"/>
        <v>3.0410604403985743E-3</v>
      </c>
    </row>
    <row r="96" spans="1:4" x14ac:dyDescent="0.25">
      <c r="A96" t="str">
        <f t="shared" si="4"/>
        <v>8816.2</v>
      </c>
      <c r="B96">
        <f t="shared" si="5"/>
        <v>8816.2000000000335</v>
      </c>
      <c r="C96">
        <v>970.70952912662221</v>
      </c>
      <c r="D96">
        <f t="shared" si="6"/>
        <v>3.0410604494935213E-3</v>
      </c>
    </row>
    <row r="97" spans="1:4" x14ac:dyDescent="0.25">
      <c r="A97" t="str">
        <f t="shared" si="4"/>
        <v>8816.3</v>
      </c>
      <c r="B97">
        <f t="shared" si="5"/>
        <v>8816.3000000000338</v>
      </c>
      <c r="C97">
        <v>970.70983323266535</v>
      </c>
      <c r="D97">
        <f t="shared" si="6"/>
        <v>3.0410604313036273E-3</v>
      </c>
    </row>
    <row r="98" spans="1:4" x14ac:dyDescent="0.25">
      <c r="A98" t="str">
        <f t="shared" si="4"/>
        <v>8816.4</v>
      </c>
      <c r="B98">
        <f t="shared" si="5"/>
        <v>8816.4000000000342</v>
      </c>
      <c r="C98">
        <v>970.71013733870939</v>
      </c>
      <c r="D98">
        <f t="shared" si="6"/>
        <v>3.0410604403985743E-3</v>
      </c>
    </row>
    <row r="99" spans="1:4" x14ac:dyDescent="0.25">
      <c r="A99" t="str">
        <f t="shared" si="4"/>
        <v>8816.5</v>
      </c>
      <c r="B99">
        <f t="shared" si="5"/>
        <v>8816.5000000000346</v>
      </c>
      <c r="C99">
        <v>970.71044144475195</v>
      </c>
      <c r="D99">
        <f t="shared" si="6"/>
        <v>3.0410604256192854E-3</v>
      </c>
    </row>
    <row r="100" spans="1:4" x14ac:dyDescent="0.25">
      <c r="A100" t="str">
        <f t="shared" si="4"/>
        <v>8816.6</v>
      </c>
      <c r="B100">
        <f t="shared" si="5"/>
        <v>8816.6000000000349</v>
      </c>
      <c r="C100">
        <v>970.7107455507952</v>
      </c>
      <c r="D100">
        <f t="shared" si="6"/>
        <v>3.0410604324404957E-3</v>
      </c>
    </row>
    <row r="101" spans="1:4" x14ac:dyDescent="0.25">
      <c r="A101" t="str">
        <f t="shared" si="4"/>
        <v>8816.7</v>
      </c>
      <c r="B101">
        <f t="shared" si="5"/>
        <v>8816.7000000000353</v>
      </c>
      <c r="C101">
        <v>970.70939960279634</v>
      </c>
      <c r="D101">
        <f t="shared" si="6"/>
        <v>-1.3459479988520035E-2</v>
      </c>
    </row>
    <row r="102" spans="1:4" x14ac:dyDescent="0.25">
      <c r="A102" t="str">
        <f t="shared" si="4"/>
        <v>8816.8</v>
      </c>
      <c r="B102">
        <f t="shared" si="5"/>
        <v>8816.8000000000357</v>
      </c>
      <c r="C102">
        <v>970.71094052217154</v>
      </c>
      <c r="D102">
        <f t="shared" si="6"/>
        <v>1.5409193751964598E-2</v>
      </c>
    </row>
    <row r="103" spans="1:4" x14ac:dyDescent="0.25">
      <c r="A103" t="str">
        <f t="shared" si="4"/>
        <v>8816.9</v>
      </c>
      <c r="B103">
        <f t="shared" si="5"/>
        <v>8816.900000000036</v>
      </c>
      <c r="C103">
        <v>970.71124462821535</v>
      </c>
      <c r="D103">
        <f t="shared" si="6"/>
        <v>3.0410604381248376E-3</v>
      </c>
    </row>
    <row r="104" spans="1:4" x14ac:dyDescent="0.25">
      <c r="A104" t="str">
        <f t="shared" si="4"/>
        <v>8817.0</v>
      </c>
      <c r="B104">
        <f t="shared" si="5"/>
        <v>8817.0000000000364</v>
      </c>
      <c r="C104">
        <v>970.71154873425905</v>
      </c>
      <c r="D104">
        <f t="shared" si="6"/>
        <v>3.0410604369879692E-3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Sheet4.black_scholes_sensitivity_in_s2">
                <anchor moveWithCells="1" sizeWithCells="1">
                  <from>
                    <xdr:col>3</xdr:col>
                    <xdr:colOff>600075</xdr:colOff>
                    <xdr:row>4</xdr:row>
                    <xdr:rowOff>0</xdr:rowOff>
                  </from>
                  <to>
                    <xdr:col>6</xdr:col>
                    <xdr:colOff>114300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04"/>
  <sheetViews>
    <sheetView workbookViewId="0"/>
  </sheetViews>
  <sheetFormatPr defaultRowHeight="15" x14ac:dyDescent="0.25"/>
  <cols>
    <col min="2" max="2" width="10.140625" bestFit="1" customWidth="1"/>
    <col min="3" max="3" width="15.140625" bestFit="1" customWidth="1"/>
    <col min="10" max="10" width="15.140625" bestFit="1" customWidth="1"/>
    <col min="11" max="11" width="12" bestFit="1" customWidth="1"/>
  </cols>
  <sheetData>
    <row r="1" spans="1:14" x14ac:dyDescent="0.25">
      <c r="B1" t="s">
        <v>43</v>
      </c>
      <c r="C1">
        <f>'Parameter Page'!H10</f>
        <v>7000.89</v>
      </c>
      <c r="E1">
        <f>7001-5</f>
        <v>6996</v>
      </c>
      <c r="F1">
        <f>7001+5</f>
        <v>7006</v>
      </c>
    </row>
    <row r="2" spans="1:14" x14ac:dyDescent="0.25">
      <c r="C2" t="s">
        <v>36</v>
      </c>
      <c r="D2">
        <f>COUNT(B4:B104)</f>
        <v>101</v>
      </c>
      <c r="J2" t="s">
        <v>46</v>
      </c>
    </row>
    <row r="3" spans="1:14" x14ac:dyDescent="0.25">
      <c r="B3" t="s">
        <v>44</v>
      </c>
      <c r="C3" t="s">
        <v>35</v>
      </c>
      <c r="I3" t="s">
        <v>44</v>
      </c>
      <c r="J3" t="s">
        <v>35</v>
      </c>
      <c r="K3" t="s">
        <v>47</v>
      </c>
    </row>
    <row r="4" spans="1:14" x14ac:dyDescent="0.25">
      <c r="A4" t="str">
        <f>TEXT(B4,"0000.0")</f>
        <v>6996.0</v>
      </c>
      <c r="B4" s="4">
        <f>E1</f>
        <v>6996</v>
      </c>
      <c r="C4">
        <v>987.57474023364102</v>
      </c>
      <c r="I4" s="5" t="s">
        <v>52</v>
      </c>
      <c r="J4">
        <f>VLOOKUP(I4,$A$4:$C$104,3,0)</f>
        <v>987.59317129501937</v>
      </c>
      <c r="K4" t="s">
        <v>48</v>
      </c>
      <c r="M4" t="s">
        <v>116</v>
      </c>
      <c r="N4" s="14">
        <f>ABS(($J$6-$J$4)/$J$5)</f>
        <v>1.4448310826469207E-5</v>
      </c>
    </row>
    <row r="5" spans="1:14" x14ac:dyDescent="0.25">
      <c r="A5" t="str">
        <f t="shared" ref="A5:A68" si="0">TEXT(B5,"0000.0")</f>
        <v>6996.1</v>
      </c>
      <c r="B5" s="4">
        <f>B4+0.1</f>
        <v>6996.1</v>
      </c>
      <c r="C5">
        <v>987.57544191994441</v>
      </c>
      <c r="D5">
        <f>(C5-C4)/(B5-B4)</f>
        <v>7.0168630338429761E-3</v>
      </c>
      <c r="I5" s="5" t="s">
        <v>53</v>
      </c>
      <c r="J5">
        <f t="shared" ref="J5:J6" si="1">VLOOKUP(I5,$A$4:$C$104,3,0)</f>
        <v>987.60047046312229</v>
      </c>
      <c r="K5" s="6">
        <f>(J5-J4)/J4</f>
        <v>7.3908653027102858E-6</v>
      </c>
      <c r="M5" t="s">
        <v>121</v>
      </c>
      <c r="N5" s="15">
        <f>ABS(($I$6-$I$4)/$I$5)</f>
        <v>2.8567755574283307E-4</v>
      </c>
    </row>
    <row r="6" spans="1:14" x14ac:dyDescent="0.25">
      <c r="A6" t="str">
        <f t="shared" si="0"/>
        <v>6996.2</v>
      </c>
      <c r="B6" s="4">
        <f t="shared" ref="B6:B69" si="2">B5+0.1</f>
        <v>6996.2000000000007</v>
      </c>
      <c r="C6">
        <v>987.57614360625348</v>
      </c>
      <c r="D6">
        <f t="shared" ref="D6:D69" si="3">(C6-C5)/(B6-B5)</f>
        <v>7.0168630906863949E-3</v>
      </c>
      <c r="I6" s="5" t="s">
        <v>54</v>
      </c>
      <c r="J6">
        <f t="shared" si="1"/>
        <v>987.60744045358899</v>
      </c>
      <c r="K6" s="6">
        <f>(J6-J5)/J5</f>
        <v>7.0575001482451219E-6</v>
      </c>
      <c r="M6" t="s">
        <v>122</v>
      </c>
      <c r="N6" s="15">
        <f>N4/(2*N5)</f>
        <v>2.5287794816257068E-2</v>
      </c>
    </row>
    <row r="7" spans="1:14" x14ac:dyDescent="0.25">
      <c r="A7" t="str">
        <f t="shared" si="0"/>
        <v>6996.3</v>
      </c>
      <c r="B7" s="4">
        <f t="shared" si="2"/>
        <v>6996.3000000000011</v>
      </c>
      <c r="C7">
        <v>987.57684529255914</v>
      </c>
      <c r="D7">
        <f t="shared" si="3"/>
        <v>7.0168630565803436E-3</v>
      </c>
    </row>
    <row r="8" spans="1:14" x14ac:dyDescent="0.25">
      <c r="A8" t="str">
        <f t="shared" si="0"/>
        <v>6996.4</v>
      </c>
      <c r="B8" s="4">
        <f t="shared" si="2"/>
        <v>6996.4000000000015</v>
      </c>
      <c r="C8">
        <v>987.57754697886719</v>
      </c>
      <c r="D8">
        <f t="shared" si="3"/>
        <v>7.0168630804545796E-3</v>
      </c>
    </row>
    <row r="9" spans="1:14" x14ac:dyDescent="0.25">
      <c r="A9" t="str">
        <f t="shared" si="0"/>
        <v>6996.5</v>
      </c>
      <c r="B9" s="4">
        <f t="shared" si="2"/>
        <v>6996.5000000000018</v>
      </c>
      <c r="C9">
        <v>987.57824866517069</v>
      </c>
      <c r="D9">
        <f t="shared" si="3"/>
        <v>7.0168630349798445E-3</v>
      </c>
    </row>
    <row r="10" spans="1:14" x14ac:dyDescent="0.25">
      <c r="A10" t="str">
        <f t="shared" si="0"/>
        <v>6996.6</v>
      </c>
      <c r="B10" s="4">
        <f t="shared" si="2"/>
        <v>6996.6000000000022</v>
      </c>
      <c r="C10">
        <v>987.5789503514759</v>
      </c>
      <c r="D10">
        <f t="shared" si="3"/>
        <v>7.0168630520328701E-3</v>
      </c>
    </row>
    <row r="11" spans="1:14" x14ac:dyDescent="0.25">
      <c r="A11" t="str">
        <f t="shared" si="0"/>
        <v>6996.7</v>
      </c>
      <c r="B11" s="4">
        <f t="shared" si="2"/>
        <v>6996.7000000000025</v>
      </c>
      <c r="C11">
        <v>987.57965203778178</v>
      </c>
      <c r="D11">
        <f t="shared" si="3"/>
        <v>7.0168630588540804E-3</v>
      </c>
    </row>
    <row r="12" spans="1:14" x14ac:dyDescent="0.25">
      <c r="A12" t="str">
        <f t="shared" si="0"/>
        <v>6996.8</v>
      </c>
      <c r="B12" s="4">
        <f t="shared" si="2"/>
        <v>6996.8000000000029</v>
      </c>
      <c r="C12">
        <v>987.58035372409086</v>
      </c>
      <c r="D12">
        <f t="shared" si="3"/>
        <v>7.0168630906863949E-3</v>
      </c>
    </row>
    <row r="13" spans="1:14" x14ac:dyDescent="0.25">
      <c r="A13" t="str">
        <f t="shared" si="0"/>
        <v>6996.9</v>
      </c>
      <c r="B13" s="4">
        <f t="shared" si="2"/>
        <v>6996.9000000000033</v>
      </c>
      <c r="C13">
        <v>987.58105452208451</v>
      </c>
      <c r="D13">
        <f t="shared" si="3"/>
        <v>7.0079799365630312E-3</v>
      </c>
    </row>
    <row r="14" spans="1:14" x14ac:dyDescent="0.25">
      <c r="A14" t="str">
        <f t="shared" si="0"/>
        <v>6997.0</v>
      </c>
      <c r="B14" s="4">
        <f t="shared" si="2"/>
        <v>6997.0000000000036</v>
      </c>
      <c r="C14">
        <v>987.58175221371266</v>
      </c>
      <c r="D14">
        <f t="shared" si="3"/>
        <v>6.9769162814482958E-3</v>
      </c>
    </row>
    <row r="15" spans="1:14" x14ac:dyDescent="0.25">
      <c r="A15" t="str">
        <f t="shared" si="0"/>
        <v>6997.1</v>
      </c>
      <c r="B15" s="4">
        <f t="shared" si="2"/>
        <v>6997.100000000004</v>
      </c>
      <c r="C15">
        <v>987.58244990533728</v>
      </c>
      <c r="D15">
        <f t="shared" si="3"/>
        <v>6.9769162462053761E-3</v>
      </c>
    </row>
    <row r="16" spans="1:14" x14ac:dyDescent="0.25">
      <c r="A16" t="str">
        <f t="shared" si="0"/>
        <v>6997.2</v>
      </c>
      <c r="B16" s="4">
        <f t="shared" si="2"/>
        <v>6997.2000000000044</v>
      </c>
      <c r="C16">
        <v>987.58314759696714</v>
      </c>
      <c r="D16">
        <f t="shared" si="3"/>
        <v>6.9769162985013214E-3</v>
      </c>
    </row>
    <row r="17" spans="1:4" x14ac:dyDescent="0.25">
      <c r="A17" t="str">
        <f t="shared" si="0"/>
        <v>6997.3</v>
      </c>
      <c r="B17" s="4">
        <f t="shared" si="2"/>
        <v>6997.3000000000047</v>
      </c>
      <c r="C17">
        <v>987.5838452885971</v>
      </c>
      <c r="D17">
        <f t="shared" si="3"/>
        <v>6.9769162996381898E-3</v>
      </c>
    </row>
    <row r="18" spans="1:4" x14ac:dyDescent="0.25">
      <c r="A18" t="str">
        <f t="shared" si="0"/>
        <v>6997.4</v>
      </c>
      <c r="B18" s="4">
        <f t="shared" si="2"/>
        <v>6997.4000000000051</v>
      </c>
      <c r="C18">
        <v>987.58454298022548</v>
      </c>
      <c r="D18">
        <f t="shared" si="3"/>
        <v>6.9769162837220325E-3</v>
      </c>
    </row>
    <row r="19" spans="1:4" x14ac:dyDescent="0.25">
      <c r="A19" t="str">
        <f t="shared" si="0"/>
        <v>6997.5</v>
      </c>
      <c r="B19" s="4">
        <f t="shared" si="2"/>
        <v>6997.5000000000055</v>
      </c>
      <c r="C19">
        <v>987.58524067185306</v>
      </c>
      <c r="D19">
        <f t="shared" si="3"/>
        <v>6.9769162757639539E-3</v>
      </c>
    </row>
    <row r="20" spans="1:4" x14ac:dyDescent="0.25">
      <c r="A20" t="str">
        <f t="shared" si="0"/>
        <v>6997.6</v>
      </c>
      <c r="B20" s="4">
        <f t="shared" si="2"/>
        <v>6997.6000000000058</v>
      </c>
      <c r="C20">
        <v>987.5859383634812</v>
      </c>
      <c r="D20">
        <f t="shared" si="3"/>
        <v>6.9769162814482958E-3</v>
      </c>
    </row>
    <row r="21" spans="1:4" x14ac:dyDescent="0.25">
      <c r="A21" t="str">
        <f t="shared" si="0"/>
        <v>6997.7</v>
      </c>
      <c r="B21" s="4">
        <f t="shared" si="2"/>
        <v>6997.7000000000062</v>
      </c>
      <c r="C21">
        <v>987.58663605510844</v>
      </c>
      <c r="D21">
        <f t="shared" si="3"/>
        <v>6.9769162723533487E-3</v>
      </c>
    </row>
    <row r="22" spans="1:4" x14ac:dyDescent="0.25">
      <c r="A22" t="str">
        <f t="shared" si="0"/>
        <v>6997.8</v>
      </c>
      <c r="B22" s="4">
        <f t="shared" si="2"/>
        <v>6997.8000000000065</v>
      </c>
      <c r="C22">
        <v>987.58733374673864</v>
      </c>
      <c r="D22">
        <f t="shared" si="3"/>
        <v>6.9769163019119266E-3</v>
      </c>
    </row>
    <row r="23" spans="1:4" x14ac:dyDescent="0.25">
      <c r="A23" t="str">
        <f t="shared" si="0"/>
        <v>6997.9</v>
      </c>
      <c r="B23" s="4">
        <f t="shared" si="2"/>
        <v>6997.9000000000069</v>
      </c>
      <c r="C23">
        <v>987.58749355457519</v>
      </c>
      <c r="D23">
        <f t="shared" si="3"/>
        <v>1.5980783655264602E-3</v>
      </c>
    </row>
    <row r="24" spans="1:4" x14ac:dyDescent="0.25">
      <c r="A24" t="str">
        <f t="shared" si="0"/>
        <v>6998.0</v>
      </c>
      <c r="B24" s="4">
        <f t="shared" si="2"/>
        <v>6998.0000000000073</v>
      </c>
      <c r="C24">
        <v>987.58819124620436</v>
      </c>
      <c r="D24">
        <f t="shared" si="3"/>
        <v>6.9769162916801112E-3</v>
      </c>
    </row>
    <row r="25" spans="1:4" x14ac:dyDescent="0.25">
      <c r="A25" t="str">
        <f t="shared" si="0"/>
        <v>6998.1</v>
      </c>
      <c r="B25" s="4">
        <f t="shared" si="2"/>
        <v>6998.1000000000076</v>
      </c>
      <c r="C25">
        <v>987.58888806778521</v>
      </c>
      <c r="D25">
        <f t="shared" si="3"/>
        <v>6.9682158084307293E-3</v>
      </c>
    </row>
    <row r="26" spans="1:4" x14ac:dyDescent="0.25">
      <c r="A26" t="str">
        <f t="shared" si="0"/>
        <v>6998.2</v>
      </c>
      <c r="B26" s="4">
        <f t="shared" si="2"/>
        <v>6998.200000000008</v>
      </c>
      <c r="C26">
        <v>987.58958441002051</v>
      </c>
      <c r="D26">
        <f t="shared" si="3"/>
        <v>6.9634223529848405E-3</v>
      </c>
    </row>
    <row r="27" spans="1:4" x14ac:dyDescent="0.25">
      <c r="A27" t="str">
        <f t="shared" si="0"/>
        <v>6998.3</v>
      </c>
      <c r="B27" s="4">
        <f t="shared" si="2"/>
        <v>6998.3000000000084</v>
      </c>
      <c r="C27">
        <v>987.59028075225456</v>
      </c>
      <c r="D27">
        <f t="shared" si="3"/>
        <v>6.9634223404792884E-3</v>
      </c>
    </row>
    <row r="28" spans="1:4" x14ac:dyDescent="0.25">
      <c r="A28" t="str">
        <f t="shared" si="0"/>
        <v>6998.4</v>
      </c>
      <c r="B28" s="4">
        <f t="shared" si="2"/>
        <v>6998.4000000000087</v>
      </c>
      <c r="C28">
        <v>987.59097709448906</v>
      </c>
      <c r="D28">
        <f t="shared" si="3"/>
        <v>6.9634223450267619E-3</v>
      </c>
    </row>
    <row r="29" spans="1:4" x14ac:dyDescent="0.25">
      <c r="A29" t="str">
        <f t="shared" si="0"/>
        <v>6998.5</v>
      </c>
      <c r="B29" s="4">
        <f t="shared" si="2"/>
        <v>6998.5000000000091</v>
      </c>
      <c r="C29">
        <v>987.59167343672232</v>
      </c>
      <c r="D29">
        <f t="shared" si="3"/>
        <v>6.9634223325212097E-3</v>
      </c>
    </row>
    <row r="30" spans="1:4" x14ac:dyDescent="0.25">
      <c r="A30" t="str">
        <f t="shared" si="0"/>
        <v>6998.6</v>
      </c>
      <c r="B30" s="4">
        <f t="shared" si="2"/>
        <v>6998.6000000000095</v>
      </c>
      <c r="C30">
        <v>987.5923697789583</v>
      </c>
      <c r="D30">
        <f t="shared" si="3"/>
        <v>6.9634223598060508E-3</v>
      </c>
    </row>
    <row r="31" spans="1:4" x14ac:dyDescent="0.25">
      <c r="A31" t="str">
        <f t="shared" si="0"/>
        <v>6998.7</v>
      </c>
      <c r="B31" s="4">
        <f t="shared" si="2"/>
        <v>6998.7000000000098</v>
      </c>
      <c r="C31">
        <v>987.59306612119144</v>
      </c>
      <c r="D31">
        <f t="shared" si="3"/>
        <v>6.9634223313843413E-3</v>
      </c>
    </row>
    <row r="32" spans="1:4" x14ac:dyDescent="0.25">
      <c r="A32" t="str">
        <f t="shared" si="0"/>
        <v>6998.8</v>
      </c>
      <c r="B32" s="4">
        <f t="shared" si="2"/>
        <v>6998.8000000000102</v>
      </c>
      <c r="C32">
        <v>987.59376246342447</v>
      </c>
      <c r="D32">
        <f t="shared" si="3"/>
        <v>6.963422330247473E-3</v>
      </c>
    </row>
    <row r="33" spans="1:4" x14ac:dyDescent="0.25">
      <c r="A33" t="str">
        <f t="shared" si="0"/>
        <v>6998.9</v>
      </c>
      <c r="B33" s="4">
        <f t="shared" si="2"/>
        <v>6998.9000000000106</v>
      </c>
      <c r="C33">
        <v>987.59445880565954</v>
      </c>
      <c r="D33">
        <f t="shared" si="3"/>
        <v>6.9634223507111037E-3</v>
      </c>
    </row>
    <row r="34" spans="1:4" x14ac:dyDescent="0.25">
      <c r="A34" t="str">
        <f t="shared" si="0"/>
        <v>6999.0</v>
      </c>
      <c r="B34" s="4">
        <f t="shared" si="2"/>
        <v>6999.0000000000109</v>
      </c>
      <c r="C34">
        <v>987.59515514789518</v>
      </c>
      <c r="D34">
        <f t="shared" si="3"/>
        <v>6.9634223563954456E-3</v>
      </c>
    </row>
    <row r="35" spans="1:4" x14ac:dyDescent="0.25">
      <c r="A35" t="str">
        <f t="shared" si="0"/>
        <v>6999.1</v>
      </c>
      <c r="B35" s="4">
        <f t="shared" si="2"/>
        <v>6999.1000000000113</v>
      </c>
      <c r="C35">
        <v>987.59585149013026</v>
      </c>
      <c r="D35">
        <f t="shared" si="3"/>
        <v>6.9634223507111037E-3</v>
      </c>
    </row>
    <row r="36" spans="1:4" x14ac:dyDescent="0.25">
      <c r="A36" t="str">
        <f t="shared" si="0"/>
        <v>6999.2</v>
      </c>
      <c r="B36" s="4">
        <f t="shared" si="2"/>
        <v>6999.2000000000116</v>
      </c>
      <c r="C36">
        <v>987.59654783236431</v>
      </c>
      <c r="D36">
        <f t="shared" si="3"/>
        <v>6.9634223404792884E-3</v>
      </c>
    </row>
    <row r="37" spans="1:4" x14ac:dyDescent="0.25">
      <c r="A37" t="str">
        <f t="shared" si="0"/>
        <v>6999.3</v>
      </c>
      <c r="B37" s="4">
        <f t="shared" si="2"/>
        <v>6999.300000000012</v>
      </c>
      <c r="C37">
        <v>987.59724417459813</v>
      </c>
      <c r="D37">
        <f t="shared" si="3"/>
        <v>6.9634223382055516E-3</v>
      </c>
    </row>
    <row r="38" spans="1:4" x14ac:dyDescent="0.25">
      <c r="A38" t="str">
        <f t="shared" si="0"/>
        <v>6999.4</v>
      </c>
      <c r="B38" s="4">
        <f t="shared" si="2"/>
        <v>6999.4000000000124</v>
      </c>
      <c r="C38">
        <v>987.59794051683127</v>
      </c>
      <c r="D38">
        <f t="shared" si="3"/>
        <v>6.9634223313843413E-3</v>
      </c>
    </row>
    <row r="39" spans="1:4" x14ac:dyDescent="0.25">
      <c r="A39" t="str">
        <f t="shared" si="0"/>
        <v>6999.5</v>
      </c>
      <c r="B39" s="4">
        <f t="shared" si="2"/>
        <v>6999.5000000000127</v>
      </c>
      <c r="C39">
        <v>987.59863685906657</v>
      </c>
      <c r="D39">
        <f t="shared" si="3"/>
        <v>6.9634223529848405E-3</v>
      </c>
    </row>
    <row r="40" spans="1:4" x14ac:dyDescent="0.25">
      <c r="A40" t="str">
        <f t="shared" si="0"/>
        <v>6999.6</v>
      </c>
      <c r="B40" s="4">
        <f t="shared" si="2"/>
        <v>6999.6000000000131</v>
      </c>
      <c r="C40">
        <v>987.59933320130108</v>
      </c>
      <c r="D40">
        <f t="shared" si="3"/>
        <v>6.9634223450267619E-3</v>
      </c>
    </row>
    <row r="41" spans="1:4" x14ac:dyDescent="0.25">
      <c r="A41" t="str">
        <f t="shared" si="0"/>
        <v>6999.7</v>
      </c>
      <c r="B41" s="4">
        <f t="shared" si="2"/>
        <v>6999.7000000000135</v>
      </c>
      <c r="C41">
        <v>987.60002954353411</v>
      </c>
      <c r="D41">
        <f t="shared" si="3"/>
        <v>6.963422330247473E-3</v>
      </c>
    </row>
    <row r="42" spans="1:4" x14ac:dyDescent="0.25">
      <c r="A42" t="str">
        <f t="shared" si="0"/>
        <v>6999.8</v>
      </c>
      <c r="B42" s="4">
        <f t="shared" si="2"/>
        <v>6999.8000000000138</v>
      </c>
      <c r="C42">
        <v>987.59247495278294</v>
      </c>
      <c r="D42">
        <f t="shared" si="3"/>
        <v>-7.5545907511421151E-2</v>
      </c>
    </row>
    <row r="43" spans="1:4" x14ac:dyDescent="0.25">
      <c r="A43" t="str">
        <f t="shared" si="0"/>
        <v>6999.9</v>
      </c>
      <c r="B43" s="4">
        <f t="shared" si="2"/>
        <v>6999.9000000000142</v>
      </c>
      <c r="C43">
        <v>987.59317129501937</v>
      </c>
      <c r="D43">
        <f t="shared" si="3"/>
        <v>6.9634223643535243E-3</v>
      </c>
    </row>
    <row r="44" spans="1:4" x14ac:dyDescent="0.25">
      <c r="A44" t="str">
        <f t="shared" si="0"/>
        <v>7000.0</v>
      </c>
      <c r="B44" s="4">
        <f t="shared" si="2"/>
        <v>7000.0000000000146</v>
      </c>
      <c r="C44">
        <v>987.59170440270407</v>
      </c>
      <c r="D44">
        <f t="shared" si="3"/>
        <v>-1.4668923153013861E-2</v>
      </c>
    </row>
    <row r="45" spans="1:4" x14ac:dyDescent="0.25">
      <c r="A45" t="str">
        <f t="shared" si="0"/>
        <v>7000.1</v>
      </c>
      <c r="B45" s="4">
        <f t="shared" si="2"/>
        <v>7000.1000000000149</v>
      </c>
      <c r="C45">
        <v>987.59240074493994</v>
      </c>
      <c r="D45">
        <f t="shared" si="3"/>
        <v>6.9634223586691824E-3</v>
      </c>
    </row>
    <row r="46" spans="1:4" x14ac:dyDescent="0.25">
      <c r="A46" t="str">
        <f t="shared" si="0"/>
        <v>7000.2</v>
      </c>
      <c r="B46" s="4">
        <f t="shared" si="2"/>
        <v>7000.2000000000153</v>
      </c>
      <c r="C46">
        <v>987.59309708717478</v>
      </c>
      <c r="D46">
        <f t="shared" si="3"/>
        <v>6.963422348437367E-3</v>
      </c>
    </row>
    <row r="47" spans="1:4" x14ac:dyDescent="0.25">
      <c r="A47" t="str">
        <f t="shared" si="0"/>
        <v>7000.3</v>
      </c>
      <c r="B47" s="4">
        <f t="shared" si="2"/>
        <v>7000.3000000000156</v>
      </c>
      <c r="C47">
        <v>987.59379342940758</v>
      </c>
      <c r="D47">
        <f t="shared" si="3"/>
        <v>6.9634223279737362E-3</v>
      </c>
    </row>
    <row r="48" spans="1:4" x14ac:dyDescent="0.25">
      <c r="A48" t="str">
        <f t="shared" si="0"/>
        <v>7000.4</v>
      </c>
      <c r="B48" s="4">
        <f t="shared" si="2"/>
        <v>7000.400000000016</v>
      </c>
      <c r="C48">
        <v>987.59448977164288</v>
      </c>
      <c r="D48">
        <f t="shared" si="3"/>
        <v>6.9634223529848405E-3</v>
      </c>
    </row>
    <row r="49" spans="1:4" x14ac:dyDescent="0.25">
      <c r="A49" t="str">
        <f t="shared" si="0"/>
        <v>7000.5</v>
      </c>
      <c r="B49" s="4">
        <f t="shared" si="2"/>
        <v>7000.5000000000164</v>
      </c>
      <c r="C49">
        <v>987.59518611387568</v>
      </c>
      <c r="D49">
        <f t="shared" si="3"/>
        <v>6.9634223279737362E-3</v>
      </c>
    </row>
    <row r="50" spans="1:4" x14ac:dyDescent="0.25">
      <c r="A50" t="str">
        <f t="shared" si="0"/>
        <v>7000.6</v>
      </c>
      <c r="B50" s="4">
        <f t="shared" si="2"/>
        <v>7000.6000000000167</v>
      </c>
      <c r="C50">
        <v>987.59837435750205</v>
      </c>
      <c r="D50">
        <f t="shared" si="3"/>
        <v>3.1882436263570041E-2</v>
      </c>
    </row>
    <row r="51" spans="1:4" x14ac:dyDescent="0.25">
      <c r="A51" t="str">
        <f t="shared" si="0"/>
        <v>7000.7</v>
      </c>
      <c r="B51" s="4">
        <f t="shared" si="2"/>
        <v>7000.7000000000171</v>
      </c>
      <c r="C51">
        <v>987.59907069973588</v>
      </c>
      <c r="D51">
        <f t="shared" si="3"/>
        <v>6.9634223382055516E-3</v>
      </c>
    </row>
    <row r="52" spans="1:4" x14ac:dyDescent="0.25">
      <c r="A52" t="str">
        <f t="shared" si="0"/>
        <v>7000.8</v>
      </c>
      <c r="B52" s="4">
        <f t="shared" si="2"/>
        <v>7000.8000000000175</v>
      </c>
      <c r="C52">
        <v>987.59976626038281</v>
      </c>
      <c r="D52">
        <f t="shared" si="3"/>
        <v>6.9556064692935047E-3</v>
      </c>
    </row>
    <row r="53" spans="1:4" x14ac:dyDescent="0.25">
      <c r="A53" t="str">
        <f t="shared" si="0"/>
        <v>7000.9</v>
      </c>
      <c r="B53" s="4">
        <f t="shared" si="2"/>
        <v>7000.9000000000178</v>
      </c>
      <c r="C53">
        <v>987.60047046312229</v>
      </c>
      <c r="D53">
        <f t="shared" si="3"/>
        <v>7.0420273948200995E-3</v>
      </c>
    </row>
    <row r="54" spans="1:4" x14ac:dyDescent="0.25">
      <c r="A54" t="str">
        <f t="shared" si="0"/>
        <v>7001.0</v>
      </c>
      <c r="B54" s="4">
        <f t="shared" si="2"/>
        <v>7001.0000000000182</v>
      </c>
      <c r="C54">
        <v>987.60116545648464</v>
      </c>
      <c r="D54">
        <f t="shared" si="3"/>
        <v>6.9499336234204751E-3</v>
      </c>
    </row>
    <row r="55" spans="1:4" x14ac:dyDescent="0.25">
      <c r="A55" t="str">
        <f t="shared" si="0"/>
        <v>7001.1</v>
      </c>
      <c r="B55" s="4">
        <f t="shared" si="2"/>
        <v>7001.1000000000186</v>
      </c>
      <c r="C55">
        <v>987.60190788337377</v>
      </c>
      <c r="D55">
        <f t="shared" si="3"/>
        <v>7.4242688913002917E-3</v>
      </c>
    </row>
    <row r="56" spans="1:4" x14ac:dyDescent="0.25">
      <c r="A56" t="str">
        <f t="shared" si="0"/>
        <v>7001.2</v>
      </c>
      <c r="B56" s="4">
        <f t="shared" si="2"/>
        <v>7001.2000000000189</v>
      </c>
      <c r="C56">
        <v>987.60260287673634</v>
      </c>
      <c r="D56">
        <f t="shared" si="3"/>
        <v>6.9499336256942119E-3</v>
      </c>
    </row>
    <row r="57" spans="1:4" x14ac:dyDescent="0.25">
      <c r="A57" t="str">
        <f t="shared" si="0"/>
        <v>7001.3</v>
      </c>
      <c r="B57" s="4">
        <f t="shared" si="2"/>
        <v>7001.3000000000193</v>
      </c>
      <c r="C57">
        <v>987.60329787009778</v>
      </c>
      <c r="D57">
        <f t="shared" si="3"/>
        <v>6.9499336143255281E-3</v>
      </c>
    </row>
    <row r="58" spans="1:4" x14ac:dyDescent="0.25">
      <c r="A58" t="str">
        <f t="shared" si="0"/>
        <v>7001.4</v>
      </c>
      <c r="B58" s="4">
        <f t="shared" si="2"/>
        <v>7001.4000000000196</v>
      </c>
      <c r="C58">
        <v>987.60399246172051</v>
      </c>
      <c r="D58">
        <f t="shared" si="3"/>
        <v>6.9459162272980544E-3</v>
      </c>
    </row>
    <row r="59" spans="1:4" x14ac:dyDescent="0.25">
      <c r="A59" t="str">
        <f t="shared" si="0"/>
        <v>7001.5</v>
      </c>
      <c r="B59" s="4">
        <f t="shared" si="2"/>
        <v>7001.50000000002</v>
      </c>
      <c r="C59">
        <v>987.60468206009409</v>
      </c>
      <c r="D59">
        <f t="shared" si="3"/>
        <v>6.895983735805581E-3</v>
      </c>
    </row>
    <row r="60" spans="1:4" x14ac:dyDescent="0.25">
      <c r="A60" t="str">
        <f t="shared" si="0"/>
        <v>7001.6</v>
      </c>
      <c r="B60" s="4">
        <f t="shared" si="2"/>
        <v>7001.6000000000204</v>
      </c>
      <c r="C60">
        <v>987.60537165846699</v>
      </c>
      <c r="D60">
        <f t="shared" si="3"/>
        <v>6.8959837289843708E-3</v>
      </c>
    </row>
    <row r="61" spans="1:4" x14ac:dyDescent="0.25">
      <c r="A61" t="str">
        <f t="shared" si="0"/>
        <v>7001.7</v>
      </c>
      <c r="B61" s="4">
        <f t="shared" si="2"/>
        <v>7001.7000000000207</v>
      </c>
      <c r="C61">
        <v>987.60606125684205</v>
      </c>
      <c r="D61">
        <f t="shared" si="3"/>
        <v>6.8959837505848699E-3</v>
      </c>
    </row>
    <row r="62" spans="1:4" x14ac:dyDescent="0.25">
      <c r="A62" t="str">
        <f t="shared" si="0"/>
        <v>7001.8</v>
      </c>
      <c r="B62" s="4">
        <f t="shared" si="2"/>
        <v>7001.8000000000211</v>
      </c>
      <c r="C62">
        <v>987.60675085521495</v>
      </c>
      <c r="D62">
        <f t="shared" si="3"/>
        <v>6.8959837289843708E-3</v>
      </c>
    </row>
    <row r="63" spans="1:4" x14ac:dyDescent="0.25">
      <c r="A63" t="str">
        <f t="shared" si="0"/>
        <v>7001.9</v>
      </c>
      <c r="B63" s="4">
        <f t="shared" si="2"/>
        <v>7001.9000000000215</v>
      </c>
      <c r="C63">
        <v>987.60744045358899</v>
      </c>
      <c r="D63">
        <f t="shared" si="3"/>
        <v>6.8959837403530545E-3</v>
      </c>
    </row>
    <row r="64" spans="1:4" x14ac:dyDescent="0.25">
      <c r="A64" t="str">
        <f t="shared" si="0"/>
        <v>7002.0</v>
      </c>
      <c r="B64" s="4">
        <f t="shared" si="2"/>
        <v>7002.0000000000218</v>
      </c>
      <c r="C64">
        <v>987.60812908342939</v>
      </c>
      <c r="D64">
        <f t="shared" si="3"/>
        <v>6.8862984039446519E-3</v>
      </c>
    </row>
    <row r="65" spans="1:4" x14ac:dyDescent="0.25">
      <c r="A65" t="str">
        <f t="shared" si="0"/>
        <v>7002.1</v>
      </c>
      <c r="B65" s="4">
        <f t="shared" si="2"/>
        <v>7002.1000000000222</v>
      </c>
      <c r="C65">
        <v>987.60881733315875</v>
      </c>
      <c r="D65">
        <f t="shared" si="3"/>
        <v>6.8824972936203906E-3</v>
      </c>
    </row>
    <row r="66" spans="1:4" x14ac:dyDescent="0.25">
      <c r="A66" t="str">
        <f t="shared" si="0"/>
        <v>7002.2</v>
      </c>
      <c r="B66" s="4">
        <f t="shared" si="2"/>
        <v>7002.2000000000226</v>
      </c>
      <c r="C66">
        <v>987.60950558288982</v>
      </c>
      <c r="D66">
        <f t="shared" si="3"/>
        <v>6.8824973106734163E-3</v>
      </c>
    </row>
    <row r="67" spans="1:4" x14ac:dyDescent="0.25">
      <c r="A67" t="str">
        <f t="shared" si="0"/>
        <v>7002.3</v>
      </c>
      <c r="B67" s="4">
        <f t="shared" si="2"/>
        <v>7002.3000000000229</v>
      </c>
      <c r="C67">
        <v>987.6101938326218</v>
      </c>
      <c r="D67">
        <f t="shared" si="3"/>
        <v>6.8824973197683633E-3</v>
      </c>
    </row>
    <row r="68" spans="1:4" x14ac:dyDescent="0.25">
      <c r="A68" t="str">
        <f t="shared" si="0"/>
        <v>7002.4</v>
      </c>
      <c r="B68" s="4">
        <f t="shared" si="2"/>
        <v>7002.4000000000233</v>
      </c>
      <c r="C68">
        <v>987.61088208234935</v>
      </c>
      <c r="D68">
        <f t="shared" si="3"/>
        <v>6.8824972754304966E-3</v>
      </c>
    </row>
    <row r="69" spans="1:4" x14ac:dyDescent="0.25">
      <c r="A69" t="str">
        <f t="shared" ref="A69:A104" si="4">TEXT(B69,"0000.0")</f>
        <v>7002.5</v>
      </c>
      <c r="B69" s="4">
        <f t="shared" si="2"/>
        <v>7002.5000000000236</v>
      </c>
      <c r="C69">
        <v>987.61164400709629</v>
      </c>
      <c r="D69">
        <f t="shared" si="3"/>
        <v>7.6192474693648577E-3</v>
      </c>
    </row>
    <row r="70" spans="1:4" x14ac:dyDescent="0.25">
      <c r="A70" t="str">
        <f t="shared" si="4"/>
        <v>7002.6</v>
      </c>
      <c r="B70" s="4">
        <f t="shared" ref="B70:B104" si="5">B69+0.1</f>
        <v>7002.600000000024</v>
      </c>
      <c r="C70">
        <v>987.62229986239515</v>
      </c>
      <c r="D70">
        <f t="shared" ref="D70:D104" si="6">(C70-C69)/(B70-B69)</f>
        <v>0.10655855298825714</v>
      </c>
    </row>
    <row r="71" spans="1:4" x14ac:dyDescent="0.25">
      <c r="A71" t="str">
        <f t="shared" si="4"/>
        <v>7002.7</v>
      </c>
      <c r="B71" s="4">
        <f t="shared" si="5"/>
        <v>7002.7000000000244</v>
      </c>
      <c r="C71">
        <v>987.62298811212645</v>
      </c>
      <c r="D71">
        <f t="shared" si="6"/>
        <v>6.882497312947153E-3</v>
      </c>
    </row>
    <row r="72" spans="1:4" x14ac:dyDescent="0.25">
      <c r="A72" t="str">
        <f t="shared" si="4"/>
        <v>7002.8</v>
      </c>
      <c r="B72" s="4">
        <f t="shared" si="5"/>
        <v>7002.8000000000247</v>
      </c>
      <c r="C72">
        <v>987.62367636185502</v>
      </c>
      <c r="D72">
        <f t="shared" si="6"/>
        <v>6.882497285662312E-3</v>
      </c>
    </row>
    <row r="73" spans="1:4" x14ac:dyDescent="0.25">
      <c r="A73" t="str">
        <f t="shared" si="4"/>
        <v>7002.9</v>
      </c>
      <c r="B73" s="4">
        <f t="shared" si="5"/>
        <v>7002.9000000000251</v>
      </c>
      <c r="C73">
        <v>987.62436461158427</v>
      </c>
      <c r="D73">
        <f t="shared" si="6"/>
        <v>6.8824972924835222E-3</v>
      </c>
    </row>
    <row r="74" spans="1:4" x14ac:dyDescent="0.25">
      <c r="A74" t="str">
        <f t="shared" si="4"/>
        <v>7003.0</v>
      </c>
      <c r="B74" s="4">
        <f t="shared" si="5"/>
        <v>7003.0000000000255</v>
      </c>
      <c r="C74">
        <v>987.62505286131341</v>
      </c>
      <c r="D74">
        <f t="shared" si="6"/>
        <v>6.8824972913466538E-3</v>
      </c>
    </row>
    <row r="75" spans="1:4" x14ac:dyDescent="0.25">
      <c r="A75" t="str">
        <f t="shared" si="4"/>
        <v>7003.1</v>
      </c>
      <c r="B75" s="4">
        <f t="shared" si="5"/>
        <v>7003.1000000000258</v>
      </c>
      <c r="C75">
        <v>987.62574111104391</v>
      </c>
      <c r="D75">
        <f t="shared" si="6"/>
        <v>6.8824973049890744E-3</v>
      </c>
    </row>
    <row r="76" spans="1:4" x14ac:dyDescent="0.25">
      <c r="A76" t="str">
        <f t="shared" si="4"/>
        <v>7003.2</v>
      </c>
      <c r="B76" s="4">
        <f t="shared" si="5"/>
        <v>7003.2000000000262</v>
      </c>
      <c r="C76">
        <v>987.62642936077293</v>
      </c>
      <c r="D76">
        <f t="shared" si="6"/>
        <v>6.8824972902097855E-3</v>
      </c>
    </row>
    <row r="77" spans="1:4" x14ac:dyDescent="0.25">
      <c r="A77" t="str">
        <f t="shared" si="4"/>
        <v>7003.3</v>
      </c>
      <c r="B77" s="4">
        <f t="shared" si="5"/>
        <v>7003.3000000000266</v>
      </c>
      <c r="C77">
        <v>987.62230695588414</v>
      </c>
      <c r="D77">
        <f t="shared" si="6"/>
        <v>-4.1224048887747909E-2</v>
      </c>
    </row>
    <row r="78" spans="1:4" x14ac:dyDescent="0.25">
      <c r="A78" t="str">
        <f t="shared" si="4"/>
        <v>7003.4</v>
      </c>
      <c r="B78" s="4">
        <f t="shared" si="5"/>
        <v>7003.4000000000269</v>
      </c>
      <c r="C78">
        <v>987.62299520561157</v>
      </c>
      <c r="D78">
        <f t="shared" si="6"/>
        <v>6.8824972742936282E-3</v>
      </c>
    </row>
    <row r="79" spans="1:4" x14ac:dyDescent="0.25">
      <c r="A79" t="str">
        <f t="shared" si="4"/>
        <v>7003.5</v>
      </c>
      <c r="B79" s="4">
        <f t="shared" si="5"/>
        <v>7003.5000000000273</v>
      </c>
      <c r="C79">
        <v>987.62368345534435</v>
      </c>
      <c r="D79">
        <f t="shared" si="6"/>
        <v>6.8824973277264419E-3</v>
      </c>
    </row>
    <row r="80" spans="1:4" x14ac:dyDescent="0.25">
      <c r="A80" t="str">
        <f t="shared" si="4"/>
        <v>7003.6</v>
      </c>
      <c r="B80" s="4">
        <f t="shared" si="5"/>
        <v>7003.6000000000276</v>
      </c>
      <c r="C80">
        <v>987.62437119943058</v>
      </c>
      <c r="D80">
        <f t="shared" si="6"/>
        <v>6.8774408623289585E-3</v>
      </c>
    </row>
    <row r="81" spans="1:4" x14ac:dyDescent="0.25">
      <c r="A81" t="str">
        <f t="shared" si="4"/>
        <v>7003.7</v>
      </c>
      <c r="B81" s="4">
        <f t="shared" si="5"/>
        <v>7003.700000000028</v>
      </c>
      <c r="C81">
        <v>987.61479967851517</v>
      </c>
      <c r="D81">
        <f t="shared" si="6"/>
        <v>-9.5715209153802008E-2</v>
      </c>
    </row>
    <row r="82" spans="1:4" x14ac:dyDescent="0.25">
      <c r="A82" t="str">
        <f t="shared" si="4"/>
        <v>7003.8</v>
      </c>
      <c r="B82" s="4">
        <f t="shared" si="5"/>
        <v>7003.8000000000284</v>
      </c>
      <c r="C82">
        <v>987.61551482811672</v>
      </c>
      <c r="D82">
        <f t="shared" si="6"/>
        <v>7.1514960154412562E-3</v>
      </c>
    </row>
    <row r="83" spans="1:4" x14ac:dyDescent="0.25">
      <c r="A83" t="str">
        <f t="shared" si="4"/>
        <v>7003.9</v>
      </c>
      <c r="B83" s="4">
        <f t="shared" si="5"/>
        <v>7003.9000000000287</v>
      </c>
      <c r="C83">
        <v>987.6162017295178</v>
      </c>
      <c r="D83">
        <f t="shared" si="6"/>
        <v>6.8690140107924196E-3</v>
      </c>
    </row>
    <row r="84" spans="1:4" x14ac:dyDescent="0.25">
      <c r="A84" t="str">
        <f t="shared" si="4"/>
        <v>7004.0</v>
      </c>
      <c r="B84" s="4">
        <f t="shared" si="5"/>
        <v>7004.0000000000291</v>
      </c>
      <c r="C84">
        <v>987.61688863091877</v>
      </c>
      <c r="D84">
        <f t="shared" si="6"/>
        <v>6.8690140096555512E-3</v>
      </c>
    </row>
    <row r="85" spans="1:4" x14ac:dyDescent="0.25">
      <c r="A85" t="str">
        <f t="shared" si="4"/>
        <v>7004.1</v>
      </c>
      <c r="B85" s="4">
        <f t="shared" si="5"/>
        <v>7004.1000000000295</v>
      </c>
      <c r="C85">
        <v>987.61757553231882</v>
      </c>
      <c r="D85">
        <f t="shared" si="6"/>
        <v>6.8690140005606042E-3</v>
      </c>
    </row>
    <row r="86" spans="1:4" x14ac:dyDescent="0.25">
      <c r="A86" t="str">
        <f t="shared" si="4"/>
        <v>7004.2</v>
      </c>
      <c r="B86" s="4">
        <f t="shared" si="5"/>
        <v>7004.2000000000298</v>
      </c>
      <c r="C86">
        <v>987.61826243372207</v>
      </c>
      <c r="D86">
        <f t="shared" si="6"/>
        <v>6.8690140323929188E-3</v>
      </c>
    </row>
    <row r="87" spans="1:4" x14ac:dyDescent="0.25">
      <c r="A87" t="str">
        <f t="shared" si="4"/>
        <v>7004.3</v>
      </c>
      <c r="B87" s="4">
        <f t="shared" si="5"/>
        <v>7004.3000000000302</v>
      </c>
      <c r="C87">
        <v>987.61894933512031</v>
      </c>
      <c r="D87">
        <f t="shared" si="6"/>
        <v>6.8690139823707102E-3</v>
      </c>
    </row>
    <row r="88" spans="1:4" x14ac:dyDescent="0.25">
      <c r="A88" t="str">
        <f t="shared" si="4"/>
        <v>7004.4</v>
      </c>
      <c r="B88" s="4">
        <f t="shared" si="5"/>
        <v>7004.4000000000306</v>
      </c>
      <c r="C88">
        <v>987.61963623652252</v>
      </c>
      <c r="D88">
        <f t="shared" si="6"/>
        <v>6.8690140221611034E-3</v>
      </c>
    </row>
    <row r="89" spans="1:4" x14ac:dyDescent="0.25">
      <c r="A89" t="str">
        <f t="shared" si="4"/>
        <v>7004.5</v>
      </c>
      <c r="B89" s="4">
        <f t="shared" si="5"/>
        <v>7004.5000000000309</v>
      </c>
      <c r="C89">
        <v>987.62032313792463</v>
      </c>
      <c r="D89">
        <f t="shared" si="6"/>
        <v>6.869014021024235E-3</v>
      </c>
    </row>
    <row r="90" spans="1:4" x14ac:dyDescent="0.25">
      <c r="A90" t="str">
        <f t="shared" si="4"/>
        <v>7004.6</v>
      </c>
      <c r="B90" s="4">
        <f t="shared" si="5"/>
        <v>7004.6000000000313</v>
      </c>
      <c r="C90">
        <v>987.62101003932412</v>
      </c>
      <c r="D90">
        <f t="shared" si="6"/>
        <v>6.8690139948762623E-3</v>
      </c>
    </row>
    <row r="91" spans="1:4" x14ac:dyDescent="0.25">
      <c r="A91" t="str">
        <f t="shared" si="4"/>
        <v>7004.7</v>
      </c>
      <c r="B91" s="4">
        <f t="shared" si="5"/>
        <v>7004.7000000000317</v>
      </c>
      <c r="C91">
        <v>987.62169694072441</v>
      </c>
      <c r="D91">
        <f t="shared" si="6"/>
        <v>6.8690140028343409E-3</v>
      </c>
    </row>
    <row r="92" spans="1:4" x14ac:dyDescent="0.25">
      <c r="A92" t="str">
        <f t="shared" si="4"/>
        <v>7004.8</v>
      </c>
      <c r="B92" s="4">
        <f t="shared" si="5"/>
        <v>7004.800000000032</v>
      </c>
      <c r="C92">
        <v>987.62242066160377</v>
      </c>
      <c r="D92">
        <f t="shared" si="6"/>
        <v>7.2372087936137643E-3</v>
      </c>
    </row>
    <row r="93" spans="1:4" x14ac:dyDescent="0.25">
      <c r="A93" t="str">
        <f t="shared" si="4"/>
        <v>7004.9</v>
      </c>
      <c r="B93" s="4">
        <f t="shared" si="5"/>
        <v>7004.9000000000324</v>
      </c>
      <c r="C93">
        <v>987.62310756300508</v>
      </c>
      <c r="D93">
        <f t="shared" si="6"/>
        <v>6.8690140130661563E-3</v>
      </c>
    </row>
    <row r="94" spans="1:4" x14ac:dyDescent="0.25">
      <c r="A94" t="str">
        <f t="shared" si="4"/>
        <v>7005.0</v>
      </c>
      <c r="B94" s="4">
        <f t="shared" si="5"/>
        <v>7005.0000000000327</v>
      </c>
      <c r="C94">
        <v>987.62379446440571</v>
      </c>
      <c r="D94">
        <f t="shared" si="6"/>
        <v>6.8690140062449461E-3</v>
      </c>
    </row>
    <row r="95" spans="1:4" x14ac:dyDescent="0.25">
      <c r="A95" t="str">
        <f t="shared" si="4"/>
        <v>7005.1</v>
      </c>
      <c r="B95" s="4">
        <f t="shared" si="5"/>
        <v>7005.1000000000331</v>
      </c>
      <c r="C95">
        <v>987.62452879933596</v>
      </c>
      <c r="D95">
        <f t="shared" si="6"/>
        <v>7.343349302546473E-3</v>
      </c>
    </row>
    <row r="96" spans="1:4" x14ac:dyDescent="0.25">
      <c r="A96" t="str">
        <f t="shared" si="4"/>
        <v>7005.2</v>
      </c>
      <c r="B96" s="4">
        <f t="shared" si="5"/>
        <v>7005.2000000000335</v>
      </c>
      <c r="C96">
        <v>987.62521570073659</v>
      </c>
      <c r="D96">
        <f t="shared" si="6"/>
        <v>6.8690140062449461E-3</v>
      </c>
    </row>
    <row r="97" spans="1:4" x14ac:dyDescent="0.25">
      <c r="A97" t="str">
        <f t="shared" si="4"/>
        <v>7005.3</v>
      </c>
      <c r="B97" s="4">
        <f t="shared" si="5"/>
        <v>7005.3000000000338</v>
      </c>
      <c r="C97">
        <v>987.62590260213926</v>
      </c>
      <c r="D97">
        <f t="shared" si="6"/>
        <v>6.8690140267085769E-3</v>
      </c>
    </row>
    <row r="98" spans="1:4" x14ac:dyDescent="0.25">
      <c r="A98" t="str">
        <f t="shared" si="4"/>
        <v>7005.4</v>
      </c>
      <c r="B98" s="4">
        <f t="shared" si="5"/>
        <v>7005.4000000000342</v>
      </c>
      <c r="C98">
        <v>987.62658950353944</v>
      </c>
      <c r="D98">
        <f t="shared" si="6"/>
        <v>6.8690140016974726E-3</v>
      </c>
    </row>
    <row r="99" spans="1:4" x14ac:dyDescent="0.25">
      <c r="A99" t="str">
        <f t="shared" si="4"/>
        <v>7005.5</v>
      </c>
      <c r="B99" s="4">
        <f t="shared" si="5"/>
        <v>7005.5000000000346</v>
      </c>
      <c r="C99">
        <v>987.62727640493858</v>
      </c>
      <c r="D99">
        <f t="shared" si="6"/>
        <v>6.8690139914656572E-3</v>
      </c>
    </row>
    <row r="100" spans="1:4" x14ac:dyDescent="0.25">
      <c r="A100" t="str">
        <f t="shared" si="4"/>
        <v>7005.6</v>
      </c>
      <c r="B100" s="4">
        <f t="shared" si="5"/>
        <v>7005.6000000000349</v>
      </c>
      <c r="C100">
        <v>987.62796330633944</v>
      </c>
      <c r="D100">
        <f t="shared" si="6"/>
        <v>6.8690140085186828E-3</v>
      </c>
    </row>
    <row r="101" spans="1:4" x14ac:dyDescent="0.25">
      <c r="A101" t="str">
        <f t="shared" si="4"/>
        <v>7005.7</v>
      </c>
      <c r="B101" s="4">
        <f t="shared" si="5"/>
        <v>7005.7000000000353</v>
      </c>
      <c r="C101">
        <v>987.62865020773961</v>
      </c>
      <c r="D101">
        <f t="shared" si="6"/>
        <v>6.8690140016974726E-3</v>
      </c>
    </row>
    <row r="102" spans="1:4" x14ac:dyDescent="0.25">
      <c r="A102" t="str">
        <f t="shared" si="4"/>
        <v>7005.8</v>
      </c>
      <c r="B102" s="4">
        <f t="shared" si="5"/>
        <v>7005.8000000000357</v>
      </c>
      <c r="C102">
        <v>987.62933710914081</v>
      </c>
      <c r="D102">
        <f t="shared" si="6"/>
        <v>6.869014011929288E-3</v>
      </c>
    </row>
    <row r="103" spans="1:4" x14ac:dyDescent="0.25">
      <c r="A103" t="str">
        <f t="shared" si="4"/>
        <v>7005.9</v>
      </c>
      <c r="B103" s="4">
        <f t="shared" si="5"/>
        <v>7005.900000000036</v>
      </c>
      <c r="C103">
        <v>987.63002401054314</v>
      </c>
      <c r="D103">
        <f t="shared" si="6"/>
        <v>6.8690140232979717E-3</v>
      </c>
    </row>
    <row r="104" spans="1:4" x14ac:dyDescent="0.25">
      <c r="A104" t="str">
        <f t="shared" si="4"/>
        <v>7006.0</v>
      </c>
      <c r="B104" s="4">
        <f t="shared" si="5"/>
        <v>7006.0000000000364</v>
      </c>
      <c r="C104">
        <v>987.63071091194183</v>
      </c>
      <c r="D104">
        <f t="shared" si="6"/>
        <v>6.8690139869181837E-3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5.black_scholes_sensitivity_in_s3">
                <anchor moveWithCells="1" sizeWithCells="1">
                  <from>
                    <xdr:col>5</xdr:col>
                    <xdr:colOff>123825</xdr:colOff>
                    <xdr:row>2</xdr:row>
                    <xdr:rowOff>171450</xdr:rowOff>
                  </from>
                  <to>
                    <xdr:col>7</xdr:col>
                    <xdr:colOff>276225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104"/>
  <sheetViews>
    <sheetView workbookViewId="0"/>
  </sheetViews>
  <sheetFormatPr defaultRowHeight="15" x14ac:dyDescent="0.25"/>
  <cols>
    <col min="2" max="2" width="15.7109375" bestFit="1" customWidth="1"/>
    <col min="3" max="3" width="15.140625" bestFit="1" customWidth="1"/>
    <col min="11" max="11" width="9.85546875" bestFit="1" customWidth="1"/>
  </cols>
  <sheetData>
    <row r="1" spans="1:14" x14ac:dyDescent="0.25">
      <c r="B1" t="s">
        <v>38</v>
      </c>
      <c r="C1">
        <f>'Parameter Page'!B6</f>
        <v>0.19170000000000001</v>
      </c>
      <c r="E1">
        <f>C1-0.05</f>
        <v>0.14169999999999999</v>
      </c>
      <c r="F1">
        <f>C1+0.05</f>
        <v>0.24170000000000003</v>
      </c>
    </row>
    <row r="2" spans="1:14" x14ac:dyDescent="0.25">
      <c r="C2" t="s">
        <v>36</v>
      </c>
      <c r="D2">
        <f>COUNT(B4:B204)</f>
        <v>101</v>
      </c>
      <c r="J2" t="s">
        <v>46</v>
      </c>
    </row>
    <row r="3" spans="1:14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4" x14ac:dyDescent="0.25">
      <c r="A4" t="str">
        <f>TEXT(B4,"00.00%")</f>
        <v>14.17%</v>
      </c>
      <c r="B4">
        <f>E1</f>
        <v>0.14169999999999999</v>
      </c>
      <c r="C4">
        <v>994.38593433101187</v>
      </c>
      <c r="I4" s="5" t="s">
        <v>61</v>
      </c>
      <c r="J4">
        <f>VLOOKUP(I4,$A$4:$C$104,3,0)</f>
        <v>981.97588193630202</v>
      </c>
      <c r="K4" t="s">
        <v>48</v>
      </c>
      <c r="M4" t="s">
        <v>116</v>
      </c>
      <c r="N4" s="14">
        <f>ABS(($J$6-$J$4)/$J$5)</f>
        <v>7.84315756557976E-3</v>
      </c>
    </row>
    <row r="5" spans="1:14" x14ac:dyDescent="0.25">
      <c r="A5" t="str">
        <f t="shared" ref="A5:A68" si="0">TEXT(B5,"00.00%")</f>
        <v>14.27%</v>
      </c>
      <c r="B5">
        <f>B4+0.001</f>
        <v>0.14269999999999999</v>
      </c>
      <c r="C5">
        <v>994.16351993304079</v>
      </c>
      <c r="I5" s="5" t="s">
        <v>60</v>
      </c>
      <c r="J5">
        <f t="shared" ref="J5:J6" si="1">VLOOKUP(I5,$A$4:$C$104,3,0)</f>
        <v>978.25147344368906</v>
      </c>
      <c r="K5" s="6">
        <f>(J5-J4)/J4</f>
        <v>-3.7927698237038205E-3</v>
      </c>
      <c r="M5" t="s">
        <v>121</v>
      </c>
      <c r="N5" s="15">
        <f>ABS(($I$6-$I$4)/$I$5)</f>
        <v>0.10432968179447047</v>
      </c>
    </row>
    <row r="6" spans="1:14" x14ac:dyDescent="0.25">
      <c r="A6" t="str">
        <f t="shared" si="0"/>
        <v>14.37%</v>
      </c>
      <c r="B6">
        <f t="shared" ref="B6:B69" si="2">B5+0.001</f>
        <v>0.14369999999999999</v>
      </c>
      <c r="C6">
        <v>993.921843445013</v>
      </c>
      <c r="I6" s="5" t="s">
        <v>62</v>
      </c>
      <c r="J6">
        <f t="shared" si="1"/>
        <v>974.3033014913226</v>
      </c>
      <c r="K6" s="6">
        <f>(J6-J5)/J5</f>
        <v>-4.0359478718369991E-3</v>
      </c>
      <c r="M6" t="s">
        <v>122</v>
      </c>
      <c r="N6" s="15">
        <f>N4/(2*N5)</f>
        <v>3.7588332633041018E-2</v>
      </c>
    </row>
    <row r="7" spans="1:14" x14ac:dyDescent="0.25">
      <c r="A7" t="str">
        <f t="shared" si="0"/>
        <v>14.47%</v>
      </c>
      <c r="B7">
        <f t="shared" si="2"/>
        <v>0.1447</v>
      </c>
      <c r="C7">
        <v>993.6026068549304</v>
      </c>
    </row>
    <row r="8" spans="1:14" x14ac:dyDescent="0.25">
      <c r="A8" t="str">
        <f t="shared" si="0"/>
        <v>14.57%</v>
      </c>
      <c r="B8">
        <f t="shared" si="2"/>
        <v>0.1457</v>
      </c>
      <c r="C8">
        <v>993.35109153460667</v>
      </c>
    </row>
    <row r="9" spans="1:14" x14ac:dyDescent="0.25">
      <c r="A9" t="str">
        <f t="shared" si="0"/>
        <v>14.67%</v>
      </c>
      <c r="B9">
        <f t="shared" si="2"/>
        <v>0.1467</v>
      </c>
      <c r="C9">
        <v>993.09659170865825</v>
      </c>
    </row>
    <row r="10" spans="1:14" x14ac:dyDescent="0.25">
      <c r="A10" t="str">
        <f t="shared" si="0"/>
        <v>14.77%</v>
      </c>
      <c r="B10">
        <f t="shared" si="2"/>
        <v>0.1477</v>
      </c>
      <c r="C10">
        <v>992.78268676064499</v>
      </c>
    </row>
    <row r="11" spans="1:14" x14ac:dyDescent="0.25">
      <c r="A11" t="str">
        <f t="shared" si="0"/>
        <v>14.87%</v>
      </c>
      <c r="B11">
        <f t="shared" si="2"/>
        <v>0.1487</v>
      </c>
      <c r="C11">
        <v>992.53158314168434</v>
      </c>
    </row>
    <row r="12" spans="1:14" x14ac:dyDescent="0.25">
      <c r="A12" t="str">
        <f t="shared" si="0"/>
        <v>14.97%</v>
      </c>
      <c r="B12">
        <f t="shared" si="2"/>
        <v>0.1497</v>
      </c>
      <c r="C12">
        <v>992.23555527015424</v>
      </c>
    </row>
    <row r="13" spans="1:14" x14ac:dyDescent="0.25">
      <c r="A13" t="str">
        <f t="shared" si="0"/>
        <v>15.07%</v>
      </c>
      <c r="B13">
        <f t="shared" si="2"/>
        <v>0.1507</v>
      </c>
      <c r="C13">
        <v>991.98119845054089</v>
      </c>
    </row>
    <row r="14" spans="1:14" x14ac:dyDescent="0.25">
      <c r="A14" t="str">
        <f t="shared" si="0"/>
        <v>15.17%</v>
      </c>
      <c r="B14">
        <f t="shared" si="2"/>
        <v>0.1517</v>
      </c>
      <c r="C14">
        <v>991.7042100225832</v>
      </c>
    </row>
    <row r="15" spans="1:14" x14ac:dyDescent="0.25">
      <c r="A15" t="str">
        <f t="shared" si="0"/>
        <v>15.27%</v>
      </c>
      <c r="B15">
        <f t="shared" si="2"/>
        <v>0.1527</v>
      </c>
      <c r="C15">
        <v>991.41357765046689</v>
      </c>
    </row>
    <row r="16" spans="1:14" x14ac:dyDescent="0.25">
      <c r="A16" t="str">
        <f t="shared" si="0"/>
        <v>15.37%</v>
      </c>
      <c r="B16">
        <f t="shared" si="2"/>
        <v>0.1537</v>
      </c>
      <c r="C16">
        <v>991.12242151578062</v>
      </c>
    </row>
    <row r="17" spans="1:3" x14ac:dyDescent="0.25">
      <c r="A17" t="str">
        <f t="shared" si="0"/>
        <v>15.47%</v>
      </c>
      <c r="B17">
        <f t="shared" si="2"/>
        <v>0.1547</v>
      </c>
      <c r="C17">
        <v>990.85993270132997</v>
      </c>
    </row>
    <row r="18" spans="1:3" x14ac:dyDescent="0.25">
      <c r="A18" t="str">
        <f t="shared" si="0"/>
        <v>15.57%</v>
      </c>
      <c r="B18">
        <f t="shared" si="2"/>
        <v>0.15570000000000001</v>
      </c>
      <c r="C18">
        <v>990.57327523106073</v>
      </c>
    </row>
    <row r="19" spans="1:3" x14ac:dyDescent="0.25">
      <c r="A19" t="str">
        <f t="shared" si="0"/>
        <v>15.67%</v>
      </c>
      <c r="B19">
        <f t="shared" si="2"/>
        <v>0.15670000000000001</v>
      </c>
      <c r="C19">
        <v>990.26643244895729</v>
      </c>
    </row>
    <row r="20" spans="1:3" x14ac:dyDescent="0.25">
      <c r="A20" t="str">
        <f t="shared" si="0"/>
        <v>15.77%</v>
      </c>
      <c r="B20">
        <f t="shared" si="2"/>
        <v>0.15770000000000001</v>
      </c>
      <c r="C20">
        <v>989.978005112858</v>
      </c>
    </row>
    <row r="21" spans="1:3" x14ac:dyDescent="0.25">
      <c r="A21" t="str">
        <f t="shared" si="0"/>
        <v>15.87%</v>
      </c>
      <c r="B21">
        <f t="shared" si="2"/>
        <v>0.15870000000000001</v>
      </c>
      <c r="C21">
        <v>989.66294817594508</v>
      </c>
    </row>
    <row r="22" spans="1:3" x14ac:dyDescent="0.25">
      <c r="A22" t="str">
        <f t="shared" si="0"/>
        <v>15.97%</v>
      </c>
      <c r="B22">
        <f t="shared" si="2"/>
        <v>0.15970000000000001</v>
      </c>
      <c r="C22">
        <v>989.37159589240457</v>
      </c>
    </row>
    <row r="23" spans="1:3" x14ac:dyDescent="0.25">
      <c r="A23" t="str">
        <f t="shared" si="0"/>
        <v>16.07%</v>
      </c>
      <c r="B23">
        <f t="shared" si="2"/>
        <v>0.16070000000000001</v>
      </c>
      <c r="C23">
        <v>989.05170256431143</v>
      </c>
    </row>
    <row r="24" spans="1:3" x14ac:dyDescent="0.25">
      <c r="A24" t="str">
        <f t="shared" si="0"/>
        <v>16.17%</v>
      </c>
      <c r="B24">
        <f t="shared" si="2"/>
        <v>0.16170000000000001</v>
      </c>
      <c r="C24">
        <v>988.72123936637536</v>
      </c>
    </row>
    <row r="25" spans="1:3" x14ac:dyDescent="0.25">
      <c r="A25" t="str">
        <f t="shared" si="0"/>
        <v>16.27%</v>
      </c>
      <c r="B25">
        <f t="shared" si="2"/>
        <v>0.16270000000000001</v>
      </c>
      <c r="C25">
        <v>988.37801370924376</v>
      </c>
    </row>
    <row r="26" spans="1:3" x14ac:dyDescent="0.25">
      <c r="A26" t="str">
        <f t="shared" si="0"/>
        <v>16.37%</v>
      </c>
      <c r="B26">
        <f t="shared" si="2"/>
        <v>0.16370000000000001</v>
      </c>
      <c r="C26">
        <v>988.05601417826938</v>
      </c>
    </row>
    <row r="27" spans="1:3" x14ac:dyDescent="0.25">
      <c r="A27" t="str">
        <f t="shared" si="0"/>
        <v>16.47%</v>
      </c>
      <c r="B27">
        <f t="shared" si="2"/>
        <v>0.16470000000000001</v>
      </c>
      <c r="C27">
        <v>987.73799517852513</v>
      </c>
    </row>
    <row r="28" spans="1:3" x14ac:dyDescent="0.25">
      <c r="A28" t="str">
        <f t="shared" si="0"/>
        <v>16.57%</v>
      </c>
      <c r="B28">
        <f t="shared" si="2"/>
        <v>0.16570000000000001</v>
      </c>
      <c r="C28">
        <v>987.39909674172452</v>
      </c>
    </row>
    <row r="29" spans="1:3" x14ac:dyDescent="0.25">
      <c r="A29" t="str">
        <f t="shared" si="0"/>
        <v>16.67%</v>
      </c>
      <c r="B29">
        <f t="shared" si="2"/>
        <v>0.16670000000000001</v>
      </c>
      <c r="C29">
        <v>987.0473701184635</v>
      </c>
    </row>
    <row r="30" spans="1:3" x14ac:dyDescent="0.25">
      <c r="A30" t="str">
        <f t="shared" si="0"/>
        <v>16.77%</v>
      </c>
      <c r="B30">
        <f t="shared" si="2"/>
        <v>0.16770000000000002</v>
      </c>
      <c r="C30">
        <v>986.74341369848685</v>
      </c>
    </row>
    <row r="31" spans="1:3" x14ac:dyDescent="0.25">
      <c r="A31" t="str">
        <f t="shared" si="0"/>
        <v>16.87%</v>
      </c>
      <c r="B31">
        <f t="shared" si="2"/>
        <v>0.16870000000000002</v>
      </c>
      <c r="C31">
        <v>986.39438578903457</v>
      </c>
    </row>
    <row r="32" spans="1:3" x14ac:dyDescent="0.25">
      <c r="A32" t="str">
        <f t="shared" si="0"/>
        <v>16.97%</v>
      </c>
      <c r="B32">
        <f t="shared" si="2"/>
        <v>0.16970000000000002</v>
      </c>
      <c r="C32">
        <v>986.08958381705509</v>
      </c>
    </row>
    <row r="33" spans="1:3" x14ac:dyDescent="0.25">
      <c r="A33" t="str">
        <f t="shared" si="0"/>
        <v>17.07%</v>
      </c>
      <c r="B33">
        <f t="shared" si="2"/>
        <v>0.17070000000000002</v>
      </c>
      <c r="C33">
        <v>985.75668489096154</v>
      </c>
    </row>
    <row r="34" spans="1:3" x14ac:dyDescent="0.25">
      <c r="A34" t="str">
        <f t="shared" si="0"/>
        <v>17.17%</v>
      </c>
      <c r="B34">
        <f t="shared" si="2"/>
        <v>0.17170000000000002</v>
      </c>
      <c r="C34">
        <v>985.41967533677928</v>
      </c>
    </row>
    <row r="35" spans="1:3" x14ac:dyDescent="0.25">
      <c r="A35" t="str">
        <f t="shared" si="0"/>
        <v>17.27%</v>
      </c>
      <c r="B35">
        <f t="shared" si="2"/>
        <v>0.17270000000000002</v>
      </c>
      <c r="C35">
        <v>985.06116190796115</v>
      </c>
    </row>
    <row r="36" spans="1:3" x14ac:dyDescent="0.25">
      <c r="A36" t="str">
        <f t="shared" si="0"/>
        <v>17.37%</v>
      </c>
      <c r="B36">
        <f t="shared" si="2"/>
        <v>0.17370000000000002</v>
      </c>
      <c r="C36">
        <v>984.72012004518297</v>
      </c>
    </row>
    <row r="37" spans="1:3" x14ac:dyDescent="0.25">
      <c r="A37" t="str">
        <f t="shared" si="0"/>
        <v>17.47%</v>
      </c>
      <c r="B37">
        <f t="shared" si="2"/>
        <v>0.17470000000000002</v>
      </c>
      <c r="C37">
        <v>984.33592626570282</v>
      </c>
    </row>
    <row r="38" spans="1:3" x14ac:dyDescent="0.25">
      <c r="A38" t="str">
        <f t="shared" si="0"/>
        <v>17.57%</v>
      </c>
      <c r="B38">
        <f t="shared" si="2"/>
        <v>0.17570000000000002</v>
      </c>
      <c r="C38">
        <v>983.95093267825735</v>
      </c>
    </row>
    <row r="39" spans="1:3" x14ac:dyDescent="0.25">
      <c r="A39" t="str">
        <f t="shared" si="0"/>
        <v>17.67%</v>
      </c>
      <c r="B39">
        <f t="shared" si="2"/>
        <v>0.17670000000000002</v>
      </c>
      <c r="C39">
        <v>983.61635994238611</v>
      </c>
    </row>
    <row r="40" spans="1:3" x14ac:dyDescent="0.25">
      <c r="A40" t="str">
        <f t="shared" si="0"/>
        <v>17.77%</v>
      </c>
      <c r="B40">
        <f t="shared" si="2"/>
        <v>0.17770000000000002</v>
      </c>
      <c r="C40">
        <v>983.28995859452584</v>
      </c>
    </row>
    <row r="41" spans="1:3" x14ac:dyDescent="0.25">
      <c r="A41" t="str">
        <f t="shared" si="0"/>
        <v>17.87%</v>
      </c>
      <c r="B41">
        <f t="shared" si="2"/>
        <v>0.17870000000000003</v>
      </c>
      <c r="C41">
        <v>982.95049950448515</v>
      </c>
    </row>
    <row r="42" spans="1:3" x14ac:dyDescent="0.25">
      <c r="A42" t="str">
        <f t="shared" si="0"/>
        <v>17.97%</v>
      </c>
      <c r="B42">
        <f t="shared" si="2"/>
        <v>0.17970000000000003</v>
      </c>
      <c r="C42">
        <v>982.60066643147923</v>
      </c>
    </row>
    <row r="43" spans="1:3" x14ac:dyDescent="0.25">
      <c r="A43" t="str">
        <f t="shared" si="0"/>
        <v>18.07%</v>
      </c>
      <c r="B43">
        <f t="shared" si="2"/>
        <v>0.18070000000000003</v>
      </c>
      <c r="C43">
        <v>982.27097443524974</v>
      </c>
    </row>
    <row r="44" spans="1:3" x14ac:dyDescent="0.25">
      <c r="A44" t="str">
        <f t="shared" si="0"/>
        <v>18.17%</v>
      </c>
      <c r="B44">
        <f t="shared" si="2"/>
        <v>0.18170000000000003</v>
      </c>
      <c r="C44">
        <v>981.97588193630202</v>
      </c>
    </row>
    <row r="45" spans="1:3" x14ac:dyDescent="0.25">
      <c r="A45" t="str">
        <f t="shared" si="0"/>
        <v>18.27%</v>
      </c>
      <c r="B45">
        <f t="shared" si="2"/>
        <v>0.18270000000000003</v>
      </c>
      <c r="C45">
        <v>981.65248484564711</v>
      </c>
    </row>
    <row r="46" spans="1:3" x14ac:dyDescent="0.25">
      <c r="A46" t="str">
        <f t="shared" si="0"/>
        <v>18.37%</v>
      </c>
      <c r="B46">
        <f t="shared" si="2"/>
        <v>0.18370000000000003</v>
      </c>
      <c r="C46">
        <v>981.25790797252853</v>
      </c>
    </row>
    <row r="47" spans="1:3" x14ac:dyDescent="0.25">
      <c r="A47" t="str">
        <f t="shared" si="0"/>
        <v>18.47%</v>
      </c>
      <c r="B47">
        <f t="shared" si="2"/>
        <v>0.18470000000000003</v>
      </c>
      <c r="C47">
        <v>980.84943608194908</v>
      </c>
    </row>
    <row r="48" spans="1:3" x14ac:dyDescent="0.25">
      <c r="A48" t="str">
        <f t="shared" si="0"/>
        <v>18.57%</v>
      </c>
      <c r="B48">
        <f t="shared" si="2"/>
        <v>0.18570000000000003</v>
      </c>
      <c r="C48">
        <v>980.47735447859191</v>
      </c>
    </row>
    <row r="49" spans="1:3" x14ac:dyDescent="0.25">
      <c r="A49" t="str">
        <f t="shared" si="0"/>
        <v>18.67%</v>
      </c>
      <c r="B49">
        <f t="shared" si="2"/>
        <v>0.18670000000000003</v>
      </c>
      <c r="C49">
        <v>980.12021490892153</v>
      </c>
    </row>
    <row r="50" spans="1:3" x14ac:dyDescent="0.25">
      <c r="A50" t="str">
        <f t="shared" si="0"/>
        <v>18.77%</v>
      </c>
      <c r="B50">
        <f t="shared" si="2"/>
        <v>0.18770000000000003</v>
      </c>
      <c r="C50">
        <v>979.77976923318931</v>
      </c>
    </row>
    <row r="51" spans="1:3" x14ac:dyDescent="0.25">
      <c r="A51" t="str">
        <f t="shared" si="0"/>
        <v>18.87%</v>
      </c>
      <c r="B51">
        <f t="shared" si="2"/>
        <v>0.18870000000000003</v>
      </c>
      <c r="C51">
        <v>979.39297788796193</v>
      </c>
    </row>
    <row r="52" spans="1:3" x14ac:dyDescent="0.25">
      <c r="A52" t="str">
        <f t="shared" si="0"/>
        <v>18.97%</v>
      </c>
      <c r="B52">
        <f t="shared" si="2"/>
        <v>0.18970000000000004</v>
      </c>
      <c r="C52">
        <v>979.01068506842921</v>
      </c>
    </row>
    <row r="53" spans="1:3" x14ac:dyDescent="0.25">
      <c r="A53" t="str">
        <f t="shared" si="0"/>
        <v>19.07%</v>
      </c>
      <c r="B53">
        <f t="shared" si="2"/>
        <v>0.19070000000000004</v>
      </c>
      <c r="C53">
        <v>978.65680631526277</v>
      </c>
    </row>
    <row r="54" spans="1:3" x14ac:dyDescent="0.25">
      <c r="A54" t="str">
        <f t="shared" si="0"/>
        <v>19.17%</v>
      </c>
      <c r="B54">
        <f t="shared" si="2"/>
        <v>0.19170000000000004</v>
      </c>
      <c r="C54">
        <v>978.25147344368906</v>
      </c>
    </row>
    <row r="55" spans="1:3" x14ac:dyDescent="0.25">
      <c r="A55" t="str">
        <f t="shared" si="0"/>
        <v>19.27%</v>
      </c>
      <c r="B55">
        <f t="shared" si="2"/>
        <v>0.19270000000000004</v>
      </c>
      <c r="C55">
        <v>977.87331167843399</v>
      </c>
    </row>
    <row r="56" spans="1:3" x14ac:dyDescent="0.25">
      <c r="A56" t="str">
        <f t="shared" si="0"/>
        <v>19.37%</v>
      </c>
      <c r="B56">
        <f t="shared" si="2"/>
        <v>0.19370000000000004</v>
      </c>
      <c r="C56">
        <v>977.47194690977619</v>
      </c>
    </row>
    <row r="57" spans="1:3" x14ac:dyDescent="0.25">
      <c r="A57" t="str">
        <f t="shared" si="0"/>
        <v>19.47%</v>
      </c>
      <c r="B57">
        <f t="shared" si="2"/>
        <v>0.19470000000000004</v>
      </c>
      <c r="C57">
        <v>977.06707162492262</v>
      </c>
    </row>
    <row r="58" spans="1:3" x14ac:dyDescent="0.25">
      <c r="A58" t="str">
        <f t="shared" si="0"/>
        <v>19.57%</v>
      </c>
      <c r="B58">
        <f t="shared" si="2"/>
        <v>0.19570000000000004</v>
      </c>
      <c r="C58">
        <v>976.69354458379348</v>
      </c>
    </row>
    <row r="59" spans="1:3" x14ac:dyDescent="0.25">
      <c r="A59" t="str">
        <f t="shared" si="0"/>
        <v>19.67%</v>
      </c>
      <c r="B59">
        <f t="shared" si="2"/>
        <v>0.19670000000000004</v>
      </c>
      <c r="C59">
        <v>976.31973205384679</v>
      </c>
    </row>
    <row r="60" spans="1:3" x14ac:dyDescent="0.25">
      <c r="A60" t="str">
        <f t="shared" si="0"/>
        <v>19.77%</v>
      </c>
      <c r="B60">
        <f t="shared" si="2"/>
        <v>0.19770000000000004</v>
      </c>
      <c r="C60">
        <v>975.92288560822192</v>
      </c>
    </row>
    <row r="61" spans="1:3" x14ac:dyDescent="0.25">
      <c r="A61" t="str">
        <f t="shared" si="0"/>
        <v>19.87%</v>
      </c>
      <c r="B61">
        <f t="shared" si="2"/>
        <v>0.19870000000000004</v>
      </c>
      <c r="C61">
        <v>975.51679371079467</v>
      </c>
    </row>
    <row r="62" spans="1:3" x14ac:dyDescent="0.25">
      <c r="A62" t="str">
        <f t="shared" si="0"/>
        <v>19.97%</v>
      </c>
      <c r="B62">
        <f t="shared" si="2"/>
        <v>0.19970000000000004</v>
      </c>
      <c r="C62">
        <v>975.12523625872268</v>
      </c>
    </row>
    <row r="63" spans="1:3" x14ac:dyDescent="0.25">
      <c r="A63" t="str">
        <f t="shared" si="0"/>
        <v>20.07%</v>
      </c>
      <c r="B63">
        <f t="shared" si="2"/>
        <v>0.20070000000000005</v>
      </c>
      <c r="C63">
        <v>974.72813358928738</v>
      </c>
    </row>
    <row r="64" spans="1:3" x14ac:dyDescent="0.25">
      <c r="A64" t="str">
        <f t="shared" si="0"/>
        <v>20.17%</v>
      </c>
      <c r="B64">
        <f t="shared" si="2"/>
        <v>0.20170000000000005</v>
      </c>
      <c r="C64">
        <v>974.3033014913226</v>
      </c>
    </row>
    <row r="65" spans="1:3" x14ac:dyDescent="0.25">
      <c r="A65" t="str">
        <f t="shared" si="0"/>
        <v>20.27%</v>
      </c>
      <c r="B65">
        <f t="shared" si="2"/>
        <v>0.20270000000000005</v>
      </c>
      <c r="C65">
        <v>973.91487691241025</v>
      </c>
    </row>
    <row r="66" spans="1:3" x14ac:dyDescent="0.25">
      <c r="A66" t="str">
        <f t="shared" si="0"/>
        <v>20.37%</v>
      </c>
      <c r="B66">
        <f t="shared" si="2"/>
        <v>0.20370000000000005</v>
      </c>
      <c r="C66">
        <v>973.56444926817096</v>
      </c>
    </row>
    <row r="67" spans="1:3" x14ac:dyDescent="0.25">
      <c r="A67" t="str">
        <f t="shared" si="0"/>
        <v>20.47%</v>
      </c>
      <c r="B67">
        <f t="shared" si="2"/>
        <v>0.20470000000000005</v>
      </c>
      <c r="C67">
        <v>973.12946967136668</v>
      </c>
    </row>
    <row r="68" spans="1:3" x14ac:dyDescent="0.25">
      <c r="A68" t="str">
        <f t="shared" si="0"/>
        <v>20.57%</v>
      </c>
      <c r="B68">
        <f t="shared" si="2"/>
        <v>0.20570000000000005</v>
      </c>
      <c r="C68">
        <v>972.73201661891699</v>
      </c>
    </row>
    <row r="69" spans="1:3" x14ac:dyDescent="0.25">
      <c r="A69" t="str">
        <f t="shared" ref="A69:A104" si="3">TEXT(B69,"00.00%")</f>
        <v>20.67%</v>
      </c>
      <c r="B69">
        <f t="shared" si="2"/>
        <v>0.20670000000000005</v>
      </c>
      <c r="C69">
        <v>972.32213019064875</v>
      </c>
    </row>
    <row r="70" spans="1:3" x14ac:dyDescent="0.25">
      <c r="A70" t="str">
        <f t="shared" si="3"/>
        <v>20.77%</v>
      </c>
      <c r="B70">
        <f t="shared" ref="B70:B104" si="4">B69+0.001</f>
        <v>0.20770000000000005</v>
      </c>
      <c r="C70">
        <v>971.88637238295644</v>
      </c>
    </row>
    <row r="71" spans="1:3" x14ac:dyDescent="0.25">
      <c r="A71" t="str">
        <f t="shared" si="3"/>
        <v>20.87%</v>
      </c>
      <c r="B71">
        <f t="shared" si="4"/>
        <v>0.20870000000000005</v>
      </c>
      <c r="C71">
        <v>971.50392071892156</v>
      </c>
    </row>
    <row r="72" spans="1:3" x14ac:dyDescent="0.25">
      <c r="A72" t="str">
        <f t="shared" si="3"/>
        <v>20.97%</v>
      </c>
      <c r="B72">
        <f t="shared" si="4"/>
        <v>0.20970000000000005</v>
      </c>
      <c r="C72">
        <v>971.08825913516591</v>
      </c>
    </row>
    <row r="73" spans="1:3" x14ac:dyDescent="0.25">
      <c r="A73" t="str">
        <f t="shared" si="3"/>
        <v>21.07%</v>
      </c>
      <c r="B73">
        <f t="shared" si="4"/>
        <v>0.21070000000000005</v>
      </c>
      <c r="C73">
        <v>970.71668429209319</v>
      </c>
    </row>
    <row r="74" spans="1:3" x14ac:dyDescent="0.25">
      <c r="A74" t="str">
        <f t="shared" si="3"/>
        <v>21.17%</v>
      </c>
      <c r="B74">
        <f t="shared" si="4"/>
        <v>0.21170000000000005</v>
      </c>
      <c r="C74">
        <v>970.32943812033659</v>
      </c>
    </row>
    <row r="75" spans="1:3" x14ac:dyDescent="0.25">
      <c r="A75" t="str">
        <f t="shared" si="3"/>
        <v>21.27%</v>
      </c>
      <c r="B75">
        <f t="shared" si="4"/>
        <v>0.21270000000000006</v>
      </c>
      <c r="C75">
        <v>969.93700224923953</v>
      </c>
    </row>
    <row r="76" spans="1:3" x14ac:dyDescent="0.25">
      <c r="A76" t="str">
        <f t="shared" si="3"/>
        <v>21.37%</v>
      </c>
      <c r="B76">
        <f t="shared" si="4"/>
        <v>0.21370000000000006</v>
      </c>
      <c r="C76">
        <v>969.54316121261866</v>
      </c>
    </row>
    <row r="77" spans="1:3" x14ac:dyDescent="0.25">
      <c r="A77" t="str">
        <f t="shared" si="3"/>
        <v>21.47%</v>
      </c>
      <c r="B77">
        <f t="shared" si="4"/>
        <v>0.21470000000000006</v>
      </c>
      <c r="C77">
        <v>969.11910881967844</v>
      </c>
    </row>
    <row r="78" spans="1:3" x14ac:dyDescent="0.25">
      <c r="A78" t="str">
        <f t="shared" si="3"/>
        <v>21.57%</v>
      </c>
      <c r="B78">
        <f t="shared" si="4"/>
        <v>0.21570000000000006</v>
      </c>
      <c r="C78">
        <v>968.73621638897259</v>
      </c>
    </row>
    <row r="79" spans="1:3" x14ac:dyDescent="0.25">
      <c r="A79" t="str">
        <f t="shared" si="3"/>
        <v>21.67%</v>
      </c>
      <c r="B79">
        <f t="shared" si="4"/>
        <v>0.21670000000000006</v>
      </c>
      <c r="C79">
        <v>968.33499070439245</v>
      </c>
    </row>
    <row r="80" spans="1:3" x14ac:dyDescent="0.25">
      <c r="A80" t="str">
        <f t="shared" si="3"/>
        <v>21.77%</v>
      </c>
      <c r="B80">
        <f t="shared" si="4"/>
        <v>0.21770000000000006</v>
      </c>
      <c r="C80">
        <v>967.92699976614233</v>
      </c>
    </row>
    <row r="81" spans="1:3" x14ac:dyDescent="0.25">
      <c r="A81" t="str">
        <f t="shared" si="3"/>
        <v>21.87%</v>
      </c>
      <c r="B81">
        <f t="shared" si="4"/>
        <v>0.21870000000000006</v>
      </c>
      <c r="C81">
        <v>967.51651931504716</v>
      </c>
    </row>
    <row r="82" spans="1:3" x14ac:dyDescent="0.25">
      <c r="A82" t="str">
        <f t="shared" si="3"/>
        <v>21.97%</v>
      </c>
      <c r="B82">
        <f t="shared" si="4"/>
        <v>0.21970000000000006</v>
      </c>
      <c r="C82">
        <v>967.09420902593843</v>
      </c>
    </row>
    <row r="83" spans="1:3" x14ac:dyDescent="0.25">
      <c r="A83" t="str">
        <f t="shared" si="3"/>
        <v>22.07%</v>
      </c>
      <c r="B83">
        <f t="shared" si="4"/>
        <v>0.22070000000000006</v>
      </c>
      <c r="C83">
        <v>966.65536803497662</v>
      </c>
    </row>
    <row r="84" spans="1:3" x14ac:dyDescent="0.25">
      <c r="A84" t="str">
        <f t="shared" si="3"/>
        <v>22.17%</v>
      </c>
      <c r="B84">
        <f t="shared" si="4"/>
        <v>0.22170000000000006</v>
      </c>
      <c r="C84">
        <v>966.23501673606222</v>
      </c>
    </row>
    <row r="85" spans="1:3" x14ac:dyDescent="0.25">
      <c r="A85" t="str">
        <f t="shared" si="3"/>
        <v>22.27%</v>
      </c>
      <c r="B85">
        <f t="shared" si="4"/>
        <v>0.22270000000000006</v>
      </c>
      <c r="C85">
        <v>965.79407830501225</v>
      </c>
    </row>
    <row r="86" spans="1:3" x14ac:dyDescent="0.25">
      <c r="A86" t="str">
        <f t="shared" si="3"/>
        <v>22.37%</v>
      </c>
      <c r="B86">
        <f t="shared" si="4"/>
        <v>0.22370000000000007</v>
      </c>
      <c r="C86">
        <v>965.36963442901538</v>
      </c>
    </row>
    <row r="87" spans="1:3" x14ac:dyDescent="0.25">
      <c r="A87" t="str">
        <f t="shared" si="3"/>
        <v>22.47%</v>
      </c>
      <c r="B87">
        <f t="shared" si="4"/>
        <v>0.22470000000000007</v>
      </c>
      <c r="C87">
        <v>964.93381111868359</v>
      </c>
    </row>
    <row r="88" spans="1:3" x14ac:dyDescent="0.25">
      <c r="A88" t="str">
        <f t="shared" si="3"/>
        <v>22.57%</v>
      </c>
      <c r="B88">
        <f t="shared" si="4"/>
        <v>0.22570000000000007</v>
      </c>
      <c r="C88">
        <v>964.52812508309023</v>
      </c>
    </row>
    <row r="89" spans="1:3" x14ac:dyDescent="0.25">
      <c r="A89" t="str">
        <f t="shared" si="3"/>
        <v>22.67%</v>
      </c>
      <c r="B89">
        <f t="shared" si="4"/>
        <v>0.22670000000000007</v>
      </c>
      <c r="C89">
        <v>964.06449183425866</v>
      </c>
    </row>
    <row r="90" spans="1:3" x14ac:dyDescent="0.25">
      <c r="A90" t="str">
        <f t="shared" si="3"/>
        <v>22.77%</v>
      </c>
      <c r="B90">
        <f t="shared" si="4"/>
        <v>0.22770000000000007</v>
      </c>
      <c r="C90">
        <v>963.66798809438103</v>
      </c>
    </row>
    <row r="91" spans="1:3" x14ac:dyDescent="0.25">
      <c r="A91" t="str">
        <f t="shared" si="3"/>
        <v>22.87%</v>
      </c>
      <c r="B91">
        <f t="shared" si="4"/>
        <v>0.22870000000000007</v>
      </c>
      <c r="C91">
        <v>963.24534704220116</v>
      </c>
    </row>
    <row r="92" spans="1:3" x14ac:dyDescent="0.25">
      <c r="A92" t="str">
        <f t="shared" si="3"/>
        <v>22.97%</v>
      </c>
      <c r="B92">
        <f t="shared" si="4"/>
        <v>0.22970000000000007</v>
      </c>
      <c r="C92">
        <v>962.82938113846546</v>
      </c>
    </row>
    <row r="93" spans="1:3" x14ac:dyDescent="0.25">
      <c r="A93" t="str">
        <f t="shared" si="3"/>
        <v>23.07%</v>
      </c>
      <c r="B93">
        <f t="shared" si="4"/>
        <v>0.23070000000000007</v>
      </c>
      <c r="C93">
        <v>962.39904121538291</v>
      </c>
    </row>
    <row r="94" spans="1:3" x14ac:dyDescent="0.25">
      <c r="A94" t="str">
        <f t="shared" si="3"/>
        <v>23.17%</v>
      </c>
      <c r="B94">
        <f t="shared" si="4"/>
        <v>0.23170000000000007</v>
      </c>
      <c r="C94">
        <v>962.00479616183895</v>
      </c>
    </row>
    <row r="95" spans="1:3" x14ac:dyDescent="0.25">
      <c r="A95" t="str">
        <f t="shared" si="3"/>
        <v>23.27%</v>
      </c>
      <c r="B95">
        <f t="shared" si="4"/>
        <v>0.23270000000000007</v>
      </c>
      <c r="C95">
        <v>961.52797099978579</v>
      </c>
    </row>
    <row r="96" spans="1:3" x14ac:dyDescent="0.25">
      <c r="A96" t="str">
        <f t="shared" si="3"/>
        <v>23.37%</v>
      </c>
      <c r="B96">
        <f t="shared" si="4"/>
        <v>0.23370000000000007</v>
      </c>
      <c r="C96">
        <v>961.07255149605191</v>
      </c>
    </row>
    <row r="97" spans="1:3" x14ac:dyDescent="0.25">
      <c r="A97" t="str">
        <f t="shared" si="3"/>
        <v>23.47%</v>
      </c>
      <c r="B97">
        <f t="shared" si="4"/>
        <v>0.23470000000000008</v>
      </c>
      <c r="C97">
        <v>960.61011383606206</v>
      </c>
    </row>
    <row r="98" spans="1:3" x14ac:dyDescent="0.25">
      <c r="A98" t="str">
        <f t="shared" si="3"/>
        <v>23.57%</v>
      </c>
      <c r="B98">
        <f t="shared" si="4"/>
        <v>0.23570000000000008</v>
      </c>
      <c r="C98">
        <v>960.17604657943343</v>
      </c>
    </row>
    <row r="99" spans="1:3" x14ac:dyDescent="0.25">
      <c r="A99" t="str">
        <f t="shared" si="3"/>
        <v>23.67%</v>
      </c>
      <c r="B99">
        <f t="shared" si="4"/>
        <v>0.23670000000000008</v>
      </c>
      <c r="C99">
        <v>959.70012271087626</v>
      </c>
    </row>
    <row r="100" spans="1:3" x14ac:dyDescent="0.25">
      <c r="A100" t="str">
        <f t="shared" si="3"/>
        <v>23.77%</v>
      </c>
      <c r="B100">
        <f t="shared" si="4"/>
        <v>0.23770000000000008</v>
      </c>
      <c r="C100">
        <v>959.26015629527296</v>
      </c>
    </row>
    <row r="101" spans="1:3" x14ac:dyDescent="0.25">
      <c r="A101" t="str">
        <f t="shared" si="3"/>
        <v>23.87%</v>
      </c>
      <c r="B101">
        <f t="shared" si="4"/>
        <v>0.23870000000000008</v>
      </c>
      <c r="C101">
        <v>958.85867723463184</v>
      </c>
    </row>
    <row r="102" spans="1:3" x14ac:dyDescent="0.25">
      <c r="A102" t="str">
        <f t="shared" si="3"/>
        <v>23.97%</v>
      </c>
      <c r="B102">
        <f t="shared" si="4"/>
        <v>0.23970000000000008</v>
      </c>
      <c r="C102">
        <v>958.43399752830078</v>
      </c>
    </row>
    <row r="103" spans="1:3" x14ac:dyDescent="0.25">
      <c r="A103" t="str">
        <f t="shared" si="3"/>
        <v>24.07%</v>
      </c>
      <c r="B103">
        <f t="shared" si="4"/>
        <v>0.24070000000000008</v>
      </c>
      <c r="C103">
        <v>958.01333861903004</v>
      </c>
    </row>
    <row r="104" spans="1:3" x14ac:dyDescent="0.25">
      <c r="A104" t="str">
        <f t="shared" si="3"/>
        <v>24.17%</v>
      </c>
      <c r="B104">
        <f t="shared" si="4"/>
        <v>0.24170000000000008</v>
      </c>
      <c r="C104">
        <v>957.56181365871657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6.black_scholes_sensitivity_in_sigma_S_1">
                <anchor moveWithCells="1" sizeWithCells="1">
                  <from>
                    <xdr:col>5</xdr:col>
                    <xdr:colOff>28575</xdr:colOff>
                    <xdr:row>7</xdr:row>
                    <xdr:rowOff>123825</xdr:rowOff>
                  </from>
                  <to>
                    <xdr:col>7</xdr:col>
                    <xdr:colOff>133350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104"/>
  <sheetViews>
    <sheetView workbookViewId="0"/>
  </sheetViews>
  <sheetFormatPr defaultRowHeight="15" x14ac:dyDescent="0.25"/>
  <sheetData>
    <row r="1" spans="1:5" x14ac:dyDescent="0.25">
      <c r="A1" t="s">
        <v>38</v>
      </c>
      <c r="B1">
        <f>'Parameter Page'!B6</f>
        <v>0.19170000000000001</v>
      </c>
      <c r="D1">
        <f>B1-0.1</f>
        <v>9.1700000000000004E-2</v>
      </c>
      <c r="E1">
        <f>B1+0.1</f>
        <v>0.29170000000000001</v>
      </c>
    </row>
    <row r="2" spans="1:5" x14ac:dyDescent="0.25">
      <c r="B2" t="s">
        <v>36</v>
      </c>
      <c r="C2">
        <f>COUNT(A4:A204)</f>
        <v>101</v>
      </c>
    </row>
    <row r="3" spans="1:5" x14ac:dyDescent="0.25">
      <c r="A3" t="s">
        <v>45</v>
      </c>
      <c r="B3" t="s">
        <v>35</v>
      </c>
    </row>
    <row r="4" spans="1:5" x14ac:dyDescent="0.25">
      <c r="A4">
        <f>$D$1</f>
        <v>9.1700000000000004E-2</v>
      </c>
      <c r="B4">
        <v>993.16707330646727</v>
      </c>
    </row>
    <row r="5" spans="1:5" x14ac:dyDescent="0.25">
      <c r="A5">
        <f>A4+0.002</f>
        <v>9.3700000000000006E-2</v>
      </c>
      <c r="B5">
        <v>992.96136125362773</v>
      </c>
    </row>
    <row r="6" spans="1:5" x14ac:dyDescent="0.25">
      <c r="A6">
        <f t="shared" ref="A6:A69" si="0">A5+0.002</f>
        <v>9.5700000000000007E-2</v>
      </c>
      <c r="B6">
        <v>992.77528917991208</v>
      </c>
    </row>
    <row r="7" spans="1:5" x14ac:dyDescent="0.25">
      <c r="A7">
        <f t="shared" si="0"/>
        <v>9.7700000000000009E-2</v>
      </c>
      <c r="B7">
        <v>992.49365000039722</v>
      </c>
    </row>
    <row r="8" spans="1:5" x14ac:dyDescent="0.25">
      <c r="A8">
        <f t="shared" si="0"/>
        <v>9.9700000000000011E-2</v>
      </c>
      <c r="B8">
        <v>992.30696235329083</v>
      </c>
    </row>
    <row r="9" spans="1:5" x14ac:dyDescent="0.25">
      <c r="A9">
        <f t="shared" si="0"/>
        <v>0.10170000000000001</v>
      </c>
      <c r="B9">
        <v>992.01266249740627</v>
      </c>
    </row>
    <row r="10" spans="1:5" x14ac:dyDescent="0.25">
      <c r="A10">
        <f t="shared" si="0"/>
        <v>0.10370000000000001</v>
      </c>
      <c r="B10">
        <v>991.79920417435801</v>
      </c>
    </row>
    <row r="11" spans="1:5" x14ac:dyDescent="0.25">
      <c r="A11">
        <f t="shared" si="0"/>
        <v>0.10570000000000002</v>
      </c>
      <c r="B11">
        <v>991.48423521581071</v>
      </c>
    </row>
    <row r="12" spans="1:5" x14ac:dyDescent="0.25">
      <c r="A12">
        <f t="shared" si="0"/>
        <v>0.10770000000000002</v>
      </c>
      <c r="B12">
        <v>991.17010104473161</v>
      </c>
    </row>
    <row r="13" spans="1:5" x14ac:dyDescent="0.25">
      <c r="A13">
        <f t="shared" si="0"/>
        <v>0.10970000000000002</v>
      </c>
      <c r="B13">
        <v>990.85577789014269</v>
      </c>
    </row>
    <row r="14" spans="1:5" x14ac:dyDescent="0.25">
      <c r="A14">
        <f t="shared" si="0"/>
        <v>0.11170000000000002</v>
      </c>
      <c r="B14">
        <v>990.43698712214348</v>
      </c>
    </row>
    <row r="15" spans="1:5" x14ac:dyDescent="0.25">
      <c r="A15">
        <f t="shared" si="0"/>
        <v>0.11370000000000002</v>
      </c>
      <c r="B15">
        <v>990.13130925499308</v>
      </c>
    </row>
    <row r="16" spans="1:5" x14ac:dyDescent="0.25">
      <c r="A16">
        <f t="shared" si="0"/>
        <v>0.11570000000000003</v>
      </c>
      <c r="B16">
        <v>989.69326219593006</v>
      </c>
    </row>
    <row r="17" spans="1:2" x14ac:dyDescent="0.25">
      <c r="A17">
        <f t="shared" si="0"/>
        <v>0.11770000000000003</v>
      </c>
      <c r="B17">
        <v>989.26505255827726</v>
      </c>
    </row>
    <row r="18" spans="1:2" x14ac:dyDescent="0.25">
      <c r="A18">
        <f t="shared" si="0"/>
        <v>0.11970000000000003</v>
      </c>
      <c r="B18">
        <v>988.8421643238778</v>
      </c>
    </row>
    <row r="19" spans="1:2" x14ac:dyDescent="0.25">
      <c r="A19">
        <f t="shared" si="0"/>
        <v>0.12170000000000003</v>
      </c>
      <c r="B19">
        <v>988.41806342765005</v>
      </c>
    </row>
    <row r="20" spans="1:2" x14ac:dyDescent="0.25">
      <c r="A20">
        <f t="shared" si="0"/>
        <v>0.12370000000000003</v>
      </c>
      <c r="B20">
        <v>988.09924892470553</v>
      </c>
    </row>
    <row r="21" spans="1:2" x14ac:dyDescent="0.25">
      <c r="A21">
        <f t="shared" si="0"/>
        <v>0.12570000000000003</v>
      </c>
      <c r="B21">
        <v>987.57308682845041</v>
      </c>
    </row>
    <row r="22" spans="1:2" x14ac:dyDescent="0.25">
      <c r="A22">
        <f t="shared" si="0"/>
        <v>0.12770000000000004</v>
      </c>
      <c r="B22">
        <v>987.14171391182686</v>
      </c>
    </row>
    <row r="23" spans="1:2" x14ac:dyDescent="0.25">
      <c r="A23">
        <f t="shared" si="0"/>
        <v>0.12970000000000004</v>
      </c>
      <c r="B23">
        <v>986.71084555697132</v>
      </c>
    </row>
    <row r="24" spans="1:2" x14ac:dyDescent="0.25">
      <c r="A24">
        <f t="shared" si="0"/>
        <v>0.13170000000000004</v>
      </c>
      <c r="B24">
        <v>986.23041199855777</v>
      </c>
    </row>
    <row r="25" spans="1:2" x14ac:dyDescent="0.25">
      <c r="A25">
        <f t="shared" si="0"/>
        <v>0.13370000000000004</v>
      </c>
      <c r="B25">
        <v>985.73163932216039</v>
      </c>
    </row>
    <row r="26" spans="1:2" x14ac:dyDescent="0.25">
      <c r="A26">
        <f t="shared" si="0"/>
        <v>0.13570000000000004</v>
      </c>
      <c r="B26">
        <v>985.18103498514984</v>
      </c>
    </row>
    <row r="27" spans="1:2" x14ac:dyDescent="0.25">
      <c r="A27">
        <f t="shared" si="0"/>
        <v>0.13770000000000004</v>
      </c>
      <c r="B27">
        <v>984.67732375391097</v>
      </c>
    </row>
    <row r="28" spans="1:2" x14ac:dyDescent="0.25">
      <c r="A28">
        <f t="shared" si="0"/>
        <v>0.13970000000000005</v>
      </c>
      <c r="B28">
        <v>984.14251167129669</v>
      </c>
    </row>
    <row r="29" spans="1:2" x14ac:dyDescent="0.25">
      <c r="A29">
        <f t="shared" si="0"/>
        <v>0.14170000000000005</v>
      </c>
      <c r="B29">
        <v>983.53754697494014</v>
      </c>
    </row>
    <row r="30" spans="1:2" x14ac:dyDescent="0.25">
      <c r="A30">
        <f t="shared" si="0"/>
        <v>0.14370000000000005</v>
      </c>
      <c r="B30">
        <v>982.93551249626603</v>
      </c>
    </row>
    <row r="31" spans="1:2" x14ac:dyDescent="0.25">
      <c r="A31">
        <f t="shared" si="0"/>
        <v>0.14570000000000005</v>
      </c>
      <c r="B31">
        <v>982.29345458980504</v>
      </c>
    </row>
    <row r="32" spans="1:2" x14ac:dyDescent="0.25">
      <c r="A32">
        <f t="shared" si="0"/>
        <v>0.14770000000000005</v>
      </c>
      <c r="B32">
        <v>981.66282611418069</v>
      </c>
    </row>
    <row r="33" spans="1:2" x14ac:dyDescent="0.25">
      <c r="A33">
        <f t="shared" si="0"/>
        <v>0.14970000000000006</v>
      </c>
      <c r="B33">
        <v>980.99014178957043</v>
      </c>
    </row>
    <row r="34" spans="1:2" x14ac:dyDescent="0.25">
      <c r="A34">
        <f t="shared" si="0"/>
        <v>0.15170000000000006</v>
      </c>
      <c r="B34">
        <v>980.47907541727477</v>
      </c>
    </row>
    <row r="35" spans="1:2" x14ac:dyDescent="0.25">
      <c r="A35">
        <f t="shared" si="0"/>
        <v>0.15370000000000006</v>
      </c>
      <c r="B35">
        <v>979.81464530443895</v>
      </c>
    </row>
    <row r="36" spans="1:2" x14ac:dyDescent="0.25">
      <c r="A36">
        <f t="shared" si="0"/>
        <v>0.15570000000000006</v>
      </c>
      <c r="B36">
        <v>979.12039695093267</v>
      </c>
    </row>
    <row r="37" spans="1:2" x14ac:dyDescent="0.25">
      <c r="A37">
        <f t="shared" si="0"/>
        <v>0.15770000000000006</v>
      </c>
      <c r="B37">
        <v>978.45836568207426</v>
      </c>
    </row>
    <row r="38" spans="1:2" x14ac:dyDescent="0.25">
      <c r="A38">
        <f t="shared" si="0"/>
        <v>0.15970000000000006</v>
      </c>
      <c r="B38">
        <v>977.73578949048215</v>
      </c>
    </row>
    <row r="39" spans="1:2" x14ac:dyDescent="0.25">
      <c r="A39">
        <f t="shared" si="0"/>
        <v>0.16170000000000007</v>
      </c>
      <c r="B39">
        <v>976.94491960505195</v>
      </c>
    </row>
    <row r="40" spans="1:2" x14ac:dyDescent="0.25">
      <c r="A40">
        <f t="shared" si="0"/>
        <v>0.16370000000000007</v>
      </c>
      <c r="B40">
        <v>976.28934326370518</v>
      </c>
    </row>
    <row r="41" spans="1:2" x14ac:dyDescent="0.25">
      <c r="A41">
        <f t="shared" si="0"/>
        <v>0.16570000000000007</v>
      </c>
      <c r="B41">
        <v>975.53343183868913</v>
      </c>
    </row>
    <row r="42" spans="1:2" x14ac:dyDescent="0.25">
      <c r="A42">
        <f t="shared" si="0"/>
        <v>0.16770000000000007</v>
      </c>
      <c r="B42">
        <v>974.78946488255497</v>
      </c>
    </row>
    <row r="43" spans="1:2" x14ac:dyDescent="0.25">
      <c r="A43">
        <f t="shared" si="0"/>
        <v>0.16970000000000007</v>
      </c>
      <c r="B43">
        <v>974.05286261037725</v>
      </c>
    </row>
    <row r="44" spans="1:2" x14ac:dyDescent="0.25">
      <c r="A44">
        <f t="shared" si="0"/>
        <v>0.17170000000000007</v>
      </c>
      <c r="B44">
        <v>973.30364038687208</v>
      </c>
    </row>
    <row r="45" spans="1:2" x14ac:dyDescent="0.25">
      <c r="A45">
        <f t="shared" si="0"/>
        <v>0.17370000000000008</v>
      </c>
      <c r="B45">
        <v>972.54983503378469</v>
      </c>
    </row>
    <row r="46" spans="1:2" x14ac:dyDescent="0.25">
      <c r="A46">
        <f t="shared" si="0"/>
        <v>0.17570000000000008</v>
      </c>
      <c r="B46">
        <v>971.72537437051869</v>
      </c>
    </row>
    <row r="47" spans="1:2" x14ac:dyDescent="0.25">
      <c r="A47">
        <f t="shared" si="0"/>
        <v>0.17770000000000008</v>
      </c>
      <c r="B47">
        <v>970.8757562919119</v>
      </c>
    </row>
    <row r="48" spans="1:2" x14ac:dyDescent="0.25">
      <c r="A48">
        <f t="shared" si="0"/>
        <v>0.17970000000000008</v>
      </c>
      <c r="B48">
        <v>970.10308585328244</v>
      </c>
    </row>
    <row r="49" spans="1:2" x14ac:dyDescent="0.25">
      <c r="A49">
        <f t="shared" si="0"/>
        <v>0.18170000000000008</v>
      </c>
      <c r="B49">
        <v>969.22473286938202</v>
      </c>
    </row>
    <row r="50" spans="1:2" x14ac:dyDescent="0.25">
      <c r="A50">
        <f t="shared" si="0"/>
        <v>0.18370000000000009</v>
      </c>
      <c r="B50">
        <v>968.40187077940743</v>
      </c>
    </row>
    <row r="51" spans="1:2" x14ac:dyDescent="0.25">
      <c r="A51">
        <f t="shared" si="0"/>
        <v>0.18570000000000009</v>
      </c>
      <c r="B51">
        <v>967.56550842357137</v>
      </c>
    </row>
    <row r="52" spans="1:2" x14ac:dyDescent="0.25">
      <c r="A52">
        <f t="shared" si="0"/>
        <v>0.18770000000000009</v>
      </c>
      <c r="B52">
        <v>966.69987237081364</v>
      </c>
    </row>
    <row r="53" spans="1:2" x14ac:dyDescent="0.25">
      <c r="A53">
        <f t="shared" si="0"/>
        <v>0.18970000000000009</v>
      </c>
      <c r="B53">
        <v>965.85381693396891</v>
      </c>
    </row>
    <row r="54" spans="1:2" x14ac:dyDescent="0.25">
      <c r="A54">
        <f t="shared" si="0"/>
        <v>0.19170000000000009</v>
      </c>
      <c r="B54">
        <v>964.99157548610424</v>
      </c>
    </row>
    <row r="55" spans="1:2" x14ac:dyDescent="0.25">
      <c r="A55">
        <f t="shared" si="0"/>
        <v>0.19370000000000009</v>
      </c>
      <c r="B55">
        <v>964.07122337469764</v>
      </c>
    </row>
    <row r="56" spans="1:2" x14ac:dyDescent="0.25">
      <c r="A56">
        <f t="shared" si="0"/>
        <v>0.1957000000000001</v>
      </c>
      <c r="B56">
        <v>963.20747027939797</v>
      </c>
    </row>
    <row r="57" spans="1:2" x14ac:dyDescent="0.25">
      <c r="A57">
        <f t="shared" si="0"/>
        <v>0.1977000000000001</v>
      </c>
      <c r="B57">
        <v>962.33376339244649</v>
      </c>
    </row>
    <row r="58" spans="1:2" x14ac:dyDescent="0.25">
      <c r="A58">
        <f t="shared" si="0"/>
        <v>0.1997000000000001</v>
      </c>
      <c r="B58">
        <v>961.40601899648846</v>
      </c>
    </row>
    <row r="59" spans="1:2" x14ac:dyDescent="0.25">
      <c r="A59">
        <f t="shared" si="0"/>
        <v>0.2017000000000001</v>
      </c>
      <c r="B59">
        <v>960.47698419167864</v>
      </c>
    </row>
    <row r="60" spans="1:2" x14ac:dyDescent="0.25">
      <c r="A60">
        <f t="shared" si="0"/>
        <v>0.2037000000000001</v>
      </c>
      <c r="B60">
        <v>959.56845315661417</v>
      </c>
    </row>
    <row r="61" spans="1:2" x14ac:dyDescent="0.25">
      <c r="A61">
        <f t="shared" si="0"/>
        <v>0.2057000000000001</v>
      </c>
      <c r="B61">
        <v>958.55944711667178</v>
      </c>
    </row>
    <row r="62" spans="1:2" x14ac:dyDescent="0.25">
      <c r="A62">
        <f t="shared" si="0"/>
        <v>0.20770000000000011</v>
      </c>
      <c r="B62">
        <v>957.54564290349003</v>
      </c>
    </row>
    <row r="63" spans="1:2" x14ac:dyDescent="0.25">
      <c r="A63">
        <f t="shared" si="0"/>
        <v>0.20970000000000011</v>
      </c>
      <c r="B63">
        <v>956.60222371884743</v>
      </c>
    </row>
    <row r="64" spans="1:2" x14ac:dyDescent="0.25">
      <c r="A64">
        <f t="shared" si="0"/>
        <v>0.21170000000000011</v>
      </c>
      <c r="B64">
        <v>955.6870813905183</v>
      </c>
    </row>
    <row r="65" spans="1:2" x14ac:dyDescent="0.25">
      <c r="A65">
        <f t="shared" si="0"/>
        <v>0.21370000000000011</v>
      </c>
      <c r="B65">
        <v>954.73026894940165</v>
      </c>
    </row>
    <row r="66" spans="1:2" x14ac:dyDescent="0.25">
      <c r="A66">
        <f t="shared" si="0"/>
        <v>0.21570000000000011</v>
      </c>
      <c r="B66">
        <v>953.85540771838362</v>
      </c>
    </row>
    <row r="67" spans="1:2" x14ac:dyDescent="0.25">
      <c r="A67">
        <f t="shared" si="0"/>
        <v>0.21770000000000012</v>
      </c>
      <c r="B67">
        <v>952.87764279476801</v>
      </c>
    </row>
    <row r="68" spans="1:2" x14ac:dyDescent="0.25">
      <c r="A68">
        <f t="shared" si="0"/>
        <v>0.21970000000000012</v>
      </c>
      <c r="B68">
        <v>951.90695335607029</v>
      </c>
    </row>
    <row r="69" spans="1:2" x14ac:dyDescent="0.25">
      <c r="A69">
        <f t="shared" si="0"/>
        <v>0.22170000000000012</v>
      </c>
      <c r="B69">
        <v>950.93692851274056</v>
      </c>
    </row>
    <row r="70" spans="1:2" x14ac:dyDescent="0.25">
      <c r="A70">
        <f t="shared" ref="A70:A104" si="1">A69+0.002</f>
        <v>0.22370000000000012</v>
      </c>
      <c r="B70">
        <v>949.9058793979309</v>
      </c>
    </row>
    <row r="71" spans="1:2" x14ac:dyDescent="0.25">
      <c r="A71">
        <f t="shared" si="1"/>
        <v>0.22570000000000012</v>
      </c>
      <c r="B71">
        <v>948.95953533694183</v>
      </c>
    </row>
    <row r="72" spans="1:2" x14ac:dyDescent="0.25">
      <c r="A72">
        <f t="shared" si="1"/>
        <v>0.22770000000000012</v>
      </c>
      <c r="B72">
        <v>947.89468221724337</v>
      </c>
    </row>
    <row r="73" spans="1:2" x14ac:dyDescent="0.25">
      <c r="A73">
        <f t="shared" si="1"/>
        <v>0.22970000000000013</v>
      </c>
      <c r="B73">
        <v>946.81398819294827</v>
      </c>
    </row>
    <row r="74" spans="1:2" x14ac:dyDescent="0.25">
      <c r="A74">
        <f t="shared" si="1"/>
        <v>0.23170000000000013</v>
      </c>
      <c r="B74">
        <v>945.71586351333588</v>
      </c>
    </row>
    <row r="75" spans="1:2" x14ac:dyDescent="0.25">
      <c r="A75">
        <f t="shared" si="1"/>
        <v>0.23370000000000013</v>
      </c>
      <c r="B75">
        <v>944.6650087509787</v>
      </c>
    </row>
    <row r="76" spans="1:2" x14ac:dyDescent="0.25">
      <c r="A76">
        <f t="shared" si="1"/>
        <v>0.23570000000000013</v>
      </c>
      <c r="B76">
        <v>943.75346774395973</v>
      </c>
    </row>
    <row r="77" spans="1:2" x14ac:dyDescent="0.25">
      <c r="A77">
        <f t="shared" si="1"/>
        <v>0.23770000000000013</v>
      </c>
      <c r="B77">
        <v>942.71279316222569</v>
      </c>
    </row>
    <row r="78" spans="1:2" x14ac:dyDescent="0.25">
      <c r="A78">
        <f t="shared" si="1"/>
        <v>0.23970000000000014</v>
      </c>
      <c r="B78">
        <v>941.70398613381531</v>
      </c>
    </row>
    <row r="79" spans="1:2" x14ac:dyDescent="0.25">
      <c r="A79">
        <f t="shared" si="1"/>
        <v>0.24170000000000014</v>
      </c>
      <c r="B79">
        <v>940.64326082593425</v>
      </c>
    </row>
    <row r="80" spans="1:2" x14ac:dyDescent="0.25">
      <c r="A80">
        <f t="shared" si="1"/>
        <v>0.24370000000000014</v>
      </c>
      <c r="B80">
        <v>939.75075150836381</v>
      </c>
    </row>
    <row r="81" spans="1:2" x14ac:dyDescent="0.25">
      <c r="A81">
        <f t="shared" si="1"/>
        <v>0.24570000000000014</v>
      </c>
      <c r="B81">
        <v>938.74606543497441</v>
      </c>
    </row>
    <row r="82" spans="1:2" x14ac:dyDescent="0.25">
      <c r="A82">
        <f t="shared" si="1"/>
        <v>0.24770000000000014</v>
      </c>
      <c r="B82">
        <v>937.59135216153504</v>
      </c>
    </row>
    <row r="83" spans="1:2" x14ac:dyDescent="0.25">
      <c r="A83">
        <f t="shared" si="1"/>
        <v>0.24970000000000014</v>
      </c>
      <c r="B83">
        <v>936.54393975768437</v>
      </c>
    </row>
    <row r="84" spans="1:2" x14ac:dyDescent="0.25">
      <c r="A84">
        <f t="shared" si="1"/>
        <v>0.25170000000000015</v>
      </c>
      <c r="B84">
        <v>935.58800551388254</v>
      </c>
    </row>
    <row r="85" spans="1:2" x14ac:dyDescent="0.25">
      <c r="A85">
        <f t="shared" si="1"/>
        <v>0.25370000000000015</v>
      </c>
      <c r="B85">
        <v>934.50871187077871</v>
      </c>
    </row>
    <row r="86" spans="1:2" x14ac:dyDescent="0.25">
      <c r="A86">
        <f t="shared" si="1"/>
        <v>0.25570000000000015</v>
      </c>
      <c r="B86">
        <v>933.42813072871638</v>
      </c>
    </row>
    <row r="87" spans="1:2" x14ac:dyDescent="0.25">
      <c r="A87">
        <f t="shared" si="1"/>
        <v>0.25770000000000015</v>
      </c>
      <c r="B87">
        <v>932.46130301100789</v>
      </c>
    </row>
    <row r="88" spans="1:2" x14ac:dyDescent="0.25">
      <c r="A88">
        <f t="shared" si="1"/>
        <v>0.25970000000000015</v>
      </c>
      <c r="B88">
        <v>931.41400685707731</v>
      </c>
    </row>
    <row r="89" spans="1:2" x14ac:dyDescent="0.25">
      <c r="A89">
        <f t="shared" si="1"/>
        <v>0.26170000000000015</v>
      </c>
      <c r="B89">
        <v>930.30318192144227</v>
      </c>
    </row>
    <row r="90" spans="1:2" x14ac:dyDescent="0.25">
      <c r="A90">
        <f t="shared" si="1"/>
        <v>0.26370000000000016</v>
      </c>
      <c r="B90">
        <v>929.33407251455606</v>
      </c>
    </row>
    <row r="91" spans="1:2" x14ac:dyDescent="0.25">
      <c r="A91">
        <f t="shared" si="1"/>
        <v>0.26570000000000016</v>
      </c>
      <c r="B91">
        <v>928.31258231053948</v>
      </c>
    </row>
    <row r="92" spans="1:2" x14ac:dyDescent="0.25">
      <c r="A92">
        <f t="shared" si="1"/>
        <v>0.26770000000000016</v>
      </c>
      <c r="B92">
        <v>927.27011311731098</v>
      </c>
    </row>
    <row r="93" spans="1:2" x14ac:dyDescent="0.25">
      <c r="A93">
        <f t="shared" si="1"/>
        <v>0.26970000000000016</v>
      </c>
      <c r="B93">
        <v>926.38196931174161</v>
      </c>
    </row>
    <row r="94" spans="1:2" x14ac:dyDescent="0.25">
      <c r="A94">
        <f t="shared" si="1"/>
        <v>0.27170000000000016</v>
      </c>
      <c r="B94">
        <v>925.34090700106844</v>
      </c>
    </row>
    <row r="95" spans="1:2" x14ac:dyDescent="0.25">
      <c r="A95">
        <f t="shared" si="1"/>
        <v>0.27370000000000017</v>
      </c>
      <c r="B95">
        <v>924.19631618049721</v>
      </c>
    </row>
    <row r="96" spans="1:2" x14ac:dyDescent="0.25">
      <c r="A96">
        <f t="shared" si="1"/>
        <v>0.27570000000000017</v>
      </c>
      <c r="B96">
        <v>923.04261494907678</v>
      </c>
    </row>
    <row r="97" spans="1:2" x14ac:dyDescent="0.25">
      <c r="A97">
        <f t="shared" si="1"/>
        <v>0.27770000000000017</v>
      </c>
      <c r="B97">
        <v>921.92593313468069</v>
      </c>
    </row>
    <row r="98" spans="1:2" x14ac:dyDescent="0.25">
      <c r="A98">
        <f t="shared" si="1"/>
        <v>0.27970000000000017</v>
      </c>
      <c r="B98">
        <v>920.84272559030182</v>
      </c>
    </row>
    <row r="99" spans="1:2" x14ac:dyDescent="0.25">
      <c r="A99">
        <f t="shared" si="1"/>
        <v>0.28170000000000017</v>
      </c>
      <c r="B99">
        <v>919.81422843783309</v>
      </c>
    </row>
    <row r="100" spans="1:2" x14ac:dyDescent="0.25">
      <c r="A100">
        <f t="shared" si="1"/>
        <v>0.28370000000000017</v>
      </c>
      <c r="B100">
        <v>918.80823946169733</v>
      </c>
    </row>
    <row r="101" spans="1:2" x14ac:dyDescent="0.25">
      <c r="A101">
        <f t="shared" si="1"/>
        <v>0.28570000000000018</v>
      </c>
      <c r="B101">
        <v>917.91471567925623</v>
      </c>
    </row>
    <row r="102" spans="1:2" x14ac:dyDescent="0.25">
      <c r="A102">
        <f t="shared" si="1"/>
        <v>0.28770000000000018</v>
      </c>
      <c r="B102">
        <v>916.78153069030816</v>
      </c>
    </row>
    <row r="103" spans="1:2" x14ac:dyDescent="0.25">
      <c r="A103">
        <f t="shared" si="1"/>
        <v>0.28970000000000018</v>
      </c>
      <c r="B103">
        <v>915.87960530356872</v>
      </c>
    </row>
    <row r="104" spans="1:2" x14ac:dyDescent="0.25">
      <c r="A104">
        <f t="shared" si="1"/>
        <v>0.29170000000000018</v>
      </c>
      <c r="B104">
        <v>914.75925917767267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Button 2">
              <controlPr defaultSize="0" print="0" autoFill="0" autoPict="0" macro="[0]!Sheet15.black_scholes_vega_1">
                <anchor moveWithCells="1" sizeWithCells="1">
                  <from>
                    <xdr:col>4</xdr:col>
                    <xdr:colOff>552450</xdr:colOff>
                    <xdr:row>3</xdr:row>
                    <xdr:rowOff>152400</xdr:rowOff>
                  </from>
                  <to>
                    <xdr:col>6</xdr:col>
                    <xdr:colOff>133350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104"/>
  <sheetViews>
    <sheetView workbookViewId="0"/>
  </sheetViews>
  <sheetFormatPr defaultRowHeight="15" x14ac:dyDescent="0.25"/>
  <cols>
    <col min="3" max="3" width="15.140625" bestFit="1" customWidth="1"/>
    <col min="11" max="11" width="9.85546875" bestFit="1" customWidth="1"/>
  </cols>
  <sheetData>
    <row r="1" spans="1:14" x14ac:dyDescent="0.25">
      <c r="B1" t="s">
        <v>38</v>
      </c>
      <c r="C1">
        <f>'Parameter Page'!E6</f>
        <v>0.16717299999999999</v>
      </c>
      <c r="E1">
        <f>C1-0.05</f>
        <v>0.11717299999999999</v>
      </c>
      <c r="F1">
        <f>C1+0.05</f>
        <v>0.217173</v>
      </c>
    </row>
    <row r="2" spans="1:14" x14ac:dyDescent="0.25">
      <c r="C2" t="s">
        <v>36</v>
      </c>
      <c r="D2">
        <f>COUNT(B4:B204)</f>
        <v>101</v>
      </c>
      <c r="J2" t="s">
        <v>46</v>
      </c>
    </row>
    <row r="3" spans="1:14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4" x14ac:dyDescent="0.25">
      <c r="A4" t="str">
        <f>TEXT(B4,"00.00%")</f>
        <v>11.72%</v>
      </c>
      <c r="B4">
        <f>E1</f>
        <v>0.11717299999999999</v>
      </c>
      <c r="C4">
        <v>981.57870444109369</v>
      </c>
      <c r="I4" s="5" t="s">
        <v>64</v>
      </c>
      <c r="J4">
        <f>VLOOKUP(I4,$A$4:$C$104,3,0)</f>
        <v>979.87579127632875</v>
      </c>
      <c r="K4" t="s">
        <v>48</v>
      </c>
      <c r="M4" t="s">
        <v>116</v>
      </c>
      <c r="N4" s="14">
        <f>ABS(($J$6-$J$4)/$J$5)</f>
        <v>2.0688874782787193E-3</v>
      </c>
    </row>
    <row r="5" spans="1:14" x14ac:dyDescent="0.25">
      <c r="A5" t="str">
        <f t="shared" ref="A5:A68" si="0">TEXT(B5,"00.00%")</f>
        <v>11.82%</v>
      </c>
      <c r="B5">
        <f>B4+0.001</f>
        <v>0.11817299999999999</v>
      </c>
      <c r="C5">
        <v>981.53973425423351</v>
      </c>
      <c r="I5" s="5" t="s">
        <v>63</v>
      </c>
      <c r="J5">
        <f t="shared" ref="J5:J6" si="1">VLOOKUP(I5,$A$4:$C$104,3,0)</f>
        <v>978.96141812757753</v>
      </c>
      <c r="K5" s="6">
        <f>(J5-J4)/J4</f>
        <v>-9.3315209630826293E-4</v>
      </c>
      <c r="M5" t="s">
        <v>121</v>
      </c>
      <c r="N5" s="15">
        <f>ABS(($I$6-$I$4)/$I$5)</f>
        <v>0.11961722488038272</v>
      </c>
    </row>
    <row r="6" spans="1:14" x14ac:dyDescent="0.25">
      <c r="A6" t="str">
        <f t="shared" si="0"/>
        <v>11.92%</v>
      </c>
      <c r="B6">
        <f t="shared" ref="B6:B69" si="2">B5+0.001</f>
        <v>0.11917299999999999</v>
      </c>
      <c r="C6">
        <v>981.52835841650062</v>
      </c>
      <c r="I6" s="5" t="s">
        <v>65</v>
      </c>
      <c r="J6">
        <f t="shared" si="1"/>
        <v>977.85043025664663</v>
      </c>
      <c r="K6" s="6">
        <f>(J6-J5)/J5</f>
        <v>-1.134863795813162E-3</v>
      </c>
      <c r="M6" t="s">
        <v>122</v>
      </c>
      <c r="N6" s="15">
        <f>N4/(2*N5)</f>
        <v>8.6479496592050502E-3</v>
      </c>
    </row>
    <row r="7" spans="1:14" x14ac:dyDescent="0.25">
      <c r="A7" t="str">
        <f t="shared" si="0"/>
        <v>12.02%</v>
      </c>
      <c r="B7">
        <f t="shared" si="2"/>
        <v>0.12017299999999999</v>
      </c>
      <c r="C7">
        <v>981.50254702410712</v>
      </c>
    </row>
    <row r="8" spans="1:14" x14ac:dyDescent="0.25">
      <c r="A8" t="str">
        <f t="shared" si="0"/>
        <v>12.12%</v>
      </c>
      <c r="B8">
        <f t="shared" si="2"/>
        <v>0.12117299999999999</v>
      </c>
      <c r="C8">
        <v>981.47976105272255</v>
      </c>
    </row>
    <row r="9" spans="1:14" x14ac:dyDescent="0.25">
      <c r="A9" t="str">
        <f t="shared" si="0"/>
        <v>12.22%</v>
      </c>
      <c r="B9">
        <f t="shared" si="2"/>
        <v>0.12217299999999999</v>
      </c>
      <c r="C9">
        <v>981.45603440266802</v>
      </c>
    </row>
    <row r="10" spans="1:14" x14ac:dyDescent="0.25">
      <c r="A10" t="str">
        <f t="shared" si="0"/>
        <v>12.32%</v>
      </c>
      <c r="B10">
        <f t="shared" si="2"/>
        <v>0.12317299999999999</v>
      </c>
      <c r="C10">
        <v>981.43266730251662</v>
      </c>
    </row>
    <row r="11" spans="1:14" x14ac:dyDescent="0.25">
      <c r="A11" t="str">
        <f t="shared" si="0"/>
        <v>12.42%</v>
      </c>
      <c r="B11">
        <f t="shared" si="2"/>
        <v>0.12417299999999999</v>
      </c>
      <c r="C11">
        <v>981.41365061919055</v>
      </c>
    </row>
    <row r="12" spans="1:14" x14ac:dyDescent="0.25">
      <c r="A12" t="str">
        <f t="shared" si="0"/>
        <v>12.52%</v>
      </c>
      <c r="B12">
        <f t="shared" si="2"/>
        <v>0.12517299999999998</v>
      </c>
      <c r="C12">
        <v>981.39138769965393</v>
      </c>
    </row>
    <row r="13" spans="1:14" x14ac:dyDescent="0.25">
      <c r="A13" t="str">
        <f t="shared" si="0"/>
        <v>12.62%</v>
      </c>
      <c r="B13">
        <f t="shared" si="2"/>
        <v>0.12617299999999998</v>
      </c>
      <c r="C13">
        <v>981.36634326325543</v>
      </c>
    </row>
    <row r="14" spans="1:14" x14ac:dyDescent="0.25">
      <c r="A14" t="str">
        <f t="shared" si="0"/>
        <v>12.72%</v>
      </c>
      <c r="B14">
        <f t="shared" si="2"/>
        <v>0.12717299999999998</v>
      </c>
      <c r="C14">
        <v>981.34220206268537</v>
      </c>
    </row>
    <row r="15" spans="1:14" x14ac:dyDescent="0.25">
      <c r="A15" t="str">
        <f t="shared" si="0"/>
        <v>12.82%</v>
      </c>
      <c r="B15">
        <f t="shared" si="2"/>
        <v>0.12817299999999998</v>
      </c>
      <c r="C15">
        <v>981.33786076317836</v>
      </c>
    </row>
    <row r="16" spans="1:14" x14ac:dyDescent="0.25">
      <c r="A16" t="str">
        <f t="shared" si="0"/>
        <v>12.92%</v>
      </c>
      <c r="B16">
        <f t="shared" si="2"/>
        <v>0.12917299999999998</v>
      </c>
      <c r="C16">
        <v>981.31285279161739</v>
      </c>
    </row>
    <row r="17" spans="1:3" x14ac:dyDescent="0.25">
      <c r="A17" t="str">
        <f t="shared" si="0"/>
        <v>13.02%</v>
      </c>
      <c r="B17">
        <f t="shared" si="2"/>
        <v>0.13017299999999998</v>
      </c>
      <c r="C17">
        <v>981.27080052735641</v>
      </c>
    </row>
    <row r="18" spans="1:3" x14ac:dyDescent="0.25">
      <c r="A18" t="str">
        <f t="shared" si="0"/>
        <v>13.12%</v>
      </c>
      <c r="B18">
        <f t="shared" si="2"/>
        <v>0.13117299999999998</v>
      </c>
      <c r="C18">
        <v>981.23652507831878</v>
      </c>
    </row>
    <row r="19" spans="1:3" x14ac:dyDescent="0.25">
      <c r="A19" t="str">
        <f t="shared" si="0"/>
        <v>13.22%</v>
      </c>
      <c r="B19">
        <f t="shared" si="2"/>
        <v>0.13217299999999998</v>
      </c>
      <c r="C19">
        <v>981.2096743489974</v>
      </c>
    </row>
    <row r="20" spans="1:3" x14ac:dyDescent="0.25">
      <c r="A20" t="str">
        <f t="shared" si="0"/>
        <v>13.32%</v>
      </c>
      <c r="B20">
        <f t="shared" si="2"/>
        <v>0.13317299999999999</v>
      </c>
      <c r="C20">
        <v>981.17860327713777</v>
      </c>
    </row>
    <row r="21" spans="1:3" x14ac:dyDescent="0.25">
      <c r="A21" t="str">
        <f t="shared" si="0"/>
        <v>13.42%</v>
      </c>
      <c r="B21">
        <f t="shared" si="2"/>
        <v>0.13417299999999999</v>
      </c>
      <c r="C21">
        <v>981.13653905497927</v>
      </c>
    </row>
    <row r="22" spans="1:3" x14ac:dyDescent="0.25">
      <c r="A22" t="str">
        <f t="shared" si="0"/>
        <v>13.52%</v>
      </c>
      <c r="B22">
        <f t="shared" si="2"/>
        <v>0.13517299999999999</v>
      </c>
      <c r="C22">
        <v>981.0999968186527</v>
      </c>
    </row>
    <row r="23" spans="1:3" x14ac:dyDescent="0.25">
      <c r="A23" t="str">
        <f t="shared" si="0"/>
        <v>13.62%</v>
      </c>
      <c r="B23">
        <f t="shared" si="2"/>
        <v>0.13617299999999999</v>
      </c>
      <c r="C23">
        <v>981.06913841494202</v>
      </c>
    </row>
    <row r="24" spans="1:3" x14ac:dyDescent="0.25">
      <c r="A24" t="str">
        <f t="shared" si="0"/>
        <v>13.72%</v>
      </c>
      <c r="B24">
        <f t="shared" si="2"/>
        <v>0.13717299999999999</v>
      </c>
      <c r="C24">
        <v>981.0338282489563</v>
      </c>
    </row>
    <row r="25" spans="1:3" x14ac:dyDescent="0.25">
      <c r="A25" t="str">
        <f t="shared" si="0"/>
        <v>13.82%</v>
      </c>
      <c r="B25">
        <f t="shared" si="2"/>
        <v>0.13817299999999999</v>
      </c>
      <c r="C25">
        <v>981.00249407988792</v>
      </c>
    </row>
    <row r="26" spans="1:3" x14ac:dyDescent="0.25">
      <c r="A26" t="str">
        <f t="shared" si="0"/>
        <v>13.92%</v>
      </c>
      <c r="B26">
        <f t="shared" si="2"/>
        <v>0.13917299999999999</v>
      </c>
      <c r="C26">
        <v>980.96551745432055</v>
      </c>
    </row>
    <row r="27" spans="1:3" x14ac:dyDescent="0.25">
      <c r="A27" t="str">
        <f t="shared" si="0"/>
        <v>14.02%</v>
      </c>
      <c r="B27">
        <f t="shared" si="2"/>
        <v>0.14017299999999999</v>
      </c>
      <c r="C27">
        <v>980.91843923497811</v>
      </c>
    </row>
    <row r="28" spans="1:3" x14ac:dyDescent="0.25">
      <c r="A28" t="str">
        <f t="shared" si="0"/>
        <v>14.12%</v>
      </c>
      <c r="B28">
        <f t="shared" si="2"/>
        <v>0.14117299999999999</v>
      </c>
      <c r="C28">
        <v>980.88466303154405</v>
      </c>
    </row>
    <row r="29" spans="1:3" x14ac:dyDescent="0.25">
      <c r="A29" t="str">
        <f t="shared" si="0"/>
        <v>14.22%</v>
      </c>
      <c r="B29">
        <f t="shared" si="2"/>
        <v>0.14217299999999999</v>
      </c>
      <c r="C29">
        <v>980.84279374568894</v>
      </c>
    </row>
    <row r="30" spans="1:3" x14ac:dyDescent="0.25">
      <c r="A30" t="str">
        <f t="shared" si="0"/>
        <v>14.32%</v>
      </c>
      <c r="B30">
        <f t="shared" si="2"/>
        <v>0.14317299999999999</v>
      </c>
      <c r="C30">
        <v>980.78387983964831</v>
      </c>
    </row>
    <row r="31" spans="1:3" x14ac:dyDescent="0.25">
      <c r="A31" t="str">
        <f t="shared" si="0"/>
        <v>14.42%</v>
      </c>
      <c r="B31">
        <f t="shared" si="2"/>
        <v>0.144173</v>
      </c>
      <c r="C31">
        <v>980.72586981442055</v>
      </c>
    </row>
    <row r="32" spans="1:3" x14ac:dyDescent="0.25">
      <c r="A32" t="str">
        <f t="shared" si="0"/>
        <v>14.52%</v>
      </c>
      <c r="B32">
        <f t="shared" si="2"/>
        <v>0.145173</v>
      </c>
      <c r="C32">
        <v>980.67955002614519</v>
      </c>
    </row>
    <row r="33" spans="1:3" x14ac:dyDescent="0.25">
      <c r="A33" t="str">
        <f t="shared" si="0"/>
        <v>14.62%</v>
      </c>
      <c r="B33">
        <f t="shared" si="2"/>
        <v>0.146173</v>
      </c>
      <c r="C33">
        <v>980.62967542903243</v>
      </c>
    </row>
    <row r="34" spans="1:3" x14ac:dyDescent="0.25">
      <c r="A34" t="str">
        <f t="shared" si="0"/>
        <v>14.72%</v>
      </c>
      <c r="B34">
        <f t="shared" si="2"/>
        <v>0.147173</v>
      </c>
      <c r="C34">
        <v>980.58223453727874</v>
      </c>
    </row>
    <row r="35" spans="1:3" x14ac:dyDescent="0.25">
      <c r="A35" t="str">
        <f t="shared" si="0"/>
        <v>14.82%</v>
      </c>
      <c r="B35">
        <f t="shared" si="2"/>
        <v>0.148173</v>
      </c>
      <c r="C35">
        <v>980.5204221749334</v>
      </c>
    </row>
    <row r="36" spans="1:3" x14ac:dyDescent="0.25">
      <c r="A36" t="str">
        <f t="shared" si="0"/>
        <v>14.92%</v>
      </c>
      <c r="B36">
        <f t="shared" si="2"/>
        <v>0.149173</v>
      </c>
      <c r="C36">
        <v>980.45435324174161</v>
      </c>
    </row>
    <row r="37" spans="1:3" x14ac:dyDescent="0.25">
      <c r="A37" t="str">
        <f t="shared" si="0"/>
        <v>15.02%</v>
      </c>
      <c r="B37">
        <f t="shared" si="2"/>
        <v>0.150173</v>
      </c>
      <c r="C37">
        <v>980.38363672489686</v>
      </c>
    </row>
    <row r="38" spans="1:3" x14ac:dyDescent="0.25">
      <c r="A38" t="str">
        <f t="shared" si="0"/>
        <v>15.12%</v>
      </c>
      <c r="B38">
        <f t="shared" si="2"/>
        <v>0.151173</v>
      </c>
      <c r="C38">
        <v>980.32232784516066</v>
      </c>
    </row>
    <row r="39" spans="1:3" x14ac:dyDescent="0.25">
      <c r="A39" t="str">
        <f t="shared" si="0"/>
        <v>15.22%</v>
      </c>
      <c r="B39">
        <f t="shared" si="2"/>
        <v>0.152173</v>
      </c>
      <c r="C39">
        <v>980.23649080649375</v>
      </c>
    </row>
    <row r="40" spans="1:3" x14ac:dyDescent="0.25">
      <c r="A40" t="str">
        <f t="shared" si="0"/>
        <v>15.32%</v>
      </c>
      <c r="B40">
        <f t="shared" si="2"/>
        <v>0.153173</v>
      </c>
      <c r="C40">
        <v>980.16576707544505</v>
      </c>
    </row>
    <row r="41" spans="1:3" x14ac:dyDescent="0.25">
      <c r="A41" t="str">
        <f t="shared" si="0"/>
        <v>15.42%</v>
      </c>
      <c r="B41">
        <f t="shared" si="2"/>
        <v>0.154173</v>
      </c>
      <c r="C41">
        <v>980.07890385700898</v>
      </c>
    </row>
    <row r="42" spans="1:3" x14ac:dyDescent="0.25">
      <c r="A42" t="str">
        <f t="shared" si="0"/>
        <v>15.52%</v>
      </c>
      <c r="B42">
        <f t="shared" si="2"/>
        <v>0.15517300000000001</v>
      </c>
      <c r="C42">
        <v>980.01330780748128</v>
      </c>
    </row>
    <row r="43" spans="1:3" x14ac:dyDescent="0.25">
      <c r="A43" t="str">
        <f t="shared" si="0"/>
        <v>15.62%</v>
      </c>
      <c r="B43">
        <f t="shared" si="2"/>
        <v>0.15617300000000001</v>
      </c>
      <c r="C43">
        <v>979.94003898731273</v>
      </c>
    </row>
    <row r="44" spans="1:3" x14ac:dyDescent="0.25">
      <c r="A44" t="str">
        <f t="shared" si="0"/>
        <v>15.72%</v>
      </c>
      <c r="B44">
        <f t="shared" si="2"/>
        <v>0.15717300000000001</v>
      </c>
      <c r="C44">
        <v>979.87579127632875</v>
      </c>
    </row>
    <row r="45" spans="1:3" x14ac:dyDescent="0.25">
      <c r="A45" t="str">
        <f t="shared" si="0"/>
        <v>15.82%</v>
      </c>
      <c r="B45">
        <f t="shared" si="2"/>
        <v>0.15817300000000001</v>
      </c>
      <c r="C45">
        <v>979.78927675849332</v>
      </c>
    </row>
    <row r="46" spans="1:3" x14ac:dyDescent="0.25">
      <c r="A46" t="str">
        <f t="shared" si="0"/>
        <v>15.92%</v>
      </c>
      <c r="B46">
        <f t="shared" si="2"/>
        <v>0.15917300000000001</v>
      </c>
      <c r="C46">
        <v>979.70146501695592</v>
      </c>
    </row>
    <row r="47" spans="1:3" x14ac:dyDescent="0.25">
      <c r="A47" t="str">
        <f t="shared" si="0"/>
        <v>16.02%</v>
      </c>
      <c r="B47">
        <f t="shared" si="2"/>
        <v>0.16017300000000001</v>
      </c>
      <c r="C47">
        <v>979.6267217323483</v>
      </c>
    </row>
    <row r="48" spans="1:3" x14ac:dyDescent="0.25">
      <c r="A48" t="str">
        <f t="shared" si="0"/>
        <v>16.12%</v>
      </c>
      <c r="B48">
        <f t="shared" si="2"/>
        <v>0.16117300000000001</v>
      </c>
      <c r="C48">
        <v>979.54309230438002</v>
      </c>
    </row>
    <row r="49" spans="1:3" x14ac:dyDescent="0.25">
      <c r="A49" t="str">
        <f t="shared" si="0"/>
        <v>16.22%</v>
      </c>
      <c r="B49">
        <f t="shared" si="2"/>
        <v>0.16217300000000001</v>
      </c>
      <c r="C49">
        <v>979.44711382729656</v>
      </c>
    </row>
    <row r="50" spans="1:3" x14ac:dyDescent="0.25">
      <c r="A50" t="str">
        <f t="shared" si="0"/>
        <v>16.32%</v>
      </c>
      <c r="B50">
        <f t="shared" si="2"/>
        <v>0.16317300000000001</v>
      </c>
      <c r="C50">
        <v>979.36238856038972</v>
      </c>
    </row>
    <row r="51" spans="1:3" x14ac:dyDescent="0.25">
      <c r="A51" t="str">
        <f t="shared" si="0"/>
        <v>16.42%</v>
      </c>
      <c r="B51">
        <f t="shared" si="2"/>
        <v>0.16417300000000001</v>
      </c>
      <c r="C51">
        <v>979.28009502680129</v>
      </c>
    </row>
    <row r="52" spans="1:3" x14ac:dyDescent="0.25">
      <c r="A52" t="str">
        <f t="shared" si="0"/>
        <v>16.52%</v>
      </c>
      <c r="B52">
        <f t="shared" si="2"/>
        <v>0.16517300000000001</v>
      </c>
      <c r="C52">
        <v>979.17964116677206</v>
      </c>
    </row>
    <row r="53" spans="1:3" x14ac:dyDescent="0.25">
      <c r="A53" t="str">
        <f t="shared" si="0"/>
        <v>16.62%</v>
      </c>
      <c r="B53">
        <f t="shared" si="2"/>
        <v>0.16617300000000002</v>
      </c>
      <c r="C53">
        <v>979.05916424803138</v>
      </c>
    </row>
    <row r="54" spans="1:3" x14ac:dyDescent="0.25">
      <c r="A54" t="str">
        <f t="shared" si="0"/>
        <v>16.72%</v>
      </c>
      <c r="B54">
        <f t="shared" si="2"/>
        <v>0.16717300000000002</v>
      </c>
      <c r="C54">
        <v>978.96141812757753</v>
      </c>
    </row>
    <row r="55" spans="1:3" x14ac:dyDescent="0.25">
      <c r="A55" t="str">
        <f t="shared" si="0"/>
        <v>16.82%</v>
      </c>
      <c r="B55">
        <f t="shared" si="2"/>
        <v>0.16817300000000002</v>
      </c>
      <c r="C55">
        <v>978.84793153021621</v>
      </c>
    </row>
    <row r="56" spans="1:3" x14ac:dyDescent="0.25">
      <c r="A56" t="str">
        <f t="shared" si="0"/>
        <v>16.92%</v>
      </c>
      <c r="B56">
        <f t="shared" si="2"/>
        <v>0.16917300000000002</v>
      </c>
      <c r="C56">
        <v>978.74229001772665</v>
      </c>
    </row>
    <row r="57" spans="1:3" x14ac:dyDescent="0.25">
      <c r="A57" t="str">
        <f t="shared" si="0"/>
        <v>17.02%</v>
      </c>
      <c r="B57">
        <f t="shared" si="2"/>
        <v>0.17017300000000002</v>
      </c>
      <c r="C57">
        <v>978.6269575188162</v>
      </c>
    </row>
    <row r="58" spans="1:3" x14ac:dyDescent="0.25">
      <c r="A58" t="str">
        <f t="shared" si="0"/>
        <v>17.12%</v>
      </c>
      <c r="B58">
        <f t="shared" si="2"/>
        <v>0.17117300000000002</v>
      </c>
      <c r="C58">
        <v>978.53656472435421</v>
      </c>
    </row>
    <row r="59" spans="1:3" x14ac:dyDescent="0.25">
      <c r="A59" t="str">
        <f t="shared" si="0"/>
        <v>17.22%</v>
      </c>
      <c r="B59">
        <f t="shared" si="2"/>
        <v>0.17217300000000002</v>
      </c>
      <c r="C59">
        <v>978.43034108193444</v>
      </c>
    </row>
    <row r="60" spans="1:3" x14ac:dyDescent="0.25">
      <c r="A60" t="str">
        <f t="shared" si="0"/>
        <v>17.32%</v>
      </c>
      <c r="B60">
        <f t="shared" si="2"/>
        <v>0.17317300000000002</v>
      </c>
      <c r="C60">
        <v>978.31562975385782</v>
      </c>
    </row>
    <row r="61" spans="1:3" x14ac:dyDescent="0.25">
      <c r="A61" t="str">
        <f t="shared" si="0"/>
        <v>17.42%</v>
      </c>
      <c r="B61">
        <f t="shared" si="2"/>
        <v>0.17417300000000002</v>
      </c>
      <c r="C61">
        <v>978.19894446049466</v>
      </c>
    </row>
    <row r="62" spans="1:3" x14ac:dyDescent="0.25">
      <c r="A62" t="str">
        <f t="shared" si="0"/>
        <v>17.52%</v>
      </c>
      <c r="B62">
        <f t="shared" si="2"/>
        <v>0.17517300000000002</v>
      </c>
      <c r="C62">
        <v>978.07632836046059</v>
      </c>
    </row>
    <row r="63" spans="1:3" x14ac:dyDescent="0.25">
      <c r="A63" t="str">
        <f t="shared" si="0"/>
        <v>17.62%</v>
      </c>
      <c r="B63">
        <f t="shared" si="2"/>
        <v>0.17617300000000002</v>
      </c>
      <c r="C63">
        <v>977.96507698478763</v>
      </c>
    </row>
    <row r="64" spans="1:3" x14ac:dyDescent="0.25">
      <c r="A64" t="str">
        <f t="shared" si="0"/>
        <v>17.72%</v>
      </c>
      <c r="B64">
        <f t="shared" si="2"/>
        <v>0.17717300000000002</v>
      </c>
      <c r="C64">
        <v>977.85043025664663</v>
      </c>
    </row>
    <row r="65" spans="1:3" x14ac:dyDescent="0.25">
      <c r="A65" t="str">
        <f t="shared" si="0"/>
        <v>17.82%</v>
      </c>
      <c r="B65">
        <f t="shared" si="2"/>
        <v>0.17817300000000003</v>
      </c>
      <c r="C65">
        <v>977.72972142659626</v>
      </c>
    </row>
    <row r="66" spans="1:3" x14ac:dyDescent="0.25">
      <c r="A66" t="str">
        <f t="shared" si="0"/>
        <v>17.92%</v>
      </c>
      <c r="B66">
        <f t="shared" si="2"/>
        <v>0.17917300000000003</v>
      </c>
      <c r="C66">
        <v>977.61462728571053</v>
      </c>
    </row>
    <row r="67" spans="1:3" x14ac:dyDescent="0.25">
      <c r="A67" t="str">
        <f t="shared" si="0"/>
        <v>18.02%</v>
      </c>
      <c r="B67">
        <f t="shared" si="2"/>
        <v>0.18017300000000003</v>
      </c>
      <c r="C67">
        <v>977.47597717840017</v>
      </c>
    </row>
    <row r="68" spans="1:3" x14ac:dyDescent="0.25">
      <c r="A68" t="str">
        <f t="shared" si="0"/>
        <v>18.12%</v>
      </c>
      <c r="B68">
        <f t="shared" si="2"/>
        <v>0.18117300000000003</v>
      </c>
      <c r="C68">
        <v>977.34756864002111</v>
      </c>
    </row>
    <row r="69" spans="1:3" x14ac:dyDescent="0.25">
      <c r="A69" t="str">
        <f t="shared" ref="A69:A104" si="3">TEXT(B69,"00.00%")</f>
        <v>18.22%</v>
      </c>
      <c r="B69">
        <f t="shared" si="2"/>
        <v>0.18217300000000003</v>
      </c>
      <c r="C69">
        <v>977.21868682416675</v>
      </c>
    </row>
    <row r="70" spans="1:3" x14ac:dyDescent="0.25">
      <c r="A70" t="str">
        <f t="shared" si="3"/>
        <v>18.32%</v>
      </c>
      <c r="B70">
        <f t="shared" ref="B70:B104" si="4">B69+0.001</f>
        <v>0.18317300000000003</v>
      </c>
      <c r="C70">
        <v>977.07602549750254</v>
      </c>
    </row>
    <row r="71" spans="1:3" x14ac:dyDescent="0.25">
      <c r="A71" t="str">
        <f t="shared" si="3"/>
        <v>18.42%</v>
      </c>
      <c r="B71">
        <f t="shared" si="4"/>
        <v>0.18417300000000003</v>
      </c>
      <c r="C71">
        <v>976.94166606823103</v>
      </c>
    </row>
    <row r="72" spans="1:3" x14ac:dyDescent="0.25">
      <c r="A72" t="str">
        <f t="shared" si="3"/>
        <v>18.52%</v>
      </c>
      <c r="B72">
        <f t="shared" si="4"/>
        <v>0.18517300000000003</v>
      </c>
      <c r="C72">
        <v>976.80356129691268</v>
      </c>
    </row>
    <row r="73" spans="1:3" x14ac:dyDescent="0.25">
      <c r="A73" t="str">
        <f t="shared" si="3"/>
        <v>18.62%</v>
      </c>
      <c r="B73">
        <f t="shared" si="4"/>
        <v>0.18617300000000003</v>
      </c>
      <c r="C73">
        <v>976.66425056104868</v>
      </c>
    </row>
    <row r="74" spans="1:3" x14ac:dyDescent="0.25">
      <c r="A74" t="str">
        <f t="shared" si="3"/>
        <v>18.72%</v>
      </c>
      <c r="B74">
        <f t="shared" si="4"/>
        <v>0.18717300000000003</v>
      </c>
      <c r="C74">
        <v>976.51673661861741</v>
      </c>
    </row>
    <row r="75" spans="1:3" x14ac:dyDescent="0.25">
      <c r="A75" t="str">
        <f t="shared" si="3"/>
        <v>18.82%</v>
      </c>
      <c r="B75">
        <f t="shared" si="4"/>
        <v>0.18817300000000003</v>
      </c>
      <c r="C75">
        <v>976.35497860812745</v>
      </c>
    </row>
    <row r="76" spans="1:3" x14ac:dyDescent="0.25">
      <c r="A76" t="str">
        <f t="shared" si="3"/>
        <v>18.92%</v>
      </c>
      <c r="B76">
        <f t="shared" si="4"/>
        <v>0.18917300000000004</v>
      </c>
      <c r="C76">
        <v>976.21034606158844</v>
      </c>
    </row>
    <row r="77" spans="1:3" x14ac:dyDescent="0.25">
      <c r="A77" t="str">
        <f t="shared" si="3"/>
        <v>19.02%</v>
      </c>
      <c r="B77">
        <f t="shared" si="4"/>
        <v>0.19017300000000004</v>
      </c>
      <c r="C77">
        <v>976.04472364834828</v>
      </c>
    </row>
    <row r="78" spans="1:3" x14ac:dyDescent="0.25">
      <c r="A78" t="str">
        <f t="shared" si="3"/>
        <v>19.12%</v>
      </c>
      <c r="B78">
        <f t="shared" si="4"/>
        <v>0.19117300000000004</v>
      </c>
      <c r="C78">
        <v>975.87243908237281</v>
      </c>
    </row>
    <row r="79" spans="1:3" x14ac:dyDescent="0.25">
      <c r="A79" t="str">
        <f t="shared" si="3"/>
        <v>19.22%</v>
      </c>
      <c r="B79">
        <f t="shared" si="4"/>
        <v>0.19217300000000004</v>
      </c>
      <c r="C79">
        <v>975.72307070520287</v>
      </c>
    </row>
    <row r="80" spans="1:3" x14ac:dyDescent="0.25">
      <c r="A80" t="str">
        <f t="shared" si="3"/>
        <v>19.32%</v>
      </c>
      <c r="B80">
        <f t="shared" si="4"/>
        <v>0.19317300000000004</v>
      </c>
      <c r="C80">
        <v>975.57121292723559</v>
      </c>
    </row>
    <row r="81" spans="1:3" x14ac:dyDescent="0.25">
      <c r="A81" t="str">
        <f t="shared" si="3"/>
        <v>19.42%</v>
      </c>
      <c r="B81">
        <f t="shared" si="4"/>
        <v>0.19417300000000004</v>
      </c>
      <c r="C81">
        <v>975.4005110879998</v>
      </c>
    </row>
    <row r="82" spans="1:3" x14ac:dyDescent="0.25">
      <c r="A82" t="str">
        <f t="shared" si="3"/>
        <v>19.52%</v>
      </c>
      <c r="B82">
        <f t="shared" si="4"/>
        <v>0.19517300000000004</v>
      </c>
      <c r="C82">
        <v>975.24450225123883</v>
      </c>
    </row>
    <row r="83" spans="1:3" x14ac:dyDescent="0.25">
      <c r="A83" t="str">
        <f t="shared" si="3"/>
        <v>19.62%</v>
      </c>
      <c r="B83">
        <f t="shared" si="4"/>
        <v>0.19617300000000004</v>
      </c>
      <c r="C83">
        <v>975.04310711050755</v>
      </c>
    </row>
    <row r="84" spans="1:3" x14ac:dyDescent="0.25">
      <c r="A84" t="str">
        <f t="shared" si="3"/>
        <v>19.72%</v>
      </c>
      <c r="B84">
        <f t="shared" si="4"/>
        <v>0.19717300000000004</v>
      </c>
      <c r="C84">
        <v>974.86872866776343</v>
      </c>
    </row>
    <row r="85" spans="1:3" x14ac:dyDescent="0.25">
      <c r="A85" t="str">
        <f t="shared" si="3"/>
        <v>19.82%</v>
      </c>
      <c r="B85">
        <f t="shared" si="4"/>
        <v>0.19817300000000004</v>
      </c>
      <c r="C85">
        <v>974.68869779100066</v>
      </c>
    </row>
    <row r="86" spans="1:3" x14ac:dyDescent="0.25">
      <c r="A86" t="str">
        <f t="shared" si="3"/>
        <v>19.92%</v>
      </c>
      <c r="B86">
        <f t="shared" si="4"/>
        <v>0.19917300000000004</v>
      </c>
      <c r="C86">
        <v>974.50329101328214</v>
      </c>
    </row>
    <row r="87" spans="1:3" x14ac:dyDescent="0.25">
      <c r="A87" t="str">
        <f t="shared" si="3"/>
        <v>20.02%</v>
      </c>
      <c r="B87">
        <f t="shared" si="4"/>
        <v>0.20017300000000005</v>
      </c>
      <c r="C87">
        <v>974.31968521604836</v>
      </c>
    </row>
    <row r="88" spans="1:3" x14ac:dyDescent="0.25">
      <c r="A88" t="str">
        <f t="shared" si="3"/>
        <v>20.12%</v>
      </c>
      <c r="B88">
        <f t="shared" si="4"/>
        <v>0.20117300000000005</v>
      </c>
      <c r="C88">
        <v>974.15695381116655</v>
      </c>
    </row>
    <row r="89" spans="1:3" x14ac:dyDescent="0.25">
      <c r="A89" t="str">
        <f t="shared" si="3"/>
        <v>20.22%</v>
      </c>
      <c r="B89">
        <f t="shared" si="4"/>
        <v>0.20217300000000005</v>
      </c>
      <c r="C89">
        <v>973.98677274371369</v>
      </c>
    </row>
    <row r="90" spans="1:3" x14ac:dyDescent="0.25">
      <c r="A90" t="str">
        <f t="shared" si="3"/>
        <v>20.32%</v>
      </c>
      <c r="B90">
        <f t="shared" si="4"/>
        <v>0.20317300000000005</v>
      </c>
      <c r="C90">
        <v>973.79027603686313</v>
      </c>
    </row>
    <row r="91" spans="1:3" x14ac:dyDescent="0.25">
      <c r="A91" t="str">
        <f t="shared" si="3"/>
        <v>20.42%</v>
      </c>
      <c r="B91">
        <f t="shared" si="4"/>
        <v>0.20417300000000005</v>
      </c>
      <c r="C91">
        <v>973.60816046628656</v>
      </c>
    </row>
    <row r="92" spans="1:3" x14ac:dyDescent="0.25">
      <c r="A92" t="str">
        <f t="shared" si="3"/>
        <v>20.52%</v>
      </c>
      <c r="B92">
        <f t="shared" si="4"/>
        <v>0.20517300000000005</v>
      </c>
      <c r="C92">
        <v>973.41268580531914</v>
      </c>
    </row>
    <row r="93" spans="1:3" x14ac:dyDescent="0.25">
      <c r="A93" t="str">
        <f t="shared" si="3"/>
        <v>20.62%</v>
      </c>
      <c r="B93">
        <f t="shared" si="4"/>
        <v>0.20617300000000005</v>
      </c>
      <c r="C93">
        <v>973.21922422120804</v>
      </c>
    </row>
    <row r="94" spans="1:3" x14ac:dyDescent="0.25">
      <c r="A94" t="str">
        <f t="shared" si="3"/>
        <v>20.72%</v>
      </c>
      <c r="B94">
        <f t="shared" si="4"/>
        <v>0.20717300000000005</v>
      </c>
      <c r="C94">
        <v>972.99263990600116</v>
      </c>
    </row>
    <row r="95" spans="1:3" x14ac:dyDescent="0.25">
      <c r="A95" t="str">
        <f t="shared" si="3"/>
        <v>20.82%</v>
      </c>
      <c r="B95">
        <f t="shared" si="4"/>
        <v>0.20817300000000005</v>
      </c>
      <c r="C95">
        <v>972.80623507512485</v>
      </c>
    </row>
    <row r="96" spans="1:3" x14ac:dyDescent="0.25">
      <c r="A96" t="str">
        <f t="shared" si="3"/>
        <v>20.92%</v>
      </c>
      <c r="B96">
        <f t="shared" si="4"/>
        <v>0.20917300000000005</v>
      </c>
      <c r="C96">
        <v>972.60633045894576</v>
      </c>
    </row>
    <row r="97" spans="1:3" x14ac:dyDescent="0.25">
      <c r="A97" t="str">
        <f t="shared" si="3"/>
        <v>21.02%</v>
      </c>
      <c r="B97">
        <f t="shared" si="4"/>
        <v>0.21017300000000005</v>
      </c>
      <c r="C97">
        <v>972.39201094857503</v>
      </c>
    </row>
    <row r="98" spans="1:3" x14ac:dyDescent="0.25">
      <c r="A98" t="str">
        <f t="shared" si="3"/>
        <v>21.12%</v>
      </c>
      <c r="B98">
        <f t="shared" si="4"/>
        <v>0.21117300000000006</v>
      </c>
      <c r="C98">
        <v>972.15908708858706</v>
      </c>
    </row>
    <row r="99" spans="1:3" x14ac:dyDescent="0.25">
      <c r="A99" t="str">
        <f t="shared" si="3"/>
        <v>21.22%</v>
      </c>
      <c r="B99">
        <f t="shared" si="4"/>
        <v>0.21217300000000006</v>
      </c>
      <c r="C99">
        <v>971.94650577682921</v>
      </c>
    </row>
    <row r="100" spans="1:3" x14ac:dyDescent="0.25">
      <c r="A100" t="str">
        <f t="shared" si="3"/>
        <v>21.32%</v>
      </c>
      <c r="B100">
        <f t="shared" si="4"/>
        <v>0.21317300000000006</v>
      </c>
      <c r="C100">
        <v>971.71237918924373</v>
      </c>
    </row>
    <row r="101" spans="1:3" x14ac:dyDescent="0.25">
      <c r="A101" t="str">
        <f t="shared" si="3"/>
        <v>21.42%</v>
      </c>
      <c r="B101">
        <f t="shared" si="4"/>
        <v>0.21417300000000006</v>
      </c>
      <c r="C101">
        <v>971.49415888945282</v>
      </c>
    </row>
    <row r="102" spans="1:3" x14ac:dyDescent="0.25">
      <c r="A102" t="str">
        <f t="shared" si="3"/>
        <v>21.52%</v>
      </c>
      <c r="B102">
        <f t="shared" si="4"/>
        <v>0.21517300000000006</v>
      </c>
      <c r="C102">
        <v>971.27035976556181</v>
      </c>
    </row>
    <row r="103" spans="1:3" x14ac:dyDescent="0.25">
      <c r="A103" t="str">
        <f t="shared" si="3"/>
        <v>21.62%</v>
      </c>
      <c r="B103">
        <f t="shared" si="4"/>
        <v>0.21617300000000006</v>
      </c>
      <c r="C103">
        <v>971.04025308963537</v>
      </c>
    </row>
    <row r="104" spans="1:3" x14ac:dyDescent="0.25">
      <c r="A104" t="str">
        <f t="shared" si="3"/>
        <v>21.72%</v>
      </c>
      <c r="B104">
        <f t="shared" si="4"/>
        <v>0.21717300000000006</v>
      </c>
      <c r="C104">
        <v>970.84019027813883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Sheet7.black_scholes_sensitivity_in_sigma_S_2">
                <anchor moveWithCells="1" sizeWithCells="1">
                  <from>
                    <xdr:col>4</xdr:col>
                    <xdr:colOff>66675</xdr:colOff>
                    <xdr:row>7</xdr:row>
                    <xdr:rowOff>123825</xdr:rowOff>
                  </from>
                  <to>
                    <xdr:col>5</xdr:col>
                    <xdr:colOff>200025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128"/>
  <sheetViews>
    <sheetView workbookViewId="0"/>
  </sheetViews>
  <sheetFormatPr defaultRowHeight="15" x14ac:dyDescent="0.25"/>
  <sheetData>
    <row r="1" spans="1:24" x14ac:dyDescent="0.25">
      <c r="A1" t="s">
        <v>38</v>
      </c>
      <c r="B1">
        <f>'Parameter Page'!E6</f>
        <v>0.16717299999999999</v>
      </c>
      <c r="D1">
        <f>B1-0.1</f>
        <v>6.7172999999999983E-2</v>
      </c>
      <c r="E1">
        <f>B1+0.1</f>
        <v>0.26717299999999999</v>
      </c>
    </row>
    <row r="2" spans="1:24" x14ac:dyDescent="0.25">
      <c r="B2" t="s">
        <v>36</v>
      </c>
      <c r="C2">
        <f>COUNT(A4:A204)</f>
        <v>101</v>
      </c>
    </row>
    <row r="3" spans="1:24" x14ac:dyDescent="0.25">
      <c r="A3" t="s">
        <v>45</v>
      </c>
      <c r="B3" t="s">
        <v>35</v>
      </c>
      <c r="E3" t="s">
        <v>114</v>
      </c>
      <c r="F3">
        <f>$B$54</f>
        <v>968.25762794084858</v>
      </c>
      <c r="N3" t="s">
        <v>112</v>
      </c>
      <c r="O3" t="s">
        <v>113</v>
      </c>
      <c r="P3" t="s">
        <v>115</v>
      </c>
    </row>
    <row r="4" spans="1:24" x14ac:dyDescent="0.25">
      <c r="A4">
        <f>$D$1</f>
        <v>6.7172999999999983E-2</v>
      </c>
      <c r="B4">
        <v>970.94075449779882</v>
      </c>
      <c r="N4">
        <f>A4-$B$1</f>
        <v>-0.1</v>
      </c>
      <c r="O4">
        <f>B4-$F$3</f>
        <v>2.683126556950242</v>
      </c>
      <c r="P4">
        <f>POWER(O4,2)</f>
        <v>7.1991681206116604</v>
      </c>
    </row>
    <row r="5" spans="1:24" x14ac:dyDescent="0.25">
      <c r="A5">
        <f>A4+0.002</f>
        <v>6.9172999999999984E-2</v>
      </c>
      <c r="B5">
        <v>971.02493054510296</v>
      </c>
      <c r="N5">
        <f t="shared" ref="N5:N68" si="0">A5-$B$1</f>
        <v>-9.8000000000000004E-2</v>
      </c>
      <c r="O5">
        <f t="shared" ref="O5:O68" si="1">B5-$F$3</f>
        <v>2.7673026042543825</v>
      </c>
      <c r="P5">
        <f t="shared" ref="P5:P68" si="2">POWER(O5,2)</f>
        <v>7.6579637035130874</v>
      </c>
      <c r="Q5" s="11"/>
      <c r="R5" s="11"/>
      <c r="S5" s="11"/>
      <c r="T5" s="11"/>
      <c r="U5" s="11"/>
      <c r="V5" s="11"/>
      <c r="W5" s="11"/>
      <c r="X5" s="11"/>
    </row>
    <row r="6" spans="1:24" x14ac:dyDescent="0.25">
      <c r="A6">
        <f t="shared" ref="A6:A69" si="3">A5+0.002</f>
        <v>7.1172999999999986E-2</v>
      </c>
      <c r="B6">
        <v>970.99937362121057</v>
      </c>
      <c r="N6">
        <f t="shared" si="0"/>
        <v>-9.6000000000000002E-2</v>
      </c>
      <c r="O6">
        <f t="shared" si="1"/>
        <v>2.7417456803619871</v>
      </c>
      <c r="P6">
        <f t="shared" si="2"/>
        <v>7.5171693757836158</v>
      </c>
      <c r="Q6" s="12"/>
      <c r="R6" s="11"/>
      <c r="S6" s="11"/>
      <c r="T6" s="11"/>
      <c r="U6" s="11"/>
      <c r="V6" s="11"/>
      <c r="W6" s="11"/>
      <c r="X6" s="11"/>
    </row>
    <row r="7" spans="1:24" x14ac:dyDescent="0.25">
      <c r="A7">
        <f t="shared" si="3"/>
        <v>7.3172999999999988E-2</v>
      </c>
      <c r="B7">
        <v>971.13860274630474</v>
      </c>
      <c r="N7">
        <f t="shared" si="0"/>
        <v>-9.4E-2</v>
      </c>
      <c r="O7">
        <f t="shared" si="1"/>
        <v>2.8809748054561624</v>
      </c>
      <c r="P7">
        <f t="shared" si="2"/>
        <v>8.300015829673173</v>
      </c>
      <c r="Q7" s="7"/>
      <c r="R7" s="11"/>
      <c r="S7" s="11"/>
      <c r="T7" s="11"/>
      <c r="U7" s="11"/>
      <c r="V7" s="11"/>
      <c r="W7" s="11"/>
      <c r="X7" s="11"/>
    </row>
    <row r="8" spans="1:24" x14ac:dyDescent="0.25">
      <c r="A8">
        <f t="shared" si="3"/>
        <v>7.517299999999999E-2</v>
      </c>
      <c r="B8">
        <v>971.09986582600084</v>
      </c>
      <c r="N8">
        <f t="shared" si="0"/>
        <v>-9.1999999999999998E-2</v>
      </c>
      <c r="O8">
        <f t="shared" si="1"/>
        <v>2.8422378851522581</v>
      </c>
      <c r="P8">
        <f t="shared" si="2"/>
        <v>8.0783161957947804</v>
      </c>
      <c r="Q8" s="7"/>
      <c r="R8" s="11"/>
      <c r="S8" s="11"/>
      <c r="T8" s="11"/>
      <c r="U8" s="11"/>
      <c r="V8" s="11"/>
      <c r="W8" s="11"/>
      <c r="X8" s="11"/>
    </row>
    <row r="9" spans="1:24" x14ac:dyDescent="0.25">
      <c r="A9">
        <f t="shared" si="3"/>
        <v>7.7172999999999992E-2</v>
      </c>
      <c r="B9">
        <v>971.17055672021127</v>
      </c>
      <c r="N9">
        <f t="shared" si="0"/>
        <v>-0.09</v>
      </c>
      <c r="O9">
        <f t="shared" si="1"/>
        <v>2.9129287793626872</v>
      </c>
      <c r="P9">
        <f t="shared" si="2"/>
        <v>8.4851540736393947</v>
      </c>
      <c r="Q9" s="7"/>
      <c r="R9" s="11"/>
      <c r="S9" s="11"/>
      <c r="T9" s="11"/>
      <c r="U9" s="11"/>
      <c r="V9" s="11"/>
      <c r="W9" s="11"/>
      <c r="X9" s="11"/>
    </row>
    <row r="10" spans="1:24" x14ac:dyDescent="0.25">
      <c r="A10">
        <f t="shared" si="3"/>
        <v>7.9172999999999993E-2</v>
      </c>
      <c r="B10">
        <v>971.1678218231109</v>
      </c>
      <c r="N10">
        <f t="shared" si="0"/>
        <v>-8.7999999999999995E-2</v>
      </c>
      <c r="O10">
        <f t="shared" si="1"/>
        <v>2.9101938822623197</v>
      </c>
      <c r="P10">
        <f t="shared" si="2"/>
        <v>8.4692284323570313</v>
      </c>
      <c r="Q10" s="7"/>
      <c r="R10" s="11"/>
      <c r="S10" s="11"/>
      <c r="T10" s="11"/>
      <c r="U10" s="11"/>
      <c r="V10" s="11"/>
      <c r="W10" s="11"/>
      <c r="X10" s="11"/>
    </row>
    <row r="11" spans="1:24" x14ac:dyDescent="0.25">
      <c r="A11">
        <f t="shared" si="3"/>
        <v>8.1172999999999995E-2</v>
      </c>
      <c r="B11">
        <v>971.15541634484885</v>
      </c>
      <c r="N11">
        <f t="shared" si="0"/>
        <v>-8.5999999999999993E-2</v>
      </c>
      <c r="O11">
        <f t="shared" si="1"/>
        <v>2.8977884040002664</v>
      </c>
      <c r="P11">
        <f t="shared" si="2"/>
        <v>8.3971776343584104</v>
      </c>
      <c r="Q11" s="7"/>
      <c r="R11" s="11"/>
      <c r="S11" s="11"/>
      <c r="T11" s="11"/>
      <c r="U11" s="11"/>
      <c r="V11" s="11"/>
      <c r="W11" s="11"/>
      <c r="X11" s="11"/>
    </row>
    <row r="12" spans="1:24" x14ac:dyDescent="0.25">
      <c r="A12">
        <f t="shared" si="3"/>
        <v>8.3172999999999997E-2</v>
      </c>
      <c r="B12">
        <v>971.11912752696935</v>
      </c>
      <c r="N12">
        <f t="shared" si="0"/>
        <v>-8.3999999999999991E-2</v>
      </c>
      <c r="O12">
        <f t="shared" si="1"/>
        <v>2.8614995861207717</v>
      </c>
      <c r="P12">
        <f t="shared" si="2"/>
        <v>8.1881798813693472</v>
      </c>
      <c r="Q12" s="11"/>
      <c r="R12" s="11"/>
      <c r="S12" s="11"/>
      <c r="T12" s="11"/>
      <c r="U12" s="11"/>
      <c r="V12" s="11"/>
      <c r="W12" s="11"/>
      <c r="X12" s="11"/>
    </row>
    <row r="13" spans="1:24" x14ac:dyDescent="0.25">
      <c r="A13">
        <f t="shared" si="3"/>
        <v>8.5172999999999999E-2</v>
      </c>
      <c r="B13">
        <v>971.09928967500275</v>
      </c>
      <c r="N13">
        <f t="shared" si="0"/>
        <v>-8.199999999999999E-2</v>
      </c>
      <c r="O13">
        <f t="shared" si="1"/>
        <v>2.8416617341541723</v>
      </c>
      <c r="P13">
        <f t="shared" si="2"/>
        <v>8.0750414113560982</v>
      </c>
      <c r="Q13" s="11"/>
      <c r="R13" s="11"/>
      <c r="S13" s="11"/>
      <c r="T13" s="11"/>
      <c r="U13" s="11"/>
      <c r="V13" s="11"/>
      <c r="W13" s="11"/>
      <c r="X13" s="11"/>
    </row>
    <row r="14" spans="1:24" x14ac:dyDescent="0.25">
      <c r="A14">
        <f t="shared" si="3"/>
        <v>8.7173E-2</v>
      </c>
      <c r="B14">
        <v>971.09213723881862</v>
      </c>
      <c r="N14">
        <f t="shared" si="0"/>
        <v>-7.9999999999999988E-2</v>
      </c>
      <c r="O14">
        <f t="shared" si="1"/>
        <v>2.8345092979700439</v>
      </c>
      <c r="P14">
        <f t="shared" si="2"/>
        <v>8.034442960278632</v>
      </c>
      <c r="Q14" s="13"/>
      <c r="R14" s="13"/>
      <c r="S14" s="13"/>
      <c r="T14" s="13"/>
      <c r="U14" s="13"/>
      <c r="V14" s="11"/>
      <c r="W14" s="11"/>
      <c r="X14" s="11"/>
    </row>
    <row r="15" spans="1:24" x14ac:dyDescent="0.25">
      <c r="A15">
        <f t="shared" si="3"/>
        <v>8.9173000000000002E-2</v>
      </c>
      <c r="B15">
        <v>971.13674690300559</v>
      </c>
      <c r="N15">
        <f t="shared" si="0"/>
        <v>-7.7999999999999986E-2</v>
      </c>
      <c r="O15">
        <f t="shared" si="1"/>
        <v>2.8791189621570084</v>
      </c>
      <c r="P15">
        <f t="shared" si="2"/>
        <v>8.2893259982520497</v>
      </c>
      <c r="Q15" s="7"/>
      <c r="R15" s="7"/>
      <c r="S15" s="7"/>
      <c r="T15" s="7"/>
      <c r="U15" s="7"/>
      <c r="V15" s="11"/>
      <c r="W15" s="11"/>
      <c r="X15" s="11"/>
    </row>
    <row r="16" spans="1:24" x14ac:dyDescent="0.25">
      <c r="A16">
        <f t="shared" si="3"/>
        <v>9.1173000000000004E-2</v>
      </c>
      <c r="B16">
        <v>971.12616013803188</v>
      </c>
      <c r="N16">
        <f t="shared" si="0"/>
        <v>-7.5999999999999984E-2</v>
      </c>
      <c r="O16">
        <f t="shared" si="1"/>
        <v>2.8685321971832991</v>
      </c>
      <c r="P16">
        <f t="shared" si="2"/>
        <v>8.2284769662772455</v>
      </c>
      <c r="Q16" s="7"/>
      <c r="R16" s="7"/>
      <c r="S16" s="7"/>
      <c r="T16" s="7"/>
      <c r="U16" s="7"/>
      <c r="V16" s="11"/>
      <c r="W16" s="11"/>
      <c r="X16" s="11"/>
    </row>
    <row r="17" spans="1:24" x14ac:dyDescent="0.25">
      <c r="A17">
        <f t="shared" si="3"/>
        <v>9.3173000000000006E-2</v>
      </c>
      <c r="B17">
        <v>971.11319920927724</v>
      </c>
      <c r="N17">
        <f t="shared" si="0"/>
        <v>-7.3999999999999982E-2</v>
      </c>
      <c r="O17">
        <f t="shared" si="1"/>
        <v>2.8555712684286618</v>
      </c>
      <c r="P17">
        <f t="shared" si="2"/>
        <v>8.1542872690752759</v>
      </c>
      <c r="Q17" s="7"/>
      <c r="R17" s="7"/>
      <c r="S17" s="7"/>
      <c r="T17" s="7"/>
      <c r="U17" s="7"/>
      <c r="V17" s="11"/>
      <c r="W17" s="11"/>
      <c r="X17" s="11"/>
    </row>
    <row r="18" spans="1:24" x14ac:dyDescent="0.25">
      <c r="A18">
        <f t="shared" si="3"/>
        <v>9.5173000000000008E-2</v>
      </c>
      <c r="B18">
        <v>971.10163005818856</v>
      </c>
      <c r="N18">
        <f t="shared" si="0"/>
        <v>-7.1999999999999981E-2</v>
      </c>
      <c r="O18">
        <f t="shared" si="1"/>
        <v>2.8440021173399828</v>
      </c>
      <c r="P18">
        <f t="shared" si="2"/>
        <v>8.0883480434343049</v>
      </c>
      <c r="Q18" s="11"/>
      <c r="R18" s="11"/>
      <c r="S18" s="11"/>
      <c r="T18" s="11"/>
      <c r="U18" s="11"/>
      <c r="V18" s="11"/>
      <c r="W18" s="11"/>
      <c r="X18" s="11"/>
    </row>
    <row r="19" spans="1:24" x14ac:dyDescent="0.25">
      <c r="A19">
        <f t="shared" si="3"/>
        <v>9.7173000000000009E-2</v>
      </c>
      <c r="B19">
        <v>971.06635493765862</v>
      </c>
      <c r="N19">
        <f t="shared" si="0"/>
        <v>-6.9999999999999979E-2</v>
      </c>
      <c r="O19">
        <f t="shared" si="1"/>
        <v>2.8087269968100372</v>
      </c>
      <c r="P19">
        <f t="shared" si="2"/>
        <v>7.8889473426095309</v>
      </c>
      <c r="Q19" s="13"/>
      <c r="R19" s="13"/>
      <c r="S19" s="13"/>
      <c r="T19" s="13"/>
      <c r="U19" s="13"/>
      <c r="V19" s="13"/>
      <c r="W19" s="13"/>
      <c r="X19" s="13"/>
    </row>
    <row r="20" spans="1:24" x14ac:dyDescent="0.25">
      <c r="A20">
        <f t="shared" si="3"/>
        <v>9.9173000000000011E-2</v>
      </c>
      <c r="B20">
        <v>971.06639137723027</v>
      </c>
      <c r="N20">
        <f t="shared" si="0"/>
        <v>-6.7999999999999977E-2</v>
      </c>
      <c r="O20">
        <f t="shared" si="1"/>
        <v>2.808763436381696</v>
      </c>
      <c r="P20">
        <f t="shared" si="2"/>
        <v>7.8891520415547136</v>
      </c>
      <c r="Q20" s="7"/>
      <c r="R20" s="7"/>
      <c r="S20" s="7"/>
      <c r="T20" s="7"/>
      <c r="U20" s="7"/>
      <c r="V20" s="7"/>
      <c r="W20" s="7"/>
      <c r="X20" s="7"/>
    </row>
    <row r="21" spans="1:24" x14ac:dyDescent="0.25">
      <c r="A21">
        <f t="shared" si="3"/>
        <v>0.10117300000000001</v>
      </c>
      <c r="B21">
        <v>971.05343576142866</v>
      </c>
      <c r="N21">
        <f t="shared" si="0"/>
        <v>-6.5999999999999975E-2</v>
      </c>
      <c r="O21">
        <f t="shared" si="1"/>
        <v>2.7958078205800803</v>
      </c>
      <c r="P21">
        <f t="shared" si="2"/>
        <v>7.8165413696167381</v>
      </c>
      <c r="Q21" s="7"/>
      <c r="R21" s="7"/>
      <c r="S21" s="7"/>
      <c r="T21" s="7"/>
      <c r="U21" s="7"/>
      <c r="V21" s="7"/>
      <c r="W21" s="7"/>
      <c r="X21" s="7"/>
    </row>
    <row r="22" spans="1:24" x14ac:dyDescent="0.25">
      <c r="A22">
        <f t="shared" si="3"/>
        <v>0.10317300000000001</v>
      </c>
      <c r="B22">
        <v>971.03852640194702</v>
      </c>
      <c r="N22">
        <f t="shared" si="0"/>
        <v>-6.3999999999999974E-2</v>
      </c>
      <c r="O22">
        <f t="shared" si="1"/>
        <v>2.7808984610984453</v>
      </c>
      <c r="P22">
        <f t="shared" si="2"/>
        <v>7.733396250939701</v>
      </c>
      <c r="Q22" s="11"/>
      <c r="R22" s="11"/>
      <c r="S22" s="11"/>
      <c r="T22" s="11"/>
      <c r="U22" s="11"/>
      <c r="V22" s="11"/>
      <c r="W22" s="11"/>
      <c r="X22" s="11"/>
    </row>
    <row r="23" spans="1:24" x14ac:dyDescent="0.25">
      <c r="A23">
        <f t="shared" si="3"/>
        <v>0.10517300000000002</v>
      </c>
      <c r="B23">
        <v>971.00028020846128</v>
      </c>
      <c r="N23">
        <f t="shared" si="0"/>
        <v>-6.1999999999999972E-2</v>
      </c>
      <c r="O23">
        <f t="shared" si="1"/>
        <v>2.7426522676126979</v>
      </c>
      <c r="P23">
        <f t="shared" si="2"/>
        <v>7.5221414610410733</v>
      </c>
      <c r="Q23" s="11"/>
      <c r="R23" s="11"/>
      <c r="S23" s="11"/>
      <c r="T23" s="11"/>
      <c r="U23" s="11"/>
      <c r="V23" s="11"/>
      <c r="W23" s="11"/>
      <c r="X23" s="11"/>
    </row>
    <row r="24" spans="1:24" x14ac:dyDescent="0.25">
      <c r="A24">
        <f t="shared" si="3"/>
        <v>0.10717300000000002</v>
      </c>
      <c r="B24">
        <v>970.98749806035653</v>
      </c>
      <c r="N24">
        <f t="shared" si="0"/>
        <v>-5.999999999999997E-2</v>
      </c>
      <c r="O24">
        <f t="shared" si="1"/>
        <v>2.7298701195079502</v>
      </c>
      <c r="P24">
        <f t="shared" si="2"/>
        <v>7.45219086938235</v>
      </c>
      <c r="Q24" s="11"/>
      <c r="R24" s="11"/>
      <c r="S24" s="11"/>
      <c r="T24" s="11"/>
      <c r="U24" s="11"/>
      <c r="V24" s="11"/>
      <c r="W24" s="11"/>
      <c r="X24" s="11"/>
    </row>
    <row r="25" spans="1:24" x14ac:dyDescent="0.25">
      <c r="A25">
        <f t="shared" si="3"/>
        <v>0.10917300000000002</v>
      </c>
      <c r="B25">
        <v>970.94385575846741</v>
      </c>
      <c r="N25">
        <f t="shared" si="0"/>
        <v>-5.7999999999999968E-2</v>
      </c>
      <c r="O25">
        <f t="shared" si="1"/>
        <v>2.6862278176188283</v>
      </c>
      <c r="P25">
        <f t="shared" si="2"/>
        <v>7.2158198881492135</v>
      </c>
      <c r="Q25" s="11"/>
      <c r="R25" s="11"/>
      <c r="S25" s="11"/>
      <c r="T25" s="11"/>
      <c r="U25" s="11"/>
      <c r="V25" s="11"/>
      <c r="W25" s="11"/>
      <c r="X25" s="11"/>
    </row>
    <row r="26" spans="1:24" x14ac:dyDescent="0.25">
      <c r="A26">
        <f t="shared" si="3"/>
        <v>0.11117300000000002</v>
      </c>
      <c r="B26">
        <v>970.91183181034842</v>
      </c>
      <c r="N26">
        <f t="shared" si="0"/>
        <v>-5.5999999999999966E-2</v>
      </c>
      <c r="O26">
        <f t="shared" si="1"/>
        <v>2.6542038694998382</v>
      </c>
      <c r="P26">
        <f t="shared" si="2"/>
        <v>7.0447981808679145</v>
      </c>
      <c r="Q26" s="11"/>
      <c r="R26" s="11"/>
      <c r="S26" s="11"/>
      <c r="T26" s="11"/>
      <c r="U26" s="11"/>
      <c r="V26" s="11"/>
      <c r="W26" s="11"/>
      <c r="X26" s="11"/>
    </row>
    <row r="27" spans="1:24" x14ac:dyDescent="0.25">
      <c r="A27">
        <f t="shared" si="3"/>
        <v>0.11317300000000002</v>
      </c>
      <c r="B27">
        <v>970.87100589318447</v>
      </c>
      <c r="N27">
        <f t="shared" si="0"/>
        <v>-5.3999999999999965E-2</v>
      </c>
      <c r="O27">
        <f t="shared" si="1"/>
        <v>2.6133779523358953</v>
      </c>
      <c r="P27">
        <f t="shared" si="2"/>
        <v>6.8297443217553573</v>
      </c>
      <c r="Q27" s="13"/>
      <c r="R27" s="13"/>
      <c r="S27" s="11"/>
      <c r="T27" s="13"/>
      <c r="U27" s="13"/>
      <c r="V27" s="11"/>
      <c r="W27" s="11"/>
      <c r="X27" s="11"/>
    </row>
    <row r="28" spans="1:24" x14ac:dyDescent="0.25">
      <c r="A28">
        <f t="shared" si="3"/>
        <v>0.11517300000000003</v>
      </c>
      <c r="B28">
        <v>970.85150256845316</v>
      </c>
      <c r="N28">
        <f t="shared" si="0"/>
        <v>-5.1999999999999963E-2</v>
      </c>
      <c r="O28">
        <f t="shared" si="1"/>
        <v>2.5938746276045777</v>
      </c>
      <c r="P28">
        <f t="shared" si="2"/>
        <v>6.7281855837307862</v>
      </c>
      <c r="Q28" s="7"/>
      <c r="R28" s="7"/>
      <c r="S28" s="11"/>
      <c r="T28" s="7"/>
      <c r="U28" s="7"/>
      <c r="V28" s="11"/>
      <c r="W28" s="11"/>
      <c r="X28" s="11"/>
    </row>
    <row r="29" spans="1:24" x14ac:dyDescent="0.25">
      <c r="A29">
        <f t="shared" si="3"/>
        <v>0.11717300000000003</v>
      </c>
      <c r="B29">
        <v>970.82178856714734</v>
      </c>
      <c r="N29">
        <f t="shared" si="0"/>
        <v>-4.9999999999999961E-2</v>
      </c>
      <c r="O29">
        <f t="shared" si="1"/>
        <v>2.564160626298758</v>
      </c>
      <c r="P29">
        <f t="shared" si="2"/>
        <v>6.5749197174608387</v>
      </c>
      <c r="Q29" s="7"/>
      <c r="R29" s="7"/>
      <c r="S29" s="11"/>
      <c r="T29" s="7"/>
      <c r="U29" s="7"/>
      <c r="V29" s="11"/>
      <c r="W29" s="11"/>
      <c r="X29" s="11"/>
    </row>
    <row r="30" spans="1:24" x14ac:dyDescent="0.25">
      <c r="A30">
        <f t="shared" si="3"/>
        <v>0.11917300000000003</v>
      </c>
      <c r="B30">
        <v>970.78552047290941</v>
      </c>
      <c r="N30">
        <f t="shared" si="0"/>
        <v>-4.7999999999999959E-2</v>
      </c>
      <c r="O30">
        <f t="shared" si="1"/>
        <v>2.5278925320608323</v>
      </c>
      <c r="P30">
        <f t="shared" si="2"/>
        <v>6.3902406536489265</v>
      </c>
      <c r="Q30" s="7"/>
      <c r="R30" s="7"/>
      <c r="S30" s="11"/>
      <c r="T30" s="7"/>
      <c r="U30" s="7"/>
      <c r="V30" s="11"/>
      <c r="W30" s="11"/>
      <c r="X30" s="11"/>
    </row>
    <row r="31" spans="1:24" x14ac:dyDescent="0.25">
      <c r="A31">
        <f t="shared" si="3"/>
        <v>0.12117300000000003</v>
      </c>
      <c r="B31">
        <v>970.74386299463276</v>
      </c>
      <c r="N31">
        <f t="shared" si="0"/>
        <v>-4.5999999999999958E-2</v>
      </c>
      <c r="O31">
        <f t="shared" si="1"/>
        <v>2.4862350537841849</v>
      </c>
      <c r="P31">
        <f t="shared" si="2"/>
        <v>6.1813647426652487</v>
      </c>
      <c r="Q31" s="7"/>
      <c r="R31" s="7"/>
      <c r="S31" s="11"/>
      <c r="T31" s="7"/>
      <c r="U31" s="7"/>
      <c r="V31" s="11"/>
      <c r="W31" s="11"/>
      <c r="X31" s="11"/>
    </row>
    <row r="32" spans="1:24" x14ac:dyDescent="0.25">
      <c r="A32">
        <f t="shared" si="3"/>
        <v>0.12317300000000003</v>
      </c>
      <c r="B32">
        <v>970.71531030274639</v>
      </c>
      <c r="N32">
        <f t="shared" si="0"/>
        <v>-4.3999999999999956E-2</v>
      </c>
      <c r="O32">
        <f t="shared" si="1"/>
        <v>2.4576823618978096</v>
      </c>
      <c r="P32">
        <f t="shared" si="2"/>
        <v>6.0402025919835962</v>
      </c>
      <c r="Q32" s="7"/>
      <c r="R32" s="7"/>
      <c r="S32" s="11"/>
      <c r="T32" s="7"/>
      <c r="U32" s="7"/>
      <c r="V32" s="11"/>
      <c r="W32" s="11"/>
      <c r="X32" s="11"/>
    </row>
    <row r="33" spans="1:24" x14ac:dyDescent="0.25">
      <c r="A33">
        <f t="shared" si="3"/>
        <v>0.12517300000000003</v>
      </c>
      <c r="B33">
        <v>970.674227125431</v>
      </c>
      <c r="N33">
        <f t="shared" si="0"/>
        <v>-4.1999999999999954E-2</v>
      </c>
      <c r="O33">
        <f t="shared" si="1"/>
        <v>2.4165991845824237</v>
      </c>
      <c r="P33">
        <f t="shared" si="2"/>
        <v>5.8399516189244354</v>
      </c>
      <c r="Q33" s="7"/>
      <c r="R33" s="7"/>
      <c r="S33" s="11"/>
      <c r="T33" s="7"/>
      <c r="U33" s="7"/>
      <c r="V33" s="11"/>
      <c r="W33" s="11"/>
      <c r="X33" s="11"/>
    </row>
    <row r="34" spans="1:24" x14ac:dyDescent="0.25">
      <c r="A34">
        <f t="shared" si="3"/>
        <v>0.12717300000000004</v>
      </c>
      <c r="B34">
        <v>970.61846438861494</v>
      </c>
      <c r="N34">
        <f t="shared" si="0"/>
        <v>-3.9999999999999952E-2</v>
      </c>
      <c r="O34">
        <f t="shared" si="1"/>
        <v>2.3608364477663599</v>
      </c>
      <c r="P34">
        <f t="shared" si="2"/>
        <v>5.5735487331020845</v>
      </c>
      <c r="Q34" s="7"/>
      <c r="R34" s="7"/>
      <c r="S34" s="11"/>
      <c r="T34" s="7"/>
      <c r="U34" s="7"/>
      <c r="V34" s="11"/>
      <c r="W34" s="11"/>
      <c r="X34" s="11"/>
    </row>
    <row r="35" spans="1:24" x14ac:dyDescent="0.25">
      <c r="A35">
        <f t="shared" si="3"/>
        <v>0.12917300000000004</v>
      </c>
      <c r="B35">
        <v>970.56981381942023</v>
      </c>
      <c r="N35">
        <f t="shared" si="0"/>
        <v>-3.799999999999995E-2</v>
      </c>
      <c r="O35">
        <f t="shared" si="1"/>
        <v>2.312185878571654</v>
      </c>
      <c r="P35">
        <f t="shared" si="2"/>
        <v>5.346203537066172</v>
      </c>
      <c r="Q35" s="7"/>
      <c r="R35" s="7"/>
      <c r="S35" s="11"/>
      <c r="T35" s="7"/>
      <c r="U35" s="7"/>
      <c r="V35" s="11"/>
      <c r="W35" s="11"/>
      <c r="X35" s="11"/>
    </row>
    <row r="36" spans="1:24" x14ac:dyDescent="0.25">
      <c r="A36">
        <f t="shared" si="3"/>
        <v>0.13117300000000004</v>
      </c>
      <c r="B36">
        <v>970.5136154351444</v>
      </c>
      <c r="N36">
        <f t="shared" si="0"/>
        <v>-3.5999999999999949E-2</v>
      </c>
      <c r="O36">
        <f t="shared" si="1"/>
        <v>2.2559874942958231</v>
      </c>
      <c r="P36">
        <f t="shared" si="2"/>
        <v>5.0894795744191468</v>
      </c>
      <c r="Q36" s="7"/>
      <c r="R36" s="7"/>
      <c r="S36" s="11"/>
      <c r="T36" s="7"/>
      <c r="U36" s="7"/>
      <c r="V36" s="11"/>
      <c r="W36" s="11"/>
      <c r="X36" s="11"/>
    </row>
    <row r="37" spans="1:24" x14ac:dyDescent="0.25">
      <c r="A37">
        <f t="shared" si="3"/>
        <v>0.13317300000000004</v>
      </c>
      <c r="B37">
        <v>970.43302770513537</v>
      </c>
      <c r="N37">
        <f t="shared" si="0"/>
        <v>-3.3999999999999947E-2</v>
      </c>
      <c r="O37">
        <f t="shared" si="1"/>
        <v>2.1753997642867944</v>
      </c>
      <c r="P37">
        <f t="shared" si="2"/>
        <v>4.7323641344590408</v>
      </c>
      <c r="Q37" s="7"/>
      <c r="R37" s="7"/>
      <c r="S37" s="11"/>
      <c r="T37" s="7"/>
      <c r="U37" s="7"/>
      <c r="V37" s="11"/>
      <c r="W37" s="11"/>
      <c r="X37" s="11"/>
    </row>
    <row r="38" spans="1:24" x14ac:dyDescent="0.25">
      <c r="A38">
        <f t="shared" si="3"/>
        <v>0.13517300000000004</v>
      </c>
      <c r="B38">
        <v>970.37847026431064</v>
      </c>
      <c r="N38">
        <f t="shared" si="0"/>
        <v>-3.1999999999999945E-2</v>
      </c>
      <c r="O38">
        <f t="shared" si="1"/>
        <v>2.1208423234620568</v>
      </c>
      <c r="P38">
        <f t="shared" si="2"/>
        <v>4.4979721609879357</v>
      </c>
      <c r="Q38" s="7"/>
      <c r="R38" s="7"/>
      <c r="S38" s="11"/>
      <c r="T38" s="7"/>
      <c r="U38" s="7"/>
      <c r="V38" s="11"/>
      <c r="W38" s="11"/>
      <c r="X38" s="11"/>
    </row>
    <row r="39" spans="1:24" x14ac:dyDescent="0.25">
      <c r="A39">
        <f t="shared" si="3"/>
        <v>0.13717300000000004</v>
      </c>
      <c r="B39">
        <v>970.3062983214885</v>
      </c>
      <c r="N39">
        <f t="shared" si="0"/>
        <v>-2.9999999999999943E-2</v>
      </c>
      <c r="O39">
        <f t="shared" si="1"/>
        <v>2.0486703806399191</v>
      </c>
      <c r="P39">
        <f t="shared" si="2"/>
        <v>4.1970503285113114</v>
      </c>
      <c r="Q39" s="7"/>
      <c r="R39" s="7"/>
      <c r="S39" s="11"/>
      <c r="T39" s="7"/>
      <c r="U39" s="7"/>
      <c r="V39" s="11"/>
      <c r="W39" s="11"/>
      <c r="X39" s="11"/>
    </row>
    <row r="40" spans="1:24" x14ac:dyDescent="0.25">
      <c r="A40">
        <f t="shared" si="3"/>
        <v>0.13917300000000005</v>
      </c>
      <c r="B40">
        <v>970.23842310704754</v>
      </c>
      <c r="N40">
        <f t="shared" si="0"/>
        <v>-2.7999999999999942E-2</v>
      </c>
      <c r="O40">
        <f t="shared" si="1"/>
        <v>1.9807951661989591</v>
      </c>
      <c r="P40">
        <f t="shared" si="2"/>
        <v>3.9235494904371619</v>
      </c>
      <c r="Q40" s="7"/>
      <c r="R40" s="7"/>
      <c r="S40" s="11"/>
      <c r="T40" s="7"/>
      <c r="U40" s="7"/>
      <c r="V40" s="11"/>
      <c r="W40" s="11"/>
      <c r="X40" s="11"/>
    </row>
    <row r="41" spans="1:24" x14ac:dyDescent="0.25">
      <c r="A41">
        <f t="shared" si="3"/>
        <v>0.14117300000000005</v>
      </c>
      <c r="B41">
        <v>970.14807176389411</v>
      </c>
      <c r="N41">
        <f t="shared" si="0"/>
        <v>-2.599999999999994E-2</v>
      </c>
      <c r="O41">
        <f t="shared" si="1"/>
        <v>1.8904438230455298</v>
      </c>
      <c r="P41">
        <f t="shared" si="2"/>
        <v>3.5737778480909985</v>
      </c>
      <c r="Q41" s="7"/>
      <c r="R41" s="7"/>
      <c r="S41" s="11"/>
      <c r="T41" s="7"/>
      <c r="U41" s="7"/>
      <c r="V41" s="11"/>
      <c r="W41" s="11"/>
      <c r="X41" s="11"/>
    </row>
    <row r="42" spans="1:24" x14ac:dyDescent="0.25">
      <c r="A42">
        <f t="shared" si="3"/>
        <v>0.14317300000000005</v>
      </c>
      <c r="B42">
        <v>970.056069358576</v>
      </c>
      <c r="N42">
        <f t="shared" si="0"/>
        <v>-2.3999999999999938E-2</v>
      </c>
      <c r="O42">
        <f t="shared" si="1"/>
        <v>1.7984414177274175</v>
      </c>
      <c r="P42">
        <f t="shared" si="2"/>
        <v>3.2343915329974036</v>
      </c>
      <c r="Q42" s="7"/>
      <c r="R42" s="7"/>
      <c r="S42" s="11"/>
      <c r="T42" s="7"/>
      <c r="U42" s="7"/>
      <c r="V42" s="11"/>
      <c r="W42" s="11"/>
      <c r="X42" s="11"/>
    </row>
    <row r="43" spans="1:24" x14ac:dyDescent="0.25">
      <c r="A43">
        <f t="shared" si="3"/>
        <v>0.14517300000000005</v>
      </c>
      <c r="B43">
        <v>969.96757745456239</v>
      </c>
      <c r="N43">
        <f t="shared" si="0"/>
        <v>-2.1999999999999936E-2</v>
      </c>
      <c r="O43">
        <f t="shared" si="1"/>
        <v>1.7099495137138092</v>
      </c>
      <c r="P43">
        <f t="shared" si="2"/>
        <v>2.9239273394500924</v>
      </c>
      <c r="Q43" s="7"/>
      <c r="R43" s="7"/>
      <c r="S43" s="11"/>
      <c r="T43" s="7"/>
      <c r="U43" s="7"/>
      <c r="V43" s="11"/>
      <c r="W43" s="11"/>
      <c r="X43" s="11"/>
    </row>
    <row r="44" spans="1:24" x14ac:dyDescent="0.25">
      <c r="A44">
        <f t="shared" si="3"/>
        <v>0.14717300000000005</v>
      </c>
      <c r="B44">
        <v>969.85578798805636</v>
      </c>
      <c r="N44">
        <f t="shared" si="0"/>
        <v>-1.9999999999999934E-2</v>
      </c>
      <c r="O44">
        <f t="shared" si="1"/>
        <v>1.5981600472077844</v>
      </c>
      <c r="P44">
        <f t="shared" si="2"/>
        <v>2.5541155364911874</v>
      </c>
      <c r="Q44" s="7"/>
      <c r="R44" s="7"/>
      <c r="S44" s="11"/>
      <c r="T44" s="7"/>
      <c r="U44" s="7"/>
      <c r="V44" s="11"/>
      <c r="W44" s="11"/>
      <c r="X44" s="11"/>
    </row>
    <row r="45" spans="1:24" x14ac:dyDescent="0.25">
      <c r="A45">
        <f t="shared" si="3"/>
        <v>0.14917300000000006</v>
      </c>
      <c r="B45">
        <v>969.71619768669859</v>
      </c>
      <c r="N45">
        <f t="shared" si="0"/>
        <v>-1.7999999999999933E-2</v>
      </c>
      <c r="O45">
        <f t="shared" si="1"/>
        <v>1.4585697458500135</v>
      </c>
      <c r="P45">
        <f t="shared" si="2"/>
        <v>2.127425703508973</v>
      </c>
      <c r="Q45" s="7"/>
      <c r="R45" s="7"/>
      <c r="S45" s="11"/>
      <c r="T45" s="7"/>
      <c r="U45" s="7"/>
      <c r="V45" s="11"/>
      <c r="W45" s="11"/>
      <c r="X45" s="11"/>
    </row>
    <row r="46" spans="1:24" x14ac:dyDescent="0.25">
      <c r="A46">
        <f t="shared" si="3"/>
        <v>0.15117300000000006</v>
      </c>
      <c r="B46">
        <v>969.58279774094331</v>
      </c>
      <c r="N46">
        <f t="shared" si="0"/>
        <v>-1.5999999999999931E-2</v>
      </c>
      <c r="O46">
        <f t="shared" si="1"/>
        <v>1.3251698000947272</v>
      </c>
      <c r="P46">
        <f t="shared" si="2"/>
        <v>1.7560749990830993</v>
      </c>
      <c r="Q46" s="7"/>
      <c r="R46" s="7"/>
      <c r="S46" s="11"/>
      <c r="T46" s="7"/>
      <c r="U46" s="7"/>
      <c r="V46" s="11"/>
      <c r="W46" s="11"/>
      <c r="X46" s="11"/>
    </row>
    <row r="47" spans="1:24" x14ac:dyDescent="0.25">
      <c r="A47">
        <f t="shared" si="3"/>
        <v>0.15317300000000006</v>
      </c>
      <c r="B47">
        <v>969.46571695190096</v>
      </c>
      <c r="N47">
        <f t="shared" si="0"/>
        <v>-1.3999999999999929E-2</v>
      </c>
      <c r="O47">
        <f t="shared" si="1"/>
        <v>1.2080890110523796</v>
      </c>
      <c r="P47">
        <f t="shared" si="2"/>
        <v>1.4594790586255166</v>
      </c>
      <c r="Q47" s="7"/>
      <c r="R47" s="7"/>
      <c r="S47" s="11"/>
      <c r="T47" s="7"/>
      <c r="U47" s="7"/>
      <c r="V47" s="11"/>
      <c r="W47" s="11"/>
      <c r="X47" s="11"/>
    </row>
    <row r="48" spans="1:24" x14ac:dyDescent="0.25">
      <c r="A48">
        <f t="shared" si="3"/>
        <v>0.15517300000000006</v>
      </c>
      <c r="B48">
        <v>969.33093377831267</v>
      </c>
      <c r="N48">
        <f t="shared" si="0"/>
        <v>-1.1999999999999927E-2</v>
      </c>
      <c r="O48">
        <f t="shared" si="1"/>
        <v>1.0733058374640905</v>
      </c>
      <c r="P48">
        <f t="shared" si="2"/>
        <v>1.1519854207344926</v>
      </c>
      <c r="Q48" s="7"/>
      <c r="R48" s="7"/>
      <c r="S48" s="11"/>
      <c r="T48" s="7"/>
      <c r="U48" s="7"/>
      <c r="V48" s="11"/>
      <c r="W48" s="11"/>
      <c r="X48" s="11"/>
    </row>
    <row r="49" spans="1:24" x14ac:dyDescent="0.25">
      <c r="A49">
        <f t="shared" si="3"/>
        <v>0.15717300000000006</v>
      </c>
      <c r="B49">
        <v>969.18158740689637</v>
      </c>
      <c r="N49">
        <f t="shared" si="0"/>
        <v>-9.9999999999999256E-3</v>
      </c>
      <c r="O49">
        <f t="shared" si="1"/>
        <v>0.92395946604779056</v>
      </c>
      <c r="P49">
        <f t="shared" si="2"/>
        <v>0.85370109489931822</v>
      </c>
      <c r="Q49" s="7"/>
      <c r="R49" s="7"/>
      <c r="S49" s="11"/>
      <c r="T49" s="7"/>
      <c r="U49" s="7"/>
      <c r="V49" s="11"/>
      <c r="W49" s="11"/>
      <c r="X49" s="11"/>
    </row>
    <row r="50" spans="1:24" x14ac:dyDescent="0.25">
      <c r="A50">
        <f t="shared" si="3"/>
        <v>0.15917300000000006</v>
      </c>
      <c r="B50">
        <v>969.03752858995369</v>
      </c>
      <c r="N50">
        <f t="shared" si="0"/>
        <v>-7.9999999999999238E-3</v>
      </c>
      <c r="O50">
        <f t="shared" si="1"/>
        <v>0.77990064910511592</v>
      </c>
      <c r="P50">
        <f t="shared" si="2"/>
        <v>0.60824502247458112</v>
      </c>
      <c r="Q50" s="7"/>
      <c r="R50" s="7"/>
      <c r="S50" s="11"/>
      <c r="T50" s="7"/>
      <c r="U50" s="7"/>
      <c r="V50" s="11"/>
      <c r="W50" s="11"/>
      <c r="X50" s="11"/>
    </row>
    <row r="51" spans="1:24" x14ac:dyDescent="0.25">
      <c r="A51">
        <f t="shared" si="3"/>
        <v>0.16117300000000007</v>
      </c>
      <c r="B51">
        <v>968.84965020217624</v>
      </c>
      <c r="N51">
        <f t="shared" si="0"/>
        <v>-5.9999999999999221E-3</v>
      </c>
      <c r="O51">
        <f t="shared" si="1"/>
        <v>0.59202226132765645</v>
      </c>
      <c r="P51">
        <f t="shared" si="2"/>
        <v>0.35049035790751193</v>
      </c>
      <c r="Q51" s="7"/>
      <c r="R51" s="7"/>
      <c r="S51" s="11"/>
      <c r="T51" s="7"/>
      <c r="U51" s="7"/>
      <c r="V51" s="11"/>
      <c r="W51" s="11"/>
      <c r="X51" s="11"/>
    </row>
    <row r="52" spans="1:24" x14ac:dyDescent="0.25">
      <c r="A52">
        <f t="shared" si="3"/>
        <v>0.16317300000000007</v>
      </c>
      <c r="B52">
        <v>968.66846291070954</v>
      </c>
      <c r="N52">
        <f t="shared" si="0"/>
        <v>-3.9999999999999203E-3</v>
      </c>
      <c r="O52">
        <f t="shared" si="1"/>
        <v>0.41083496986095724</v>
      </c>
      <c r="P52">
        <f t="shared" si="2"/>
        <v>0.16878537246065364</v>
      </c>
      <c r="Q52" s="7"/>
      <c r="R52" s="7"/>
      <c r="S52" s="11"/>
      <c r="T52" s="7"/>
      <c r="U52" s="7"/>
      <c r="V52" s="11"/>
      <c r="W52" s="11"/>
      <c r="X52" s="11"/>
    </row>
    <row r="53" spans="1:24" x14ac:dyDescent="0.25">
      <c r="A53">
        <f t="shared" si="3"/>
        <v>0.16517300000000007</v>
      </c>
      <c r="B53">
        <v>968.46880449375772</v>
      </c>
      <c r="N53">
        <f t="shared" si="0"/>
        <v>-1.9999999999999185E-3</v>
      </c>
      <c r="O53">
        <f t="shared" si="1"/>
        <v>0.21117655290913717</v>
      </c>
      <c r="P53">
        <f t="shared" si="2"/>
        <v>4.4595536498585608E-2</v>
      </c>
      <c r="Q53" s="7"/>
      <c r="R53" s="7"/>
      <c r="S53" s="11"/>
      <c r="T53" s="7"/>
      <c r="U53" s="7"/>
      <c r="V53" s="11"/>
      <c r="W53" s="11"/>
      <c r="X53" s="11"/>
    </row>
    <row r="54" spans="1:24" x14ac:dyDescent="0.25">
      <c r="A54">
        <f t="shared" si="3"/>
        <v>0.16717300000000007</v>
      </c>
      <c r="B54">
        <v>968.25762794084858</v>
      </c>
      <c r="N54">
        <f t="shared" si="0"/>
        <v>0</v>
      </c>
      <c r="O54">
        <f t="shared" si="1"/>
        <v>0</v>
      </c>
      <c r="P54">
        <f t="shared" si="2"/>
        <v>0</v>
      </c>
      <c r="Q54" s="7"/>
      <c r="R54" s="7"/>
      <c r="S54" s="11"/>
      <c r="T54" s="7"/>
      <c r="U54" s="7"/>
      <c r="V54" s="11"/>
      <c r="W54" s="11"/>
      <c r="X54" s="11"/>
    </row>
    <row r="55" spans="1:24" x14ac:dyDescent="0.25">
      <c r="A55">
        <f t="shared" si="3"/>
        <v>0.16917300000000007</v>
      </c>
      <c r="B55">
        <v>968.04556663269432</v>
      </c>
      <c r="N55">
        <f t="shared" si="0"/>
        <v>2.000000000000085E-3</v>
      </c>
      <c r="O55">
        <f t="shared" si="1"/>
        <v>-0.2120613081542615</v>
      </c>
      <c r="P55">
        <f t="shared" si="2"/>
        <v>4.4969998416096654E-2</v>
      </c>
      <c r="Q55" s="7"/>
      <c r="R55" s="7"/>
      <c r="S55" s="11"/>
      <c r="T55" s="7"/>
      <c r="U55" s="7"/>
      <c r="V55" s="11"/>
      <c r="W55" s="11"/>
      <c r="X55" s="11"/>
    </row>
    <row r="56" spans="1:24" x14ac:dyDescent="0.25">
      <c r="A56">
        <f t="shared" si="3"/>
        <v>0.17117300000000008</v>
      </c>
      <c r="B56">
        <v>967.79484570677425</v>
      </c>
      <c r="N56">
        <f t="shared" si="0"/>
        <v>4.0000000000000868E-3</v>
      </c>
      <c r="O56">
        <f t="shared" si="1"/>
        <v>-0.46278223407432506</v>
      </c>
      <c r="P56">
        <f t="shared" si="2"/>
        <v>0.21416739617482339</v>
      </c>
      <c r="Q56" s="7"/>
      <c r="R56" s="7"/>
      <c r="S56" s="11"/>
      <c r="T56" s="7"/>
      <c r="U56" s="7"/>
      <c r="V56" s="11"/>
      <c r="W56" s="11"/>
      <c r="X56" s="11"/>
    </row>
    <row r="57" spans="1:24" x14ac:dyDescent="0.25">
      <c r="A57">
        <f t="shared" si="3"/>
        <v>0.17317300000000008</v>
      </c>
      <c r="B57">
        <v>967.53966968993495</v>
      </c>
      <c r="N57">
        <f t="shared" si="0"/>
        <v>6.0000000000000886E-3</v>
      </c>
      <c r="O57">
        <f t="shared" si="1"/>
        <v>-0.71795825091362531</v>
      </c>
      <c r="P57">
        <f t="shared" si="2"/>
        <v>0.51546405005495211</v>
      </c>
      <c r="Q57" s="7"/>
      <c r="R57" s="7"/>
      <c r="S57" s="11"/>
      <c r="T57" s="7"/>
      <c r="U57" s="7"/>
      <c r="V57" s="11"/>
      <c r="W57" s="11"/>
      <c r="X57" s="11"/>
    </row>
    <row r="58" spans="1:24" x14ac:dyDescent="0.25">
      <c r="A58">
        <f t="shared" si="3"/>
        <v>0.17517300000000008</v>
      </c>
      <c r="B58">
        <v>967.3098763405261</v>
      </c>
      <c r="N58">
        <f t="shared" si="0"/>
        <v>8.0000000000000904E-3</v>
      </c>
      <c r="O58">
        <f t="shared" si="1"/>
        <v>-0.94775160032247641</v>
      </c>
      <c r="P58">
        <f t="shared" si="2"/>
        <v>0.89823309591381506</v>
      </c>
      <c r="Q58" s="7"/>
      <c r="R58" s="7"/>
      <c r="S58" s="11"/>
      <c r="T58" s="7"/>
      <c r="U58" s="7"/>
      <c r="V58" s="11"/>
      <c r="W58" s="11"/>
      <c r="X58" s="11"/>
    </row>
    <row r="59" spans="1:24" x14ac:dyDescent="0.25">
      <c r="A59">
        <f t="shared" si="3"/>
        <v>0.17717300000000008</v>
      </c>
      <c r="B59">
        <v>967.05792071847861</v>
      </c>
      <c r="N59">
        <f t="shared" si="0"/>
        <v>1.0000000000000092E-2</v>
      </c>
      <c r="O59">
        <f t="shared" si="1"/>
        <v>-1.1997072223699661</v>
      </c>
      <c r="P59">
        <f t="shared" si="2"/>
        <v>1.4392974194066592</v>
      </c>
      <c r="Q59" s="7"/>
      <c r="R59" s="7"/>
      <c r="S59" s="11"/>
      <c r="T59" s="7"/>
      <c r="U59" s="7"/>
      <c r="V59" s="11"/>
      <c r="W59" s="11"/>
      <c r="X59" s="11"/>
    </row>
    <row r="60" spans="1:24" x14ac:dyDescent="0.25">
      <c r="A60">
        <f t="shared" si="3"/>
        <v>0.17917300000000008</v>
      </c>
      <c r="B60">
        <v>966.80119975861032</v>
      </c>
      <c r="N60">
        <f t="shared" si="0"/>
        <v>1.2000000000000094E-2</v>
      </c>
      <c r="O60">
        <f t="shared" si="1"/>
        <v>-1.4564281822382554</v>
      </c>
      <c r="P60">
        <f t="shared" si="2"/>
        <v>2.1211830500178288</v>
      </c>
      <c r="Q60" s="7"/>
      <c r="R60" s="7"/>
      <c r="S60" s="11"/>
      <c r="T60" s="7"/>
      <c r="U60" s="7"/>
      <c r="V60" s="11"/>
      <c r="W60" s="11"/>
      <c r="X60" s="11"/>
    </row>
    <row r="61" spans="1:24" x14ac:dyDescent="0.25">
      <c r="A61">
        <f t="shared" si="3"/>
        <v>0.18117300000000008</v>
      </c>
      <c r="B61">
        <v>966.52597278132089</v>
      </c>
      <c r="N61">
        <f t="shared" si="0"/>
        <v>1.4000000000000096E-2</v>
      </c>
      <c r="O61">
        <f t="shared" si="1"/>
        <v>-1.7316551595276906</v>
      </c>
      <c r="P61">
        <f t="shared" si="2"/>
        <v>2.9986295915188714</v>
      </c>
      <c r="Q61" s="7"/>
      <c r="R61" s="7"/>
      <c r="S61" s="11"/>
      <c r="T61" s="7"/>
      <c r="U61" s="7"/>
      <c r="V61" s="11"/>
      <c r="W61" s="11"/>
      <c r="X61" s="11"/>
    </row>
    <row r="62" spans="1:24" x14ac:dyDescent="0.25">
      <c r="A62">
        <f t="shared" si="3"/>
        <v>0.18317300000000009</v>
      </c>
      <c r="B62">
        <v>966.21207937545762</v>
      </c>
      <c r="N62">
        <f t="shared" si="0"/>
        <v>1.6000000000000097E-2</v>
      </c>
      <c r="O62">
        <f t="shared" si="1"/>
        <v>-2.0455485653909591</v>
      </c>
      <c r="P62">
        <f t="shared" si="2"/>
        <v>4.1842689333730112</v>
      </c>
      <c r="Q62" s="7"/>
      <c r="R62" s="7"/>
      <c r="S62" s="11"/>
      <c r="T62" s="7"/>
      <c r="U62" s="7"/>
      <c r="V62" s="11"/>
      <c r="W62" s="11"/>
      <c r="X62" s="11"/>
    </row>
    <row r="63" spans="1:24" x14ac:dyDescent="0.25">
      <c r="A63">
        <f t="shared" si="3"/>
        <v>0.18517300000000009</v>
      </c>
      <c r="B63">
        <v>965.87956526435141</v>
      </c>
      <c r="N63">
        <f t="shared" si="0"/>
        <v>1.8000000000000099E-2</v>
      </c>
      <c r="O63">
        <f t="shared" si="1"/>
        <v>-2.3780626764971657</v>
      </c>
      <c r="P63">
        <f t="shared" si="2"/>
        <v>5.6551820933488637</v>
      </c>
      <c r="Q63" s="7"/>
      <c r="R63" s="7"/>
      <c r="S63" s="11"/>
      <c r="T63" s="7"/>
      <c r="U63" s="7"/>
      <c r="V63" s="11"/>
      <c r="W63" s="11"/>
      <c r="X63" s="11"/>
    </row>
    <row r="64" spans="1:24" x14ac:dyDescent="0.25">
      <c r="A64">
        <f t="shared" si="3"/>
        <v>0.18717300000000009</v>
      </c>
      <c r="B64">
        <v>965.6132312150462</v>
      </c>
      <c r="N64">
        <f t="shared" si="0"/>
        <v>2.0000000000000101E-2</v>
      </c>
      <c r="O64">
        <f t="shared" si="1"/>
        <v>-2.6443967258023804</v>
      </c>
      <c r="P64">
        <f t="shared" si="2"/>
        <v>6.9928340434343497</v>
      </c>
      <c r="Q64" s="7"/>
      <c r="R64" s="7"/>
      <c r="S64" s="11"/>
      <c r="T64" s="7"/>
      <c r="U64" s="7"/>
      <c r="V64" s="11"/>
      <c r="W64" s="11"/>
      <c r="X64" s="11"/>
    </row>
    <row r="65" spans="1:24" x14ac:dyDescent="0.25">
      <c r="A65">
        <f t="shared" si="3"/>
        <v>0.18917300000000009</v>
      </c>
      <c r="B65">
        <v>965.31813556521024</v>
      </c>
      <c r="N65">
        <f t="shared" si="0"/>
        <v>2.2000000000000103E-2</v>
      </c>
      <c r="O65">
        <f t="shared" si="1"/>
        <v>-2.9394923756383378</v>
      </c>
      <c r="P65">
        <f t="shared" si="2"/>
        <v>8.6406154264359181</v>
      </c>
      <c r="Q65" s="7"/>
      <c r="R65" s="7"/>
      <c r="S65" s="11"/>
      <c r="T65" s="7"/>
      <c r="U65" s="7"/>
      <c r="V65" s="11"/>
      <c r="W65" s="11"/>
      <c r="X65" s="11"/>
    </row>
    <row r="66" spans="1:24" x14ac:dyDescent="0.25">
      <c r="A66">
        <f t="shared" si="3"/>
        <v>0.19117300000000009</v>
      </c>
      <c r="B66">
        <v>964.95990795360001</v>
      </c>
      <c r="N66">
        <f t="shared" si="0"/>
        <v>2.4000000000000105E-2</v>
      </c>
      <c r="O66">
        <f t="shared" si="1"/>
        <v>-3.2977199872485699</v>
      </c>
      <c r="P66">
        <f t="shared" si="2"/>
        <v>10.874957114298708</v>
      </c>
      <c r="Q66" s="7"/>
      <c r="R66" s="7"/>
      <c r="S66" s="11"/>
      <c r="T66" s="7"/>
      <c r="U66" s="7"/>
      <c r="V66" s="11"/>
      <c r="W66" s="11"/>
      <c r="X66" s="11"/>
    </row>
    <row r="67" spans="1:24" x14ac:dyDescent="0.25">
      <c r="A67">
        <f t="shared" si="3"/>
        <v>0.19317300000000009</v>
      </c>
      <c r="B67">
        <v>964.58980786872542</v>
      </c>
      <c r="N67">
        <f t="shared" si="0"/>
        <v>2.6000000000000106E-2</v>
      </c>
      <c r="O67">
        <f t="shared" si="1"/>
        <v>-3.6678200721231633</v>
      </c>
      <c r="P67">
        <f t="shared" si="2"/>
        <v>13.452904081469567</v>
      </c>
      <c r="Q67" s="7"/>
      <c r="R67" s="7"/>
      <c r="S67" s="11"/>
      <c r="T67" s="7"/>
      <c r="U67" s="7"/>
      <c r="V67" s="11"/>
      <c r="W67" s="11"/>
      <c r="X67" s="11"/>
    </row>
    <row r="68" spans="1:24" x14ac:dyDescent="0.25">
      <c r="A68">
        <f t="shared" si="3"/>
        <v>0.1951730000000001</v>
      </c>
      <c r="B68">
        <v>964.28758102577797</v>
      </c>
      <c r="N68">
        <f t="shared" si="0"/>
        <v>2.8000000000000108E-2</v>
      </c>
      <c r="O68">
        <f t="shared" si="1"/>
        <v>-3.9700469150706112</v>
      </c>
      <c r="P68">
        <f t="shared" si="2"/>
        <v>15.761272507861678</v>
      </c>
      <c r="Q68" s="7"/>
      <c r="R68" s="7"/>
      <c r="S68" s="11"/>
      <c r="T68" s="7"/>
      <c r="U68" s="7"/>
      <c r="V68" s="11"/>
      <c r="W68" s="11"/>
      <c r="X68" s="11"/>
    </row>
    <row r="69" spans="1:24" x14ac:dyDescent="0.25">
      <c r="A69">
        <f t="shared" si="3"/>
        <v>0.1971730000000001</v>
      </c>
      <c r="B69">
        <v>963.92692102691865</v>
      </c>
      <c r="N69">
        <f t="shared" ref="N69:N104" si="4">A69-$B$1</f>
        <v>3.000000000000011E-2</v>
      </c>
      <c r="O69">
        <f t="shared" ref="O69:O104" si="5">B69-$F$3</f>
        <v>-4.3307069139299301</v>
      </c>
      <c r="P69">
        <f t="shared" ref="P69:P104" si="6">POWER(O69,2)</f>
        <v>18.7550223743605</v>
      </c>
      <c r="Q69" s="7"/>
      <c r="R69" s="7"/>
      <c r="S69" s="11"/>
      <c r="T69" s="7"/>
      <c r="U69" s="7"/>
      <c r="V69" s="11"/>
      <c r="W69" s="11"/>
      <c r="X69" s="11"/>
    </row>
    <row r="70" spans="1:24" x14ac:dyDescent="0.25">
      <c r="A70">
        <f t="shared" ref="A70:A104" si="7">A69+0.002</f>
        <v>0.1991730000000001</v>
      </c>
      <c r="B70">
        <v>963.57883626401849</v>
      </c>
      <c r="N70">
        <f t="shared" si="4"/>
        <v>3.2000000000000112E-2</v>
      </c>
      <c r="O70">
        <f t="shared" si="5"/>
        <v>-4.6787916768300875</v>
      </c>
      <c r="P70">
        <f t="shared" si="6"/>
        <v>21.891091555174501</v>
      </c>
      <c r="Q70" s="7"/>
      <c r="R70" s="7"/>
      <c r="S70" s="11"/>
      <c r="T70" s="7"/>
      <c r="U70" s="7"/>
      <c r="V70" s="11"/>
      <c r="W70" s="11"/>
      <c r="X70" s="11"/>
    </row>
    <row r="71" spans="1:24" x14ac:dyDescent="0.25">
      <c r="A71">
        <f t="shared" si="7"/>
        <v>0.2011730000000001</v>
      </c>
      <c r="B71">
        <v>963.21930651417779</v>
      </c>
      <c r="N71">
        <f t="shared" si="4"/>
        <v>3.4000000000000113E-2</v>
      </c>
      <c r="O71">
        <f t="shared" si="5"/>
        <v>-5.038321426670791</v>
      </c>
      <c r="P71">
        <f t="shared" si="6"/>
        <v>25.384682798449994</v>
      </c>
      <c r="Q71" s="7"/>
      <c r="R71" s="7"/>
      <c r="S71" s="11"/>
      <c r="T71" s="7"/>
      <c r="U71" s="7"/>
      <c r="V71" s="11"/>
      <c r="W71" s="11"/>
      <c r="X71" s="11"/>
    </row>
    <row r="72" spans="1:24" x14ac:dyDescent="0.25">
      <c r="A72">
        <f t="shared" si="7"/>
        <v>0.2031730000000001</v>
      </c>
      <c r="B72">
        <v>962.81286846368835</v>
      </c>
      <c r="N72">
        <f t="shared" si="4"/>
        <v>3.6000000000000115E-2</v>
      </c>
      <c r="O72">
        <f t="shared" si="5"/>
        <v>-5.4447594771602326</v>
      </c>
      <c r="P72">
        <f t="shared" si="6"/>
        <v>29.645405764126171</v>
      </c>
      <c r="Q72" s="7"/>
      <c r="R72" s="7"/>
      <c r="S72" s="11"/>
      <c r="T72" s="7"/>
      <c r="U72" s="7"/>
      <c r="V72" s="11"/>
      <c r="W72" s="11"/>
      <c r="X72" s="11"/>
    </row>
    <row r="73" spans="1:24" x14ac:dyDescent="0.25">
      <c r="A73">
        <f t="shared" si="7"/>
        <v>0.20517300000000011</v>
      </c>
      <c r="B73">
        <v>962.40877654673568</v>
      </c>
      <c r="N73">
        <f t="shared" si="4"/>
        <v>3.8000000000000117E-2</v>
      </c>
      <c r="O73">
        <f t="shared" si="5"/>
        <v>-5.8488513941128986</v>
      </c>
      <c r="P73">
        <f t="shared" si="6"/>
        <v>34.209062630416398</v>
      </c>
      <c r="Q73" s="7"/>
      <c r="R73" s="7"/>
      <c r="S73" s="11"/>
      <c r="T73" s="7"/>
      <c r="U73" s="7"/>
      <c r="V73" s="11"/>
      <c r="W73" s="11"/>
      <c r="X73" s="11"/>
    </row>
    <row r="74" spans="1:24" x14ac:dyDescent="0.25">
      <c r="A74">
        <f t="shared" si="7"/>
        <v>0.20717300000000011</v>
      </c>
      <c r="B74">
        <v>961.9915736883944</v>
      </c>
      <c r="N74">
        <f t="shared" si="4"/>
        <v>4.0000000000000119E-2</v>
      </c>
      <c r="O74">
        <f t="shared" si="5"/>
        <v>-6.2660542524541825</v>
      </c>
      <c r="P74">
        <f t="shared" si="6"/>
        <v>39.263435894699143</v>
      </c>
      <c r="Q74" s="7"/>
      <c r="R74" s="7"/>
      <c r="S74" s="11"/>
      <c r="T74" s="7"/>
      <c r="U74" s="7"/>
      <c r="V74" s="11"/>
      <c r="W74" s="11"/>
      <c r="X74" s="11"/>
    </row>
    <row r="75" spans="1:24" x14ac:dyDescent="0.25">
      <c r="A75">
        <f t="shared" si="7"/>
        <v>0.20917300000000011</v>
      </c>
      <c r="B75">
        <v>961.56785059824858</v>
      </c>
      <c r="N75">
        <f t="shared" si="4"/>
        <v>4.2000000000000121E-2</v>
      </c>
      <c r="O75">
        <f t="shared" si="5"/>
        <v>-6.6897773425999958</v>
      </c>
      <c r="P75">
        <f t="shared" si="6"/>
        <v>44.753120893564258</v>
      </c>
      <c r="Q75" s="7"/>
      <c r="R75" s="7"/>
      <c r="S75" s="11"/>
      <c r="T75" s="7"/>
      <c r="U75" s="7"/>
      <c r="V75" s="11"/>
      <c r="W75" s="11"/>
      <c r="X75" s="11"/>
    </row>
    <row r="76" spans="1:24" x14ac:dyDescent="0.25">
      <c r="A76">
        <f t="shared" si="7"/>
        <v>0.21117300000000011</v>
      </c>
      <c r="B76">
        <v>961.13988389341262</v>
      </c>
      <c r="N76">
        <f t="shared" si="4"/>
        <v>4.4000000000000122E-2</v>
      </c>
      <c r="O76">
        <f t="shared" si="5"/>
        <v>-7.1177440474359628</v>
      </c>
      <c r="P76">
        <f t="shared" si="6"/>
        <v>50.662280324810084</v>
      </c>
      <c r="Q76" s="7"/>
      <c r="R76" s="7"/>
      <c r="S76" s="11"/>
      <c r="T76" s="7"/>
      <c r="U76" s="7"/>
      <c r="V76" s="11"/>
      <c r="W76" s="11"/>
      <c r="X76" s="11"/>
    </row>
    <row r="77" spans="1:24" x14ac:dyDescent="0.25">
      <c r="A77">
        <f t="shared" si="7"/>
        <v>0.21317300000000011</v>
      </c>
      <c r="B77">
        <v>960.67885243287253</v>
      </c>
      <c r="N77">
        <f t="shared" si="4"/>
        <v>4.6000000000000124E-2</v>
      </c>
      <c r="O77">
        <f t="shared" si="5"/>
        <v>-7.5787755079760473</v>
      </c>
      <c r="P77">
        <f t="shared" si="6"/>
        <v>57.437838200297591</v>
      </c>
      <c r="Q77" s="7"/>
      <c r="R77" s="7"/>
      <c r="S77" s="11"/>
      <c r="T77" s="7"/>
      <c r="U77" s="7"/>
      <c r="V77" s="11"/>
      <c r="W77" s="11"/>
      <c r="X77" s="11"/>
    </row>
    <row r="78" spans="1:24" x14ac:dyDescent="0.25">
      <c r="A78">
        <f t="shared" si="7"/>
        <v>0.21517300000000011</v>
      </c>
      <c r="B78">
        <v>960.21162437750274</v>
      </c>
      <c r="N78">
        <f t="shared" si="4"/>
        <v>4.8000000000000126E-2</v>
      </c>
      <c r="O78">
        <f t="shared" si="5"/>
        <v>-8.0460035633458347</v>
      </c>
      <c r="P78">
        <f t="shared" si="6"/>
        <v>64.738173341373866</v>
      </c>
      <c r="Q78" s="7"/>
      <c r="R78" s="7"/>
      <c r="S78" s="11"/>
      <c r="T78" s="7"/>
      <c r="U78" s="7"/>
      <c r="V78" s="11"/>
      <c r="W78" s="11"/>
      <c r="X78" s="11"/>
    </row>
    <row r="79" spans="1:24" x14ac:dyDescent="0.25">
      <c r="A79">
        <f t="shared" si="7"/>
        <v>0.21717300000000012</v>
      </c>
      <c r="B79">
        <v>959.74428103095147</v>
      </c>
      <c r="N79">
        <f t="shared" si="4"/>
        <v>5.0000000000000128E-2</v>
      </c>
      <c r="O79">
        <f t="shared" si="5"/>
        <v>-8.5133469098971091</v>
      </c>
      <c r="P79">
        <f t="shared" si="6"/>
        <v>72.477075608254651</v>
      </c>
      <c r="Q79" s="7"/>
      <c r="R79" s="7"/>
      <c r="S79" s="11"/>
      <c r="T79" s="7"/>
      <c r="U79" s="7"/>
      <c r="V79" s="11"/>
      <c r="W79" s="11"/>
      <c r="X79" s="11"/>
    </row>
    <row r="80" spans="1:24" x14ac:dyDescent="0.25">
      <c r="A80">
        <f t="shared" si="7"/>
        <v>0.21917300000000012</v>
      </c>
      <c r="B80">
        <v>959.22607112017135</v>
      </c>
      <c r="N80">
        <f t="shared" si="4"/>
        <v>5.2000000000000129E-2</v>
      </c>
      <c r="O80">
        <f t="shared" si="5"/>
        <v>-9.0315568206772241</v>
      </c>
      <c r="P80">
        <f t="shared" si="6"/>
        <v>81.569018605121286</v>
      </c>
      <c r="Q80" s="7"/>
      <c r="R80" s="7"/>
      <c r="S80" s="11"/>
      <c r="T80" s="7"/>
      <c r="U80" s="7"/>
      <c r="V80" s="11"/>
      <c r="W80" s="11"/>
      <c r="X80" s="11"/>
    </row>
    <row r="81" spans="1:24" x14ac:dyDescent="0.25">
      <c r="A81">
        <f t="shared" si="7"/>
        <v>0.22117300000000012</v>
      </c>
      <c r="B81">
        <v>958.7132546188958</v>
      </c>
      <c r="N81">
        <f t="shared" si="4"/>
        <v>5.4000000000000131E-2</v>
      </c>
      <c r="O81">
        <f t="shared" si="5"/>
        <v>-9.5443733219527758</v>
      </c>
      <c r="P81">
        <f t="shared" si="6"/>
        <v>91.095062108803859</v>
      </c>
      <c r="Q81" s="7"/>
      <c r="R81" s="7"/>
      <c r="S81" s="11"/>
      <c r="T81" s="7"/>
      <c r="U81" s="7"/>
      <c r="V81" s="11"/>
      <c r="W81" s="11"/>
      <c r="X81" s="11"/>
    </row>
    <row r="82" spans="1:24" x14ac:dyDescent="0.25">
      <c r="A82">
        <f t="shared" si="7"/>
        <v>0.22317300000000012</v>
      </c>
      <c r="B82">
        <v>958.21912728489508</v>
      </c>
      <c r="N82">
        <f t="shared" si="4"/>
        <v>5.6000000000000133E-2</v>
      </c>
      <c r="O82">
        <f t="shared" si="5"/>
        <v>-10.038500655953499</v>
      </c>
      <c r="P82">
        <f t="shared" si="6"/>
        <v>100.77149541957883</v>
      </c>
      <c r="Q82" s="7"/>
      <c r="R82" s="7"/>
      <c r="S82" s="11"/>
      <c r="T82" s="7"/>
      <c r="U82" s="7"/>
      <c r="V82" s="11"/>
      <c r="W82" s="11"/>
      <c r="X82" s="11"/>
    </row>
    <row r="83" spans="1:24" x14ac:dyDescent="0.25">
      <c r="A83">
        <f t="shared" si="7"/>
        <v>0.22517300000000012</v>
      </c>
      <c r="B83">
        <v>957.69911472296917</v>
      </c>
      <c r="N83">
        <f t="shared" si="4"/>
        <v>5.8000000000000135E-2</v>
      </c>
      <c r="O83">
        <f t="shared" si="5"/>
        <v>-10.558513217879408</v>
      </c>
      <c r="P83">
        <f t="shared" si="6"/>
        <v>111.48220137213418</v>
      </c>
      <c r="Q83" s="7"/>
      <c r="R83" s="7"/>
      <c r="S83" s="11"/>
      <c r="T83" s="7"/>
      <c r="U83" s="7"/>
      <c r="V83" s="11"/>
      <c r="W83" s="11"/>
      <c r="X83" s="11"/>
    </row>
    <row r="84" spans="1:24" x14ac:dyDescent="0.25">
      <c r="A84">
        <f t="shared" si="7"/>
        <v>0.22717300000000012</v>
      </c>
      <c r="B84">
        <v>957.14716610154426</v>
      </c>
      <c r="N84">
        <f t="shared" si="4"/>
        <v>6.0000000000000137E-2</v>
      </c>
      <c r="O84">
        <f t="shared" si="5"/>
        <v>-11.110461839304321</v>
      </c>
      <c r="P84">
        <f t="shared" si="6"/>
        <v>123.44236228263756</v>
      </c>
      <c r="Q84" s="7"/>
      <c r="R84" s="7"/>
      <c r="S84" s="11"/>
      <c r="T84" s="7"/>
      <c r="U84" s="7"/>
      <c r="V84" s="11"/>
      <c r="W84" s="11"/>
      <c r="X84" s="11"/>
    </row>
    <row r="85" spans="1:24" x14ac:dyDescent="0.25">
      <c r="A85">
        <f t="shared" si="7"/>
        <v>0.22917300000000013</v>
      </c>
      <c r="B85">
        <v>956.59821303546403</v>
      </c>
      <c r="N85">
        <f t="shared" si="4"/>
        <v>6.2000000000000138E-2</v>
      </c>
      <c r="O85">
        <f t="shared" si="5"/>
        <v>-11.659414905384551</v>
      </c>
      <c r="P85">
        <f t="shared" si="6"/>
        <v>135.94195593590345</v>
      </c>
      <c r="Q85" s="7"/>
      <c r="R85" s="7"/>
      <c r="S85" s="11"/>
      <c r="T85" s="7"/>
      <c r="U85" s="7"/>
      <c r="V85" s="11"/>
      <c r="W85" s="11"/>
      <c r="X85" s="11"/>
    </row>
    <row r="86" spans="1:24" x14ac:dyDescent="0.25">
      <c r="A86">
        <f t="shared" si="7"/>
        <v>0.23117300000000013</v>
      </c>
      <c r="B86">
        <v>956.04955244227676</v>
      </c>
      <c r="N86">
        <f t="shared" si="4"/>
        <v>6.400000000000014E-2</v>
      </c>
      <c r="O86">
        <f t="shared" si="5"/>
        <v>-12.208075498571816</v>
      </c>
      <c r="P86">
        <f t="shared" si="6"/>
        <v>149.03710737882949</v>
      </c>
      <c r="Q86" s="7"/>
      <c r="R86" s="7"/>
      <c r="S86" s="11"/>
      <c r="T86" s="7"/>
      <c r="U86" s="7"/>
      <c r="V86" s="11"/>
      <c r="W86" s="11"/>
      <c r="X86" s="11"/>
    </row>
    <row r="87" spans="1:24" x14ac:dyDescent="0.25">
      <c r="A87">
        <f t="shared" si="7"/>
        <v>0.23317300000000013</v>
      </c>
      <c r="B87">
        <v>955.53202065737275</v>
      </c>
      <c r="N87">
        <f t="shared" si="4"/>
        <v>6.6000000000000142E-2</v>
      </c>
      <c r="O87">
        <f t="shared" si="5"/>
        <v>-12.725607283475824</v>
      </c>
      <c r="P87">
        <f t="shared" si="6"/>
        <v>161.94108073325296</v>
      </c>
      <c r="Q87" s="7"/>
      <c r="R87" s="7"/>
      <c r="S87" s="11"/>
      <c r="T87" s="7"/>
      <c r="U87" s="7"/>
      <c r="V87" s="11"/>
      <c r="W87" s="11"/>
      <c r="X87" s="11"/>
    </row>
    <row r="88" spans="1:24" x14ac:dyDescent="0.25">
      <c r="A88">
        <f t="shared" si="7"/>
        <v>0.23517300000000013</v>
      </c>
      <c r="B88">
        <v>954.98971453288482</v>
      </c>
      <c r="N88">
        <f t="shared" si="4"/>
        <v>6.8000000000000144E-2</v>
      </c>
      <c r="O88">
        <f t="shared" si="5"/>
        <v>-13.267913407963761</v>
      </c>
      <c r="P88">
        <f t="shared" si="6"/>
        <v>176.03752620122452</v>
      </c>
      <c r="Q88" s="7"/>
      <c r="R88" s="7"/>
      <c r="S88" s="11"/>
      <c r="T88" s="7"/>
      <c r="U88" s="7"/>
      <c r="V88" s="11"/>
      <c r="W88" s="11"/>
      <c r="X88" s="11"/>
    </row>
    <row r="89" spans="1:24" x14ac:dyDescent="0.25">
      <c r="A89">
        <f t="shared" si="7"/>
        <v>0.23717300000000013</v>
      </c>
      <c r="B89">
        <v>954.43636464244253</v>
      </c>
      <c r="N89">
        <f t="shared" si="4"/>
        <v>7.0000000000000145E-2</v>
      </c>
      <c r="O89">
        <f t="shared" si="5"/>
        <v>-13.821263298406052</v>
      </c>
      <c r="P89">
        <f t="shared" si="6"/>
        <v>191.02731916386614</v>
      </c>
      <c r="Q89" s="7"/>
      <c r="R89" s="7"/>
      <c r="S89" s="11"/>
      <c r="T89" s="7"/>
      <c r="U89" s="7"/>
      <c r="V89" s="11"/>
      <c r="W89" s="11"/>
      <c r="X89" s="11"/>
    </row>
    <row r="90" spans="1:24" x14ac:dyDescent="0.25">
      <c r="A90">
        <f t="shared" si="7"/>
        <v>0.23917300000000014</v>
      </c>
      <c r="B90">
        <v>953.81959554453181</v>
      </c>
      <c r="N90">
        <f t="shared" si="4"/>
        <v>7.2000000000000147E-2</v>
      </c>
      <c r="O90">
        <f t="shared" si="5"/>
        <v>-14.438032396316771</v>
      </c>
      <c r="P90">
        <f t="shared" si="6"/>
        <v>208.4567794770926</v>
      </c>
      <c r="Q90" s="7"/>
      <c r="R90" s="7"/>
      <c r="S90" s="11"/>
      <c r="T90" s="7"/>
      <c r="U90" s="7"/>
      <c r="V90" s="11"/>
      <c r="W90" s="11"/>
      <c r="X90" s="11"/>
    </row>
    <row r="91" spans="1:24" x14ac:dyDescent="0.25">
      <c r="A91">
        <f t="shared" si="7"/>
        <v>0.24117300000000014</v>
      </c>
      <c r="B91">
        <v>953.21333095393015</v>
      </c>
      <c r="N91">
        <f t="shared" si="4"/>
        <v>7.4000000000000149E-2</v>
      </c>
      <c r="O91">
        <f t="shared" si="5"/>
        <v>-15.044296986918425</v>
      </c>
      <c r="P91">
        <f t="shared" si="6"/>
        <v>226.3308718306028</v>
      </c>
      <c r="Q91" s="7"/>
      <c r="R91" s="7"/>
      <c r="S91" s="11"/>
      <c r="T91" s="7"/>
      <c r="U91" s="7"/>
      <c r="V91" s="11"/>
      <c r="W91" s="11"/>
      <c r="X91" s="11"/>
    </row>
    <row r="92" spans="1:24" x14ac:dyDescent="0.25">
      <c r="A92">
        <f t="shared" si="7"/>
        <v>0.24317300000000014</v>
      </c>
      <c r="B92">
        <v>952.64332472848662</v>
      </c>
      <c r="N92">
        <f t="shared" si="4"/>
        <v>7.6000000000000151E-2</v>
      </c>
      <c r="O92">
        <f t="shared" si="5"/>
        <v>-15.614303212361961</v>
      </c>
      <c r="P92">
        <f t="shared" si="6"/>
        <v>243.80646480757704</v>
      </c>
      <c r="Q92" s="7"/>
      <c r="R92" s="7"/>
      <c r="S92" s="11"/>
      <c r="T92" s="7"/>
      <c r="U92" s="7"/>
      <c r="V92" s="11"/>
      <c r="W92" s="11"/>
      <c r="X92" s="11"/>
    </row>
    <row r="93" spans="1:24" x14ac:dyDescent="0.25">
      <c r="A93">
        <f t="shared" si="7"/>
        <v>0.24517300000000014</v>
      </c>
      <c r="B93">
        <v>952.07802417838104</v>
      </c>
      <c r="N93">
        <f t="shared" si="4"/>
        <v>7.8000000000000153E-2</v>
      </c>
      <c r="O93">
        <f t="shared" si="5"/>
        <v>-16.179603762467536</v>
      </c>
      <c r="P93">
        <f t="shared" si="6"/>
        <v>261.77957791045367</v>
      </c>
      <c r="Q93" s="7"/>
      <c r="R93" s="7"/>
      <c r="S93" s="11"/>
      <c r="T93" s="7"/>
      <c r="U93" s="7"/>
      <c r="V93" s="11"/>
      <c r="W93" s="11"/>
      <c r="X93" s="11"/>
    </row>
    <row r="94" spans="1:24" x14ac:dyDescent="0.25">
      <c r="A94">
        <f t="shared" si="7"/>
        <v>0.24717300000000014</v>
      </c>
      <c r="B94">
        <v>951.45719983772221</v>
      </c>
      <c r="N94">
        <f t="shared" si="4"/>
        <v>8.0000000000000154E-2</v>
      </c>
      <c r="O94">
        <f t="shared" si="5"/>
        <v>-16.800428103126364</v>
      </c>
      <c r="P94">
        <f t="shared" si="6"/>
        <v>282.25438444831815</v>
      </c>
      <c r="Q94" s="7"/>
      <c r="R94" s="7"/>
      <c r="S94" s="11"/>
      <c r="T94" s="7"/>
      <c r="U94" s="7"/>
      <c r="V94" s="11"/>
      <c r="W94" s="11"/>
      <c r="X94" s="11"/>
    </row>
    <row r="95" spans="1:24" x14ac:dyDescent="0.25">
      <c r="A95">
        <f t="shared" si="7"/>
        <v>0.24917300000000014</v>
      </c>
      <c r="B95">
        <v>950.77569159738584</v>
      </c>
      <c r="N95">
        <f t="shared" si="4"/>
        <v>8.2000000000000156E-2</v>
      </c>
      <c r="O95">
        <f t="shared" si="5"/>
        <v>-17.481936343462735</v>
      </c>
      <c r="P95">
        <f t="shared" si="6"/>
        <v>305.61809831688322</v>
      </c>
      <c r="Q95" s="7"/>
      <c r="R95" s="7"/>
      <c r="S95" s="11"/>
      <c r="T95" s="7"/>
      <c r="U95" s="7"/>
      <c r="V95" s="11"/>
      <c r="W95" s="11"/>
      <c r="X95" s="11"/>
    </row>
    <row r="96" spans="1:24" x14ac:dyDescent="0.25">
      <c r="A96">
        <f t="shared" si="7"/>
        <v>0.25117300000000015</v>
      </c>
      <c r="B96">
        <v>950.11894672250378</v>
      </c>
      <c r="N96">
        <f t="shared" si="4"/>
        <v>8.4000000000000158E-2</v>
      </c>
      <c r="O96">
        <f t="shared" si="5"/>
        <v>-18.1386812183448</v>
      </c>
      <c r="P96">
        <f t="shared" si="6"/>
        <v>329.01175634073439</v>
      </c>
      <c r="Q96" s="7"/>
      <c r="R96" s="7"/>
      <c r="S96" s="11"/>
      <c r="T96" s="7"/>
      <c r="U96" s="7"/>
      <c r="V96" s="11"/>
      <c r="W96" s="11"/>
      <c r="X96" s="11"/>
    </row>
    <row r="97" spans="1:24" x14ac:dyDescent="0.25">
      <c r="A97">
        <f t="shared" si="7"/>
        <v>0.25317300000000015</v>
      </c>
      <c r="B97">
        <v>949.45310582513207</v>
      </c>
      <c r="N97">
        <f t="shared" si="4"/>
        <v>8.600000000000016E-2</v>
      </c>
      <c r="O97">
        <f t="shared" si="5"/>
        <v>-18.804522115716509</v>
      </c>
      <c r="P97">
        <f t="shared" si="6"/>
        <v>353.61005200047128</v>
      </c>
      <c r="Q97" s="7"/>
      <c r="R97" s="7"/>
      <c r="S97" s="11"/>
      <c r="T97" s="7"/>
      <c r="U97" s="7"/>
      <c r="V97" s="11"/>
      <c r="W97" s="11"/>
      <c r="X97" s="11"/>
    </row>
    <row r="98" spans="1:24" x14ac:dyDescent="0.25">
      <c r="A98">
        <f t="shared" si="7"/>
        <v>0.25517300000000015</v>
      </c>
      <c r="B98">
        <v>948.76894759343134</v>
      </c>
      <c r="N98">
        <f t="shared" si="4"/>
        <v>8.8000000000000161E-2</v>
      </c>
      <c r="O98">
        <f t="shared" si="5"/>
        <v>-19.488680347417244</v>
      </c>
      <c r="P98">
        <f t="shared" si="6"/>
        <v>379.80866168380709</v>
      </c>
      <c r="Q98" s="7"/>
      <c r="R98" s="7"/>
      <c r="S98" s="11"/>
      <c r="T98" s="7"/>
      <c r="U98" s="7"/>
      <c r="V98" s="11"/>
      <c r="W98" s="11"/>
      <c r="X98" s="11"/>
    </row>
    <row r="99" spans="1:24" x14ac:dyDescent="0.25">
      <c r="A99">
        <f t="shared" si="7"/>
        <v>0.25717300000000015</v>
      </c>
      <c r="B99">
        <v>948.10846821640882</v>
      </c>
      <c r="N99">
        <f t="shared" si="4"/>
        <v>9.0000000000000163E-2</v>
      </c>
      <c r="O99">
        <f t="shared" si="5"/>
        <v>-20.149159724439755</v>
      </c>
      <c r="P99">
        <f t="shared" si="6"/>
        <v>405.98863760098516</v>
      </c>
      <c r="Q99" s="7"/>
      <c r="R99" s="7"/>
      <c r="S99" s="11"/>
      <c r="T99" s="7"/>
      <c r="U99" s="7"/>
      <c r="V99" s="11"/>
      <c r="W99" s="11"/>
      <c r="X99" s="11"/>
    </row>
    <row r="100" spans="1:24" x14ac:dyDescent="0.25">
      <c r="A100">
        <f t="shared" si="7"/>
        <v>0.25917300000000015</v>
      </c>
      <c r="B100">
        <v>947.44650507124197</v>
      </c>
      <c r="N100">
        <f t="shared" si="4"/>
        <v>9.2000000000000165E-2</v>
      </c>
      <c r="O100">
        <f t="shared" si="5"/>
        <v>-20.811122869606606</v>
      </c>
      <c r="P100">
        <f t="shared" si="6"/>
        <v>433.10283509386312</v>
      </c>
      <c r="Q100" s="7"/>
      <c r="R100" s="7"/>
      <c r="S100" s="11"/>
      <c r="T100" s="7"/>
      <c r="U100" s="7"/>
      <c r="V100" s="11"/>
      <c r="W100" s="11"/>
      <c r="X100" s="11"/>
    </row>
    <row r="101" spans="1:24" x14ac:dyDescent="0.25">
      <c r="A101">
        <f t="shared" si="7"/>
        <v>0.26117300000000016</v>
      </c>
      <c r="B101">
        <v>946.74212524332665</v>
      </c>
      <c r="N101">
        <f t="shared" si="4"/>
        <v>9.4000000000000167E-2</v>
      </c>
      <c r="O101">
        <f t="shared" si="5"/>
        <v>-21.515502697521924</v>
      </c>
      <c r="P101">
        <f t="shared" si="6"/>
        <v>462.91685632707322</v>
      </c>
      <c r="Q101" s="7"/>
      <c r="R101" s="7"/>
      <c r="S101" s="11"/>
      <c r="T101" s="7"/>
      <c r="U101" s="7"/>
      <c r="V101" s="11"/>
      <c r="W101" s="11"/>
      <c r="X101" s="11"/>
    </row>
    <row r="102" spans="1:24" x14ac:dyDescent="0.25">
      <c r="A102">
        <f t="shared" si="7"/>
        <v>0.26317300000000016</v>
      </c>
      <c r="B102">
        <v>946.03998222181008</v>
      </c>
      <c r="N102">
        <f t="shared" si="4"/>
        <v>9.6000000000000169E-2</v>
      </c>
      <c r="O102">
        <f t="shared" si="5"/>
        <v>-22.217645719038501</v>
      </c>
      <c r="P102">
        <f t="shared" si="6"/>
        <v>493.62378129670981</v>
      </c>
      <c r="Q102" s="7"/>
      <c r="R102" s="7"/>
      <c r="S102" s="11"/>
      <c r="T102" s="7"/>
      <c r="U102" s="7"/>
      <c r="V102" s="11"/>
      <c r="W102" s="11"/>
      <c r="X102" s="11"/>
    </row>
    <row r="103" spans="1:24" x14ac:dyDescent="0.25">
      <c r="A103">
        <f t="shared" si="7"/>
        <v>0.26517300000000016</v>
      </c>
      <c r="B103">
        <v>945.36633393076841</v>
      </c>
      <c r="N103">
        <f t="shared" si="4"/>
        <v>9.800000000000017E-2</v>
      </c>
      <c r="O103">
        <f t="shared" si="5"/>
        <v>-22.891294010080173</v>
      </c>
      <c r="P103">
        <f t="shared" si="6"/>
        <v>524.01134145593244</v>
      </c>
      <c r="Q103" s="7"/>
      <c r="R103" s="7"/>
      <c r="S103" s="11"/>
      <c r="T103" s="7"/>
      <c r="U103" s="7"/>
      <c r="V103" s="11"/>
      <c r="W103" s="11"/>
      <c r="X103" s="11"/>
    </row>
    <row r="104" spans="1:24" x14ac:dyDescent="0.25">
      <c r="A104">
        <f t="shared" si="7"/>
        <v>0.26717300000000016</v>
      </c>
      <c r="B104">
        <v>944.68878173864744</v>
      </c>
      <c r="N104">
        <f t="shared" si="4"/>
        <v>0.10000000000000017</v>
      </c>
      <c r="O104">
        <f t="shared" si="5"/>
        <v>-23.568846202201144</v>
      </c>
      <c r="P104">
        <f t="shared" si="6"/>
        <v>555.49051130301132</v>
      </c>
      <c r="Q104" s="7"/>
      <c r="R104" s="7"/>
      <c r="S104" s="11"/>
      <c r="T104" s="7"/>
      <c r="U104" s="7"/>
      <c r="V104" s="11"/>
      <c r="W104" s="11"/>
      <c r="X104" s="11"/>
    </row>
    <row r="105" spans="1:24" x14ac:dyDescent="0.25">
      <c r="P105" s="7"/>
      <c r="Q105" s="7"/>
      <c r="R105" s="7"/>
      <c r="S105" s="11"/>
      <c r="T105" s="7"/>
      <c r="U105" s="7"/>
      <c r="V105" s="11"/>
      <c r="W105" s="11"/>
      <c r="X105" s="11"/>
    </row>
    <row r="106" spans="1:24" x14ac:dyDescent="0.25">
      <c r="P106" s="7"/>
      <c r="Q106" s="7"/>
      <c r="R106" s="7"/>
      <c r="S106" s="11"/>
      <c r="T106" s="7"/>
      <c r="U106" s="7"/>
      <c r="V106" s="11"/>
      <c r="W106" s="11"/>
      <c r="X106" s="11"/>
    </row>
    <row r="107" spans="1:24" x14ac:dyDescent="0.25">
      <c r="P107" s="7"/>
      <c r="Q107" s="7"/>
      <c r="R107" s="7"/>
      <c r="S107" s="11"/>
      <c r="T107" s="7"/>
      <c r="U107" s="7"/>
      <c r="V107" s="11"/>
      <c r="W107" s="11"/>
      <c r="X107" s="11"/>
    </row>
    <row r="108" spans="1:24" x14ac:dyDescent="0.25">
      <c r="P108" s="7"/>
      <c r="Q108" s="7"/>
      <c r="R108" s="7"/>
      <c r="S108" s="11"/>
      <c r="T108" s="7"/>
      <c r="U108" s="7"/>
      <c r="V108" s="11"/>
      <c r="W108" s="11"/>
      <c r="X108" s="11"/>
    </row>
    <row r="109" spans="1:24" x14ac:dyDescent="0.25">
      <c r="P109" s="7"/>
      <c r="Q109" s="7"/>
      <c r="R109" s="7"/>
      <c r="S109" s="11"/>
      <c r="T109" s="7"/>
      <c r="U109" s="7"/>
      <c r="V109" s="11"/>
      <c r="W109" s="11"/>
      <c r="X109" s="11"/>
    </row>
    <row r="110" spans="1:24" x14ac:dyDescent="0.25">
      <c r="P110" s="7"/>
      <c r="Q110" s="7"/>
      <c r="R110" s="7"/>
      <c r="S110" s="11"/>
      <c r="T110" s="7"/>
      <c r="U110" s="7"/>
      <c r="V110" s="11"/>
      <c r="W110" s="11"/>
      <c r="X110" s="11"/>
    </row>
    <row r="111" spans="1:24" x14ac:dyDescent="0.25">
      <c r="P111" s="7"/>
      <c r="Q111" s="7"/>
      <c r="R111" s="7"/>
      <c r="S111" s="11"/>
      <c r="T111" s="7"/>
      <c r="U111" s="7"/>
      <c r="V111" s="11"/>
      <c r="W111" s="11"/>
      <c r="X111" s="11"/>
    </row>
    <row r="112" spans="1:24" x14ac:dyDescent="0.25">
      <c r="P112" s="7"/>
      <c r="Q112" s="7"/>
      <c r="R112" s="7"/>
      <c r="S112" s="11"/>
      <c r="T112" s="7"/>
      <c r="U112" s="7"/>
      <c r="V112" s="11"/>
      <c r="W112" s="11"/>
      <c r="X112" s="11"/>
    </row>
    <row r="113" spans="16:24" x14ac:dyDescent="0.25">
      <c r="P113" s="7"/>
      <c r="Q113" s="7"/>
      <c r="R113" s="7"/>
      <c r="S113" s="11"/>
      <c r="T113" s="7"/>
      <c r="U113" s="7"/>
      <c r="V113" s="11"/>
      <c r="W113" s="11"/>
      <c r="X113" s="11"/>
    </row>
    <row r="114" spans="16:24" x14ac:dyDescent="0.25">
      <c r="P114" s="7"/>
      <c r="Q114" s="7"/>
      <c r="R114" s="7"/>
      <c r="S114" s="11"/>
      <c r="T114" s="7"/>
      <c r="U114" s="7"/>
      <c r="V114" s="11"/>
      <c r="W114" s="11"/>
      <c r="X114" s="11"/>
    </row>
    <row r="115" spans="16:24" x14ac:dyDescent="0.25">
      <c r="P115" s="7"/>
      <c r="Q115" s="7"/>
      <c r="R115" s="7"/>
      <c r="S115" s="11"/>
      <c r="T115" s="7"/>
      <c r="U115" s="7"/>
      <c r="V115" s="11"/>
      <c r="W115" s="11"/>
      <c r="X115" s="11"/>
    </row>
    <row r="116" spans="16:24" x14ac:dyDescent="0.25">
      <c r="P116" s="7"/>
      <c r="Q116" s="7"/>
      <c r="R116" s="7"/>
      <c r="S116" s="11"/>
      <c r="T116" s="7"/>
      <c r="U116" s="7"/>
      <c r="V116" s="11"/>
      <c r="W116" s="11"/>
      <c r="X116" s="11"/>
    </row>
    <row r="117" spans="16:24" x14ac:dyDescent="0.25">
      <c r="P117" s="7"/>
      <c r="Q117" s="7"/>
      <c r="R117" s="7"/>
      <c r="S117" s="11"/>
      <c r="T117" s="7"/>
      <c r="U117" s="7"/>
      <c r="V117" s="11"/>
      <c r="W117" s="11"/>
      <c r="X117" s="11"/>
    </row>
    <row r="118" spans="16:24" x14ac:dyDescent="0.25">
      <c r="P118" s="7"/>
      <c r="Q118" s="7"/>
      <c r="R118" s="7"/>
      <c r="S118" s="11"/>
      <c r="T118" s="7"/>
      <c r="U118" s="7"/>
      <c r="V118" s="11"/>
      <c r="W118" s="11"/>
      <c r="X118" s="11"/>
    </row>
    <row r="119" spans="16:24" x14ac:dyDescent="0.25">
      <c r="P119" s="7"/>
      <c r="Q119" s="7"/>
      <c r="R119" s="7"/>
      <c r="S119" s="11"/>
      <c r="T119" s="7"/>
      <c r="U119" s="7"/>
      <c r="V119" s="11"/>
      <c r="W119" s="11"/>
      <c r="X119" s="11"/>
    </row>
    <row r="120" spans="16:24" x14ac:dyDescent="0.25">
      <c r="P120" s="7"/>
      <c r="Q120" s="7"/>
      <c r="R120" s="7"/>
      <c r="S120" s="11"/>
      <c r="T120" s="7"/>
      <c r="U120" s="7"/>
      <c r="V120" s="11"/>
      <c r="W120" s="11"/>
      <c r="X120" s="11"/>
    </row>
    <row r="121" spans="16:24" x14ac:dyDescent="0.25">
      <c r="P121" s="7"/>
      <c r="Q121" s="7"/>
      <c r="R121" s="7"/>
      <c r="S121" s="11"/>
      <c r="T121" s="7"/>
      <c r="U121" s="7"/>
      <c r="V121" s="11"/>
      <c r="W121" s="11"/>
      <c r="X121" s="11"/>
    </row>
    <row r="122" spans="16:24" x14ac:dyDescent="0.25">
      <c r="P122" s="7"/>
      <c r="Q122" s="7"/>
      <c r="R122" s="7"/>
      <c r="S122" s="11"/>
      <c r="T122" s="7"/>
      <c r="U122" s="7"/>
      <c r="V122" s="11"/>
      <c r="W122" s="11"/>
      <c r="X122" s="11"/>
    </row>
    <row r="123" spans="16:24" x14ac:dyDescent="0.25">
      <c r="P123" s="7"/>
      <c r="Q123" s="7"/>
      <c r="R123" s="7"/>
      <c r="S123" s="11"/>
      <c r="T123" s="7"/>
      <c r="U123" s="7"/>
      <c r="V123" s="11"/>
      <c r="W123" s="11"/>
      <c r="X123" s="11"/>
    </row>
    <row r="124" spans="16:24" x14ac:dyDescent="0.25">
      <c r="P124" s="7"/>
      <c r="Q124" s="7"/>
      <c r="R124" s="7"/>
      <c r="S124" s="11"/>
      <c r="T124" s="7"/>
      <c r="U124" s="7"/>
      <c r="V124" s="11"/>
      <c r="W124" s="11"/>
      <c r="X124" s="11"/>
    </row>
    <row r="125" spans="16:24" x14ac:dyDescent="0.25">
      <c r="P125" s="7"/>
      <c r="Q125" s="7"/>
      <c r="R125" s="7"/>
      <c r="S125" s="11"/>
      <c r="T125" s="7"/>
      <c r="U125" s="7"/>
      <c r="V125" s="11"/>
      <c r="W125" s="11"/>
      <c r="X125" s="11"/>
    </row>
    <row r="126" spans="16:24" x14ac:dyDescent="0.25">
      <c r="P126" s="7"/>
      <c r="Q126" s="7"/>
      <c r="R126" s="7"/>
      <c r="S126" s="11"/>
      <c r="T126" s="7"/>
      <c r="U126" s="7"/>
      <c r="V126" s="11"/>
      <c r="W126" s="11"/>
      <c r="X126" s="11"/>
    </row>
    <row r="127" spans="16:24" x14ac:dyDescent="0.25">
      <c r="P127" s="7"/>
      <c r="Q127" s="7"/>
      <c r="R127" s="7"/>
      <c r="S127" s="11"/>
      <c r="T127" s="7"/>
      <c r="U127" s="7"/>
      <c r="V127" s="11"/>
      <c r="W127" s="11"/>
      <c r="X127" s="11"/>
    </row>
    <row r="128" spans="16:24" x14ac:dyDescent="0.25">
      <c r="P128" s="7"/>
      <c r="Q128" s="7"/>
      <c r="R128" s="7"/>
      <c r="S128" s="11"/>
      <c r="T128" s="7"/>
      <c r="U128" s="7"/>
      <c r="V128" s="11"/>
      <c r="W128" s="11"/>
      <c r="X128" s="11"/>
    </row>
  </sheetData>
  <sortState ref="U28:U128">
    <sortCondition ref="U2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Sheet16.black_scholes_vega_2">
                <anchor moveWithCells="1" sizeWithCells="1">
                  <from>
                    <xdr:col>5</xdr:col>
                    <xdr:colOff>152400</xdr:colOff>
                    <xdr:row>4</xdr:row>
                    <xdr:rowOff>47625</xdr:rowOff>
                  </from>
                  <to>
                    <xdr:col>6</xdr:col>
                    <xdr:colOff>295275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104"/>
  <sheetViews>
    <sheetView workbookViewId="0">
      <selection activeCell="N6" sqref="N6"/>
    </sheetView>
  </sheetViews>
  <sheetFormatPr defaultRowHeight="15" x14ac:dyDescent="0.25"/>
  <cols>
    <col min="3" max="3" width="15.140625" bestFit="1" customWidth="1"/>
    <col min="10" max="10" width="15.140625" bestFit="1" customWidth="1"/>
    <col min="11" max="11" width="9.85546875" bestFit="1" customWidth="1"/>
  </cols>
  <sheetData>
    <row r="1" spans="1:14" x14ac:dyDescent="0.25">
      <c r="B1" t="s">
        <v>38</v>
      </c>
      <c r="C1">
        <f>'Parameter Page'!H6</f>
        <v>0.19</v>
      </c>
      <c r="E1">
        <f>C1-0.05</f>
        <v>0.14000000000000001</v>
      </c>
      <c r="F1">
        <f>C1+0.05</f>
        <v>0.24</v>
      </c>
    </row>
    <row r="2" spans="1:14" x14ac:dyDescent="0.25">
      <c r="C2" t="s">
        <v>36</v>
      </c>
      <c r="D2">
        <f>COUNT(B4:B204)</f>
        <v>101</v>
      </c>
      <c r="J2" t="s">
        <v>46</v>
      </c>
    </row>
    <row r="3" spans="1:14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4" x14ac:dyDescent="0.25">
      <c r="A4" t="str">
        <f>TEXT(B4,"00.00%")</f>
        <v>14.00%</v>
      </c>
      <c r="B4">
        <f>E1</f>
        <v>0.14000000000000001</v>
      </c>
      <c r="C4">
        <v>986.0373439149289</v>
      </c>
      <c r="I4" s="5" t="s">
        <v>67</v>
      </c>
      <c r="J4">
        <f>VLOOKUP(I4,$A$4:$C$104,3,0)</f>
        <v>980.82076626600747</v>
      </c>
      <c r="K4" t="s">
        <v>48</v>
      </c>
      <c r="M4" t="s">
        <v>116</v>
      </c>
      <c r="N4" s="14">
        <f>ABS(($J$6-$J$4)/$J$5)</f>
        <v>4.5704812849285742E-3</v>
      </c>
    </row>
    <row r="5" spans="1:14" x14ac:dyDescent="0.25">
      <c r="A5" t="str">
        <f t="shared" ref="A5:A68" si="0">TEXT(B5,"00.00%")</f>
        <v>14.10%</v>
      </c>
      <c r="B5">
        <f>B4+0.001</f>
        <v>0.14100000000000001</v>
      </c>
      <c r="C5">
        <v>985.96775071372372</v>
      </c>
      <c r="I5" s="5" t="s">
        <v>66</v>
      </c>
      <c r="J5">
        <f t="shared" ref="J5:J6" si="1">VLOOKUP(I5,$A$4:$C$104,3,0)</f>
        <v>978.75470973659685</v>
      </c>
      <c r="K5" s="6">
        <f>(J5-J4)/J4</f>
        <v>-2.1064567558822292E-3</v>
      </c>
      <c r="M5" t="s">
        <v>121</v>
      </c>
      <c r="N5" s="15">
        <f>ABS(($I$6-$I$4)/$I$5)</f>
        <v>0.10526315789473693</v>
      </c>
    </row>
    <row r="6" spans="1:14" x14ac:dyDescent="0.25">
      <c r="A6" t="str">
        <f t="shared" si="0"/>
        <v>14.20%</v>
      </c>
      <c r="B6">
        <f t="shared" ref="B6:B69" si="2">B5+0.001</f>
        <v>0.14200000000000002</v>
      </c>
      <c r="C6">
        <v>985.88399615664605</v>
      </c>
      <c r="I6" s="5" t="s">
        <v>68</v>
      </c>
      <c r="J6">
        <f t="shared" si="1"/>
        <v>976.34738618262065</v>
      </c>
      <c r="K6" s="6">
        <f>(J6-J5)/J5</f>
        <v>-2.4595780025661981E-3</v>
      </c>
      <c r="M6" t="s">
        <v>122</v>
      </c>
      <c r="N6" s="15">
        <f>N4/(2*N5)</f>
        <v>2.1709786103410709E-2</v>
      </c>
    </row>
    <row r="7" spans="1:14" x14ac:dyDescent="0.25">
      <c r="A7" t="str">
        <f t="shared" si="0"/>
        <v>14.30%</v>
      </c>
      <c r="B7">
        <f t="shared" si="2"/>
        <v>0.14300000000000002</v>
      </c>
      <c r="C7">
        <v>985.8118875103545</v>
      </c>
    </row>
    <row r="8" spans="1:14" x14ac:dyDescent="0.25">
      <c r="A8" t="str">
        <f t="shared" si="0"/>
        <v>14.40%</v>
      </c>
      <c r="B8">
        <f t="shared" si="2"/>
        <v>0.14400000000000002</v>
      </c>
      <c r="C8">
        <v>985.70783278077408</v>
      </c>
    </row>
    <row r="9" spans="1:14" x14ac:dyDescent="0.25">
      <c r="A9" t="str">
        <f t="shared" si="0"/>
        <v>14.50%</v>
      </c>
      <c r="B9">
        <f t="shared" si="2"/>
        <v>0.14500000000000002</v>
      </c>
      <c r="C9">
        <v>985.61196510461741</v>
      </c>
    </row>
    <row r="10" spans="1:14" x14ac:dyDescent="0.25">
      <c r="A10" t="str">
        <f t="shared" si="0"/>
        <v>14.60%</v>
      </c>
      <c r="B10">
        <f t="shared" si="2"/>
        <v>0.14600000000000002</v>
      </c>
      <c r="C10">
        <v>985.51972015481113</v>
      </c>
    </row>
    <row r="11" spans="1:14" x14ac:dyDescent="0.25">
      <c r="A11" t="str">
        <f t="shared" si="0"/>
        <v>14.70%</v>
      </c>
      <c r="B11">
        <f t="shared" si="2"/>
        <v>0.14700000000000002</v>
      </c>
      <c r="C11">
        <v>985.41279367931429</v>
      </c>
    </row>
    <row r="12" spans="1:14" x14ac:dyDescent="0.25">
      <c r="A12" t="str">
        <f t="shared" si="0"/>
        <v>14.80%</v>
      </c>
      <c r="B12">
        <f t="shared" si="2"/>
        <v>0.14800000000000002</v>
      </c>
      <c r="C12">
        <v>985.30328630082295</v>
      </c>
    </row>
    <row r="13" spans="1:14" x14ac:dyDescent="0.25">
      <c r="A13" t="str">
        <f t="shared" si="0"/>
        <v>14.90%</v>
      </c>
      <c r="B13">
        <f t="shared" si="2"/>
        <v>0.14900000000000002</v>
      </c>
      <c r="C13">
        <v>985.21868389995052</v>
      </c>
    </row>
    <row r="14" spans="1:14" x14ac:dyDescent="0.25">
      <c r="A14" t="str">
        <f t="shared" si="0"/>
        <v>15.00%</v>
      </c>
      <c r="B14">
        <f t="shared" si="2"/>
        <v>0.15000000000000002</v>
      </c>
      <c r="C14">
        <v>985.13591634176214</v>
      </c>
    </row>
    <row r="15" spans="1:14" x14ac:dyDescent="0.25">
      <c r="A15" t="str">
        <f t="shared" si="0"/>
        <v>15.10%</v>
      </c>
      <c r="B15">
        <f t="shared" si="2"/>
        <v>0.15100000000000002</v>
      </c>
      <c r="C15">
        <v>985.0252602785971</v>
      </c>
    </row>
    <row r="16" spans="1:14" x14ac:dyDescent="0.25">
      <c r="A16" t="str">
        <f t="shared" si="0"/>
        <v>15.20%</v>
      </c>
      <c r="B16">
        <f t="shared" si="2"/>
        <v>0.15200000000000002</v>
      </c>
      <c r="C16">
        <v>984.90371203021584</v>
      </c>
    </row>
    <row r="17" spans="1:3" x14ac:dyDescent="0.25">
      <c r="A17" t="str">
        <f t="shared" si="0"/>
        <v>15.30%</v>
      </c>
      <c r="B17">
        <f t="shared" si="2"/>
        <v>0.15300000000000002</v>
      </c>
      <c r="C17">
        <v>984.79230121515661</v>
      </c>
    </row>
    <row r="18" spans="1:3" x14ac:dyDescent="0.25">
      <c r="A18" t="str">
        <f t="shared" si="0"/>
        <v>15.40%</v>
      </c>
      <c r="B18">
        <f t="shared" si="2"/>
        <v>0.15400000000000003</v>
      </c>
      <c r="C18">
        <v>984.68094994426383</v>
      </c>
    </row>
    <row r="19" spans="1:3" x14ac:dyDescent="0.25">
      <c r="A19" t="str">
        <f t="shared" si="0"/>
        <v>15.50%</v>
      </c>
      <c r="B19">
        <f t="shared" si="2"/>
        <v>0.15500000000000003</v>
      </c>
      <c r="C19">
        <v>984.59064051892847</v>
      </c>
    </row>
    <row r="20" spans="1:3" x14ac:dyDescent="0.25">
      <c r="A20" t="str">
        <f t="shared" si="0"/>
        <v>15.60%</v>
      </c>
      <c r="B20">
        <f t="shared" si="2"/>
        <v>0.15600000000000003</v>
      </c>
      <c r="C20">
        <v>984.47952635191268</v>
      </c>
    </row>
    <row r="21" spans="1:3" x14ac:dyDescent="0.25">
      <c r="A21" t="str">
        <f t="shared" si="0"/>
        <v>15.70%</v>
      </c>
      <c r="B21">
        <f t="shared" si="2"/>
        <v>0.15700000000000003</v>
      </c>
      <c r="C21">
        <v>984.36235210309576</v>
      </c>
    </row>
    <row r="22" spans="1:3" x14ac:dyDescent="0.25">
      <c r="A22" t="str">
        <f t="shared" si="0"/>
        <v>15.80%</v>
      </c>
      <c r="B22">
        <f t="shared" si="2"/>
        <v>0.15800000000000003</v>
      </c>
      <c r="C22">
        <v>984.24639351911162</v>
      </c>
    </row>
    <row r="23" spans="1:3" x14ac:dyDescent="0.25">
      <c r="A23" t="str">
        <f t="shared" si="0"/>
        <v>15.90%</v>
      </c>
      <c r="B23">
        <f t="shared" si="2"/>
        <v>0.15900000000000003</v>
      </c>
      <c r="C23">
        <v>984.14823674315573</v>
      </c>
    </row>
    <row r="24" spans="1:3" x14ac:dyDescent="0.25">
      <c r="A24" t="str">
        <f t="shared" si="0"/>
        <v>16.00%</v>
      </c>
      <c r="B24">
        <f t="shared" si="2"/>
        <v>0.16000000000000003</v>
      </c>
      <c r="C24">
        <v>984.01525656550518</v>
      </c>
    </row>
    <row r="25" spans="1:3" x14ac:dyDescent="0.25">
      <c r="A25" t="str">
        <f t="shared" si="0"/>
        <v>16.10%</v>
      </c>
      <c r="B25">
        <f t="shared" si="2"/>
        <v>0.16100000000000003</v>
      </c>
      <c r="C25">
        <v>983.91818929325564</v>
      </c>
    </row>
    <row r="26" spans="1:3" x14ac:dyDescent="0.25">
      <c r="A26" t="str">
        <f t="shared" si="0"/>
        <v>16.20%</v>
      </c>
      <c r="B26">
        <f t="shared" si="2"/>
        <v>0.16200000000000003</v>
      </c>
      <c r="C26">
        <v>983.78091396740263</v>
      </c>
    </row>
    <row r="27" spans="1:3" x14ac:dyDescent="0.25">
      <c r="A27" t="str">
        <f t="shared" si="0"/>
        <v>16.30%</v>
      </c>
      <c r="B27">
        <f t="shared" si="2"/>
        <v>0.16300000000000003</v>
      </c>
      <c r="C27">
        <v>983.6465972255836</v>
      </c>
    </row>
    <row r="28" spans="1:3" x14ac:dyDescent="0.25">
      <c r="A28" t="str">
        <f t="shared" si="0"/>
        <v>16.40%</v>
      </c>
      <c r="B28">
        <f t="shared" si="2"/>
        <v>0.16400000000000003</v>
      </c>
      <c r="C28">
        <v>983.51921609469741</v>
      </c>
    </row>
    <row r="29" spans="1:3" x14ac:dyDescent="0.25">
      <c r="A29" t="str">
        <f t="shared" si="0"/>
        <v>16.50%</v>
      </c>
      <c r="B29">
        <f t="shared" si="2"/>
        <v>0.16500000000000004</v>
      </c>
      <c r="C29">
        <v>983.37517463098175</v>
      </c>
    </row>
    <row r="30" spans="1:3" x14ac:dyDescent="0.25">
      <c r="A30" t="str">
        <f t="shared" si="0"/>
        <v>16.60%</v>
      </c>
      <c r="B30">
        <f t="shared" si="2"/>
        <v>0.16600000000000004</v>
      </c>
      <c r="C30">
        <v>983.23923793395704</v>
      </c>
    </row>
    <row r="31" spans="1:3" x14ac:dyDescent="0.25">
      <c r="A31" t="str">
        <f t="shared" si="0"/>
        <v>16.70%</v>
      </c>
      <c r="B31">
        <f t="shared" si="2"/>
        <v>0.16700000000000004</v>
      </c>
      <c r="C31">
        <v>983.06620320791103</v>
      </c>
    </row>
    <row r="32" spans="1:3" x14ac:dyDescent="0.25">
      <c r="A32" t="str">
        <f t="shared" si="0"/>
        <v>16.80%</v>
      </c>
      <c r="B32">
        <f t="shared" si="2"/>
        <v>0.16800000000000004</v>
      </c>
      <c r="C32">
        <v>982.89120985877571</v>
      </c>
    </row>
    <row r="33" spans="1:3" x14ac:dyDescent="0.25">
      <c r="A33" t="str">
        <f t="shared" si="0"/>
        <v>16.90%</v>
      </c>
      <c r="B33">
        <f t="shared" si="2"/>
        <v>0.16900000000000004</v>
      </c>
      <c r="C33">
        <v>982.72952940284301</v>
      </c>
    </row>
    <row r="34" spans="1:3" x14ac:dyDescent="0.25">
      <c r="A34" t="str">
        <f t="shared" si="0"/>
        <v>17.00%</v>
      </c>
      <c r="B34">
        <f t="shared" si="2"/>
        <v>0.17000000000000004</v>
      </c>
      <c r="C34">
        <v>982.58776339430074</v>
      </c>
    </row>
    <row r="35" spans="1:3" x14ac:dyDescent="0.25">
      <c r="A35" t="str">
        <f t="shared" si="0"/>
        <v>17.10%</v>
      </c>
      <c r="B35">
        <f t="shared" si="2"/>
        <v>0.17100000000000004</v>
      </c>
      <c r="C35">
        <v>982.42847578090777</v>
      </c>
    </row>
    <row r="36" spans="1:3" x14ac:dyDescent="0.25">
      <c r="A36" t="str">
        <f t="shared" si="0"/>
        <v>17.20%</v>
      </c>
      <c r="B36">
        <f t="shared" si="2"/>
        <v>0.17200000000000004</v>
      </c>
      <c r="C36">
        <v>982.25753944602536</v>
      </c>
    </row>
    <row r="37" spans="1:3" x14ac:dyDescent="0.25">
      <c r="A37" t="str">
        <f t="shared" si="0"/>
        <v>17.30%</v>
      </c>
      <c r="B37">
        <f t="shared" si="2"/>
        <v>0.17300000000000004</v>
      </c>
      <c r="C37">
        <v>982.07164261616435</v>
      </c>
    </row>
    <row r="38" spans="1:3" x14ac:dyDescent="0.25">
      <c r="A38" t="str">
        <f t="shared" si="0"/>
        <v>17.40%</v>
      </c>
      <c r="B38">
        <f t="shared" si="2"/>
        <v>0.17400000000000004</v>
      </c>
      <c r="C38">
        <v>981.92320603185578</v>
      </c>
    </row>
    <row r="39" spans="1:3" x14ac:dyDescent="0.25">
      <c r="A39" t="str">
        <f t="shared" si="0"/>
        <v>17.50%</v>
      </c>
      <c r="B39">
        <f t="shared" si="2"/>
        <v>0.17500000000000004</v>
      </c>
      <c r="C39">
        <v>981.73957381806963</v>
      </c>
    </row>
    <row r="40" spans="1:3" x14ac:dyDescent="0.25">
      <c r="A40" t="str">
        <f t="shared" si="0"/>
        <v>17.60%</v>
      </c>
      <c r="B40">
        <f t="shared" si="2"/>
        <v>0.17600000000000005</v>
      </c>
      <c r="C40">
        <v>981.57162345389213</v>
      </c>
    </row>
    <row r="41" spans="1:3" x14ac:dyDescent="0.25">
      <c r="A41" t="str">
        <f t="shared" si="0"/>
        <v>17.70%</v>
      </c>
      <c r="B41">
        <f t="shared" si="2"/>
        <v>0.17700000000000005</v>
      </c>
      <c r="C41">
        <v>981.39626229600594</v>
      </c>
    </row>
    <row r="42" spans="1:3" x14ac:dyDescent="0.25">
      <c r="A42" t="str">
        <f t="shared" si="0"/>
        <v>17.80%</v>
      </c>
      <c r="B42">
        <f t="shared" si="2"/>
        <v>0.17800000000000005</v>
      </c>
      <c r="C42">
        <v>981.20694519025676</v>
      </c>
    </row>
    <row r="43" spans="1:3" x14ac:dyDescent="0.25">
      <c r="A43" t="str">
        <f t="shared" si="0"/>
        <v>17.90%</v>
      </c>
      <c r="B43">
        <f t="shared" si="2"/>
        <v>0.17900000000000005</v>
      </c>
      <c r="C43">
        <v>981.02932868591449</v>
      </c>
    </row>
    <row r="44" spans="1:3" x14ac:dyDescent="0.25">
      <c r="A44" t="str">
        <f t="shared" si="0"/>
        <v>18.00%</v>
      </c>
      <c r="B44">
        <f t="shared" si="2"/>
        <v>0.18000000000000005</v>
      </c>
      <c r="C44">
        <v>980.82076626600747</v>
      </c>
    </row>
    <row r="45" spans="1:3" x14ac:dyDescent="0.25">
      <c r="A45" t="str">
        <f t="shared" si="0"/>
        <v>18.10%</v>
      </c>
      <c r="B45">
        <f t="shared" si="2"/>
        <v>0.18100000000000005</v>
      </c>
      <c r="C45">
        <v>980.60239231164849</v>
      </c>
    </row>
    <row r="46" spans="1:3" x14ac:dyDescent="0.25">
      <c r="A46" t="str">
        <f t="shared" si="0"/>
        <v>18.20%</v>
      </c>
      <c r="B46">
        <f t="shared" si="2"/>
        <v>0.18200000000000005</v>
      </c>
      <c r="C46">
        <v>980.42310909555567</v>
      </c>
    </row>
    <row r="47" spans="1:3" x14ac:dyDescent="0.25">
      <c r="A47" t="str">
        <f t="shared" si="0"/>
        <v>18.30%</v>
      </c>
      <c r="B47">
        <f t="shared" si="2"/>
        <v>0.18300000000000005</v>
      </c>
      <c r="C47">
        <v>980.22156148106387</v>
      </c>
    </row>
    <row r="48" spans="1:3" x14ac:dyDescent="0.25">
      <c r="A48" t="str">
        <f t="shared" si="0"/>
        <v>18.40%</v>
      </c>
      <c r="B48">
        <f t="shared" si="2"/>
        <v>0.18400000000000005</v>
      </c>
      <c r="C48">
        <v>980.01943107774184</v>
      </c>
    </row>
    <row r="49" spans="1:3" x14ac:dyDescent="0.25">
      <c r="A49" t="str">
        <f t="shared" si="0"/>
        <v>18.50%</v>
      </c>
      <c r="B49">
        <f t="shared" si="2"/>
        <v>0.18500000000000005</v>
      </c>
      <c r="C49">
        <v>979.80311361848908</v>
      </c>
    </row>
    <row r="50" spans="1:3" x14ac:dyDescent="0.25">
      <c r="A50" t="str">
        <f t="shared" si="0"/>
        <v>18.60%</v>
      </c>
      <c r="B50">
        <f t="shared" si="2"/>
        <v>0.18600000000000005</v>
      </c>
      <c r="C50">
        <v>979.59139778714484</v>
      </c>
    </row>
    <row r="51" spans="1:3" x14ac:dyDescent="0.25">
      <c r="A51" t="str">
        <f t="shared" si="0"/>
        <v>18.70%</v>
      </c>
      <c r="B51">
        <f t="shared" si="2"/>
        <v>0.18700000000000006</v>
      </c>
      <c r="C51">
        <v>979.40467915966485</v>
      </c>
    </row>
    <row r="52" spans="1:3" x14ac:dyDescent="0.25">
      <c r="A52" t="str">
        <f t="shared" si="0"/>
        <v>18.80%</v>
      </c>
      <c r="B52">
        <f t="shared" si="2"/>
        <v>0.18800000000000006</v>
      </c>
      <c r="C52">
        <v>979.16042308543263</v>
      </c>
    </row>
    <row r="53" spans="1:3" x14ac:dyDescent="0.25">
      <c r="A53" t="str">
        <f t="shared" si="0"/>
        <v>18.90%</v>
      </c>
      <c r="B53">
        <f t="shared" si="2"/>
        <v>0.18900000000000006</v>
      </c>
      <c r="C53">
        <v>978.95145119952235</v>
      </c>
    </row>
    <row r="54" spans="1:3" x14ac:dyDescent="0.25">
      <c r="A54" t="str">
        <f t="shared" si="0"/>
        <v>19.00%</v>
      </c>
      <c r="B54">
        <f t="shared" si="2"/>
        <v>0.19000000000000006</v>
      </c>
      <c r="C54">
        <v>978.75470973659685</v>
      </c>
    </row>
    <row r="55" spans="1:3" x14ac:dyDescent="0.25">
      <c r="A55" t="str">
        <f t="shared" si="0"/>
        <v>19.10%</v>
      </c>
      <c r="B55">
        <f t="shared" si="2"/>
        <v>0.19100000000000006</v>
      </c>
      <c r="C55">
        <v>978.50776460226484</v>
      </c>
    </row>
    <row r="56" spans="1:3" x14ac:dyDescent="0.25">
      <c r="A56" t="str">
        <f t="shared" si="0"/>
        <v>19.20%</v>
      </c>
      <c r="B56">
        <f t="shared" si="2"/>
        <v>0.19200000000000006</v>
      </c>
      <c r="C56">
        <v>978.27443441831417</v>
      </c>
    </row>
    <row r="57" spans="1:3" x14ac:dyDescent="0.25">
      <c r="A57" t="str">
        <f t="shared" si="0"/>
        <v>19.30%</v>
      </c>
      <c r="B57">
        <f t="shared" si="2"/>
        <v>0.19300000000000006</v>
      </c>
      <c r="C57">
        <v>978.05200167784153</v>
      </c>
    </row>
    <row r="58" spans="1:3" x14ac:dyDescent="0.25">
      <c r="A58" t="str">
        <f t="shared" si="0"/>
        <v>19.40%</v>
      </c>
      <c r="B58">
        <f t="shared" si="2"/>
        <v>0.19400000000000006</v>
      </c>
      <c r="C58">
        <v>977.83166859674861</v>
      </c>
    </row>
    <row r="59" spans="1:3" x14ac:dyDescent="0.25">
      <c r="A59" t="str">
        <f t="shared" si="0"/>
        <v>19.50%</v>
      </c>
      <c r="B59">
        <f t="shared" si="2"/>
        <v>0.19500000000000006</v>
      </c>
      <c r="C59">
        <v>977.57770712060324</v>
      </c>
    </row>
    <row r="60" spans="1:3" x14ac:dyDescent="0.25">
      <c r="A60" t="str">
        <f t="shared" si="0"/>
        <v>19.60%</v>
      </c>
      <c r="B60">
        <f t="shared" si="2"/>
        <v>0.19600000000000006</v>
      </c>
      <c r="C60">
        <v>977.35056326490178</v>
      </c>
    </row>
    <row r="61" spans="1:3" x14ac:dyDescent="0.25">
      <c r="A61" t="str">
        <f t="shared" si="0"/>
        <v>19.70%</v>
      </c>
      <c r="B61">
        <f t="shared" si="2"/>
        <v>0.19700000000000006</v>
      </c>
      <c r="C61">
        <v>977.10400753449676</v>
      </c>
    </row>
    <row r="62" spans="1:3" x14ac:dyDescent="0.25">
      <c r="A62" t="str">
        <f t="shared" si="0"/>
        <v>19.80%</v>
      </c>
      <c r="B62">
        <f t="shared" si="2"/>
        <v>0.19800000000000006</v>
      </c>
      <c r="C62">
        <v>976.84478445540708</v>
      </c>
    </row>
    <row r="63" spans="1:3" x14ac:dyDescent="0.25">
      <c r="A63" t="str">
        <f t="shared" si="0"/>
        <v>19.90%</v>
      </c>
      <c r="B63">
        <f t="shared" si="2"/>
        <v>0.19900000000000007</v>
      </c>
      <c r="C63">
        <v>976.61358953853551</v>
      </c>
    </row>
    <row r="64" spans="1:3" x14ac:dyDescent="0.25">
      <c r="A64" t="str">
        <f t="shared" si="0"/>
        <v>20.00%</v>
      </c>
      <c r="B64">
        <f t="shared" si="2"/>
        <v>0.20000000000000007</v>
      </c>
      <c r="C64">
        <v>976.34738618262065</v>
      </c>
    </row>
    <row r="65" spans="1:3" x14ac:dyDescent="0.25">
      <c r="A65" t="str">
        <f t="shared" si="0"/>
        <v>20.10%</v>
      </c>
      <c r="B65">
        <f t="shared" si="2"/>
        <v>0.20100000000000007</v>
      </c>
      <c r="C65">
        <v>976.09884654803534</v>
      </c>
    </row>
    <row r="66" spans="1:3" x14ac:dyDescent="0.25">
      <c r="A66" t="str">
        <f t="shared" si="0"/>
        <v>20.20%</v>
      </c>
      <c r="B66">
        <f t="shared" si="2"/>
        <v>0.20200000000000007</v>
      </c>
      <c r="C66">
        <v>975.82928519091604</v>
      </c>
    </row>
    <row r="67" spans="1:3" x14ac:dyDescent="0.25">
      <c r="A67" t="str">
        <f t="shared" si="0"/>
        <v>20.30%</v>
      </c>
      <c r="B67">
        <f t="shared" si="2"/>
        <v>0.20300000000000007</v>
      </c>
      <c r="C67">
        <v>975.54534389289381</v>
      </c>
    </row>
    <row r="68" spans="1:3" x14ac:dyDescent="0.25">
      <c r="A68" t="str">
        <f t="shared" si="0"/>
        <v>20.40%</v>
      </c>
      <c r="B68">
        <f t="shared" si="2"/>
        <v>0.20400000000000007</v>
      </c>
      <c r="C68">
        <v>975.29827385690362</v>
      </c>
    </row>
    <row r="69" spans="1:3" x14ac:dyDescent="0.25">
      <c r="A69" t="str">
        <f t="shared" ref="A69:A104" si="3">TEXT(B69,"00.00%")</f>
        <v>20.50%</v>
      </c>
      <c r="B69">
        <f t="shared" si="2"/>
        <v>0.20500000000000007</v>
      </c>
      <c r="C69">
        <v>975.04928658774497</v>
      </c>
    </row>
    <row r="70" spans="1:3" x14ac:dyDescent="0.25">
      <c r="A70" t="str">
        <f t="shared" si="3"/>
        <v>20.60%</v>
      </c>
      <c r="B70">
        <f t="shared" ref="B70:B104" si="4">B69+0.001</f>
        <v>0.20600000000000007</v>
      </c>
      <c r="C70">
        <v>974.79003995554774</v>
      </c>
    </row>
    <row r="71" spans="1:3" x14ac:dyDescent="0.25">
      <c r="A71" t="str">
        <f t="shared" si="3"/>
        <v>20.70%</v>
      </c>
      <c r="B71">
        <f t="shared" si="4"/>
        <v>0.20700000000000007</v>
      </c>
      <c r="C71">
        <v>974.52508962130753</v>
      </c>
    </row>
    <row r="72" spans="1:3" x14ac:dyDescent="0.25">
      <c r="A72" t="str">
        <f t="shared" si="3"/>
        <v>20.80%</v>
      </c>
      <c r="B72">
        <f t="shared" si="4"/>
        <v>0.20800000000000007</v>
      </c>
      <c r="C72">
        <v>974.23819892309405</v>
      </c>
    </row>
    <row r="73" spans="1:3" x14ac:dyDescent="0.25">
      <c r="A73" t="str">
        <f t="shared" si="3"/>
        <v>20.90%</v>
      </c>
      <c r="B73">
        <f t="shared" si="4"/>
        <v>0.20900000000000007</v>
      </c>
      <c r="C73">
        <v>973.97341674354482</v>
      </c>
    </row>
    <row r="74" spans="1:3" x14ac:dyDescent="0.25">
      <c r="A74" t="str">
        <f t="shared" si="3"/>
        <v>21.00%</v>
      </c>
      <c r="B74">
        <f t="shared" si="4"/>
        <v>0.21000000000000008</v>
      </c>
      <c r="C74">
        <v>973.69363114203395</v>
      </c>
    </row>
    <row r="75" spans="1:3" x14ac:dyDescent="0.25">
      <c r="A75" t="str">
        <f t="shared" si="3"/>
        <v>21.10%</v>
      </c>
      <c r="B75">
        <f t="shared" si="4"/>
        <v>0.21100000000000008</v>
      </c>
      <c r="C75">
        <v>973.38946894344042</v>
      </c>
    </row>
    <row r="76" spans="1:3" x14ac:dyDescent="0.25">
      <c r="A76" t="str">
        <f t="shared" si="3"/>
        <v>21.20%</v>
      </c>
      <c r="B76">
        <f t="shared" si="4"/>
        <v>0.21200000000000008</v>
      </c>
      <c r="C76">
        <v>973.09980184924962</v>
      </c>
    </row>
    <row r="77" spans="1:3" x14ac:dyDescent="0.25">
      <c r="A77" t="str">
        <f t="shared" si="3"/>
        <v>21.30%</v>
      </c>
      <c r="B77">
        <f t="shared" si="4"/>
        <v>0.21300000000000008</v>
      </c>
      <c r="C77">
        <v>972.81519044782794</v>
      </c>
    </row>
    <row r="78" spans="1:3" x14ac:dyDescent="0.25">
      <c r="A78" t="str">
        <f t="shared" si="3"/>
        <v>21.40%</v>
      </c>
      <c r="B78">
        <f t="shared" si="4"/>
        <v>0.21400000000000008</v>
      </c>
      <c r="C78">
        <v>972.53000513235861</v>
      </c>
    </row>
    <row r="79" spans="1:3" x14ac:dyDescent="0.25">
      <c r="A79" t="str">
        <f t="shared" si="3"/>
        <v>21.50%</v>
      </c>
      <c r="B79">
        <f t="shared" si="4"/>
        <v>0.21500000000000008</v>
      </c>
      <c r="C79">
        <v>972.25665471920524</v>
      </c>
    </row>
    <row r="80" spans="1:3" x14ac:dyDescent="0.25">
      <c r="A80" t="str">
        <f t="shared" si="3"/>
        <v>21.60%</v>
      </c>
      <c r="B80">
        <f t="shared" si="4"/>
        <v>0.21600000000000008</v>
      </c>
      <c r="C80">
        <v>971.95188620172917</v>
      </c>
    </row>
    <row r="81" spans="1:3" x14ac:dyDescent="0.25">
      <c r="A81" t="str">
        <f t="shared" si="3"/>
        <v>21.70%</v>
      </c>
      <c r="B81">
        <f t="shared" si="4"/>
        <v>0.21700000000000008</v>
      </c>
      <c r="C81">
        <v>971.70563107762723</v>
      </c>
    </row>
    <row r="82" spans="1:3" x14ac:dyDescent="0.25">
      <c r="A82" t="str">
        <f t="shared" si="3"/>
        <v>21.80%</v>
      </c>
      <c r="B82">
        <f t="shared" si="4"/>
        <v>0.21800000000000008</v>
      </c>
      <c r="C82">
        <v>971.41904045351475</v>
      </c>
    </row>
    <row r="83" spans="1:3" x14ac:dyDescent="0.25">
      <c r="A83" t="str">
        <f t="shared" si="3"/>
        <v>21.90%</v>
      </c>
      <c r="B83">
        <f t="shared" si="4"/>
        <v>0.21900000000000008</v>
      </c>
      <c r="C83">
        <v>971.14981078035692</v>
      </c>
    </row>
    <row r="84" spans="1:3" x14ac:dyDescent="0.25">
      <c r="A84" t="str">
        <f t="shared" si="3"/>
        <v>22.00%</v>
      </c>
      <c r="B84">
        <f t="shared" si="4"/>
        <v>0.22000000000000008</v>
      </c>
      <c r="C84">
        <v>970.84670563767918</v>
      </c>
    </row>
    <row r="85" spans="1:3" x14ac:dyDescent="0.25">
      <c r="A85" t="str">
        <f t="shared" si="3"/>
        <v>22.10%</v>
      </c>
      <c r="B85">
        <f t="shared" si="4"/>
        <v>0.22100000000000009</v>
      </c>
      <c r="C85">
        <v>970.61835013296934</v>
      </c>
    </row>
    <row r="86" spans="1:3" x14ac:dyDescent="0.25">
      <c r="A86" t="str">
        <f t="shared" si="3"/>
        <v>22.20%</v>
      </c>
      <c r="B86">
        <f t="shared" si="4"/>
        <v>0.22200000000000009</v>
      </c>
      <c r="C86">
        <v>970.3257967555578</v>
      </c>
    </row>
    <row r="87" spans="1:3" x14ac:dyDescent="0.25">
      <c r="A87" t="str">
        <f t="shared" si="3"/>
        <v>22.30%</v>
      </c>
      <c r="B87">
        <f t="shared" si="4"/>
        <v>0.22300000000000009</v>
      </c>
      <c r="C87">
        <v>970.03813571928822</v>
      </c>
    </row>
    <row r="88" spans="1:3" x14ac:dyDescent="0.25">
      <c r="A88" t="str">
        <f t="shared" si="3"/>
        <v>22.40%</v>
      </c>
      <c r="B88">
        <f t="shared" si="4"/>
        <v>0.22400000000000009</v>
      </c>
      <c r="C88">
        <v>969.73452212233087</v>
      </c>
    </row>
    <row r="89" spans="1:3" x14ac:dyDescent="0.25">
      <c r="A89" t="str">
        <f t="shared" si="3"/>
        <v>22.50%</v>
      </c>
      <c r="B89">
        <f t="shared" si="4"/>
        <v>0.22500000000000009</v>
      </c>
      <c r="C89">
        <v>969.41691840721182</v>
      </c>
    </row>
    <row r="90" spans="1:3" x14ac:dyDescent="0.25">
      <c r="A90" t="str">
        <f t="shared" si="3"/>
        <v>22.60%</v>
      </c>
      <c r="B90">
        <f t="shared" si="4"/>
        <v>0.22600000000000009</v>
      </c>
      <c r="C90">
        <v>969.11905575636138</v>
      </c>
    </row>
    <row r="91" spans="1:3" x14ac:dyDescent="0.25">
      <c r="A91" t="str">
        <f t="shared" si="3"/>
        <v>22.70%</v>
      </c>
      <c r="B91">
        <f t="shared" si="4"/>
        <v>0.22700000000000009</v>
      </c>
      <c r="C91">
        <v>968.80262669880926</v>
      </c>
    </row>
    <row r="92" spans="1:3" x14ac:dyDescent="0.25">
      <c r="A92" t="str">
        <f t="shared" si="3"/>
        <v>22.80%</v>
      </c>
      <c r="B92">
        <f t="shared" si="4"/>
        <v>0.22800000000000009</v>
      </c>
      <c r="C92">
        <v>968.4985663152878</v>
      </c>
    </row>
    <row r="93" spans="1:3" x14ac:dyDescent="0.25">
      <c r="A93" t="str">
        <f t="shared" si="3"/>
        <v>22.90%</v>
      </c>
      <c r="B93">
        <f t="shared" si="4"/>
        <v>0.22900000000000009</v>
      </c>
      <c r="C93">
        <v>968.19790806650985</v>
      </c>
    </row>
    <row r="94" spans="1:3" x14ac:dyDescent="0.25">
      <c r="A94" t="str">
        <f t="shared" si="3"/>
        <v>23.00%</v>
      </c>
      <c r="B94">
        <f t="shared" si="4"/>
        <v>0.23000000000000009</v>
      </c>
      <c r="C94">
        <v>967.88498471051878</v>
      </c>
    </row>
    <row r="95" spans="1:3" x14ac:dyDescent="0.25">
      <c r="A95" t="str">
        <f t="shared" si="3"/>
        <v>23.10%</v>
      </c>
      <c r="B95">
        <f t="shared" si="4"/>
        <v>0.23100000000000009</v>
      </c>
      <c r="C95">
        <v>967.56629722156629</v>
      </c>
    </row>
    <row r="96" spans="1:3" x14ac:dyDescent="0.25">
      <c r="A96" t="str">
        <f t="shared" si="3"/>
        <v>23.20%</v>
      </c>
      <c r="B96">
        <f t="shared" si="4"/>
        <v>0.2320000000000001</v>
      </c>
      <c r="C96">
        <v>967.22270500665763</v>
      </c>
    </row>
    <row r="97" spans="1:3" x14ac:dyDescent="0.25">
      <c r="A97" t="str">
        <f t="shared" si="3"/>
        <v>23.30%</v>
      </c>
      <c r="B97">
        <f t="shared" si="4"/>
        <v>0.2330000000000001</v>
      </c>
      <c r="C97">
        <v>966.89810279298683</v>
      </c>
    </row>
    <row r="98" spans="1:3" x14ac:dyDescent="0.25">
      <c r="A98" t="str">
        <f t="shared" si="3"/>
        <v>23.40%</v>
      </c>
      <c r="B98">
        <f t="shared" si="4"/>
        <v>0.2340000000000001</v>
      </c>
      <c r="C98">
        <v>966.58424310044279</v>
      </c>
    </row>
    <row r="99" spans="1:3" x14ac:dyDescent="0.25">
      <c r="A99" t="str">
        <f t="shared" si="3"/>
        <v>23.50%</v>
      </c>
      <c r="B99">
        <f t="shared" si="4"/>
        <v>0.2350000000000001</v>
      </c>
      <c r="C99">
        <v>966.25829672648922</v>
      </c>
    </row>
    <row r="100" spans="1:3" x14ac:dyDescent="0.25">
      <c r="A100" t="str">
        <f t="shared" si="3"/>
        <v>23.60%</v>
      </c>
      <c r="B100">
        <f t="shared" si="4"/>
        <v>0.2360000000000001</v>
      </c>
      <c r="C100">
        <v>965.94565331459637</v>
      </c>
    </row>
    <row r="101" spans="1:3" x14ac:dyDescent="0.25">
      <c r="A101" t="str">
        <f t="shared" si="3"/>
        <v>23.70%</v>
      </c>
      <c r="B101">
        <f t="shared" si="4"/>
        <v>0.2370000000000001</v>
      </c>
      <c r="C101">
        <v>965.61850504498864</v>
      </c>
    </row>
    <row r="102" spans="1:3" x14ac:dyDescent="0.25">
      <c r="A102" t="str">
        <f t="shared" si="3"/>
        <v>23.80%</v>
      </c>
      <c r="B102">
        <f t="shared" si="4"/>
        <v>0.2380000000000001</v>
      </c>
      <c r="C102">
        <v>965.2999381557039</v>
      </c>
    </row>
    <row r="103" spans="1:3" x14ac:dyDescent="0.25">
      <c r="A103" t="str">
        <f t="shared" si="3"/>
        <v>23.90%</v>
      </c>
      <c r="B103">
        <f t="shared" si="4"/>
        <v>0.2390000000000001</v>
      </c>
      <c r="C103">
        <v>964.99702726124247</v>
      </c>
    </row>
    <row r="104" spans="1:3" x14ac:dyDescent="0.25">
      <c r="A104" t="str">
        <f t="shared" si="3"/>
        <v>24.00%</v>
      </c>
      <c r="B104">
        <f t="shared" si="4"/>
        <v>0.2400000000000001</v>
      </c>
      <c r="C104">
        <v>964.65660865151938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Sheet8.black_scholes_sensitivity_in_sigma_S_3">
                <anchor moveWithCells="1" sizeWithCells="1">
                  <from>
                    <xdr:col>4</xdr:col>
                    <xdr:colOff>190500</xdr:colOff>
                    <xdr:row>4</xdr:row>
                    <xdr:rowOff>152400</xdr:rowOff>
                  </from>
                  <to>
                    <xdr:col>5</xdr:col>
                    <xdr:colOff>323850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104"/>
  <sheetViews>
    <sheetView workbookViewId="0">
      <selection activeCell="C30" sqref="C30"/>
    </sheetView>
  </sheetViews>
  <sheetFormatPr defaultRowHeight="15" x14ac:dyDescent="0.25"/>
  <cols>
    <col min="2" max="2" width="15.7109375" bestFit="1" customWidth="1"/>
    <col min="3" max="3" width="15.140625" bestFit="1" customWidth="1"/>
    <col min="10" max="10" width="15.140625" bestFit="1" customWidth="1"/>
    <col min="14" max="14" width="12" bestFit="1" customWidth="1"/>
  </cols>
  <sheetData>
    <row r="1" spans="1:14" x14ac:dyDescent="0.25">
      <c r="B1" t="s">
        <v>38</v>
      </c>
      <c r="C1">
        <f>'Parameter Page'!B5</f>
        <v>-1.9499999999999999E-3</v>
      </c>
      <c r="D1">
        <f>C1*100</f>
        <v>-0.19499999999999998</v>
      </c>
      <c r="E1">
        <f>C1-0.05</f>
        <v>-5.1950000000000003E-2</v>
      </c>
      <c r="F1">
        <f>C1+0.05</f>
        <v>4.8050000000000002E-2</v>
      </c>
    </row>
    <row r="2" spans="1:14" x14ac:dyDescent="0.25">
      <c r="C2" t="s">
        <v>36</v>
      </c>
      <c r="D2">
        <f>COUNT(B4:B204)</f>
        <v>101</v>
      </c>
      <c r="J2" t="s">
        <v>46</v>
      </c>
    </row>
    <row r="3" spans="1:14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4" x14ac:dyDescent="0.25">
      <c r="A4" t="str">
        <f>TEXT(B4,"0.0000%")</f>
        <v>-5.1950%</v>
      </c>
      <c r="B4">
        <f>E1</f>
        <v>-5.1950000000000003E-2</v>
      </c>
      <c r="C4">
        <v>976.47955435445385</v>
      </c>
      <c r="I4" s="5" t="s">
        <v>71</v>
      </c>
      <c r="J4">
        <f>VLOOKUP(I4,$A$4:$C$104,3,0)</f>
        <v>976.47955435445385</v>
      </c>
      <c r="K4" t="s">
        <v>48</v>
      </c>
      <c r="M4" t="s">
        <v>116</v>
      </c>
      <c r="N4" s="14">
        <f>ABS(ABS($J$6-$J$4)/$J$5)</f>
        <v>3.492756316749731E-16</v>
      </c>
    </row>
    <row r="5" spans="1:14" x14ac:dyDescent="0.25">
      <c r="A5" t="str">
        <f t="shared" ref="A5:A68" si="0">TEXT(B5,"0.0000%")</f>
        <v>-5.0950%</v>
      </c>
      <c r="B5">
        <f>B4+0.001</f>
        <v>-5.0950000000000002E-2</v>
      </c>
      <c r="C5">
        <v>976.47955435445385</v>
      </c>
      <c r="I5" s="5" t="s">
        <v>69</v>
      </c>
      <c r="J5">
        <f t="shared" ref="J5:J6" si="1">VLOOKUP(I5,$A$4:$C$104,3,0)</f>
        <v>976.47955435445385</v>
      </c>
      <c r="K5" s="6">
        <f>(J5-J4)/J4</f>
        <v>0</v>
      </c>
      <c r="M5" t="s">
        <v>121</v>
      </c>
      <c r="N5" s="15">
        <f>ABS(ABS($I$6-$I$4)/$I$5)</f>
        <v>10.256410256410257</v>
      </c>
    </row>
    <row r="6" spans="1:14" x14ac:dyDescent="0.25">
      <c r="A6" t="str">
        <f t="shared" si="0"/>
        <v>-4.9950%</v>
      </c>
      <c r="B6">
        <f t="shared" ref="B6:B69" si="2">B5+0.001</f>
        <v>-4.9950000000000001E-2</v>
      </c>
      <c r="C6">
        <v>976.47955435445351</v>
      </c>
      <c r="I6" s="5" t="s">
        <v>70</v>
      </c>
      <c r="J6">
        <f t="shared" si="1"/>
        <v>976.47955435445351</v>
      </c>
      <c r="K6" s="6">
        <f>(J6-J5)/J5</f>
        <v>-3.492756316749731E-16</v>
      </c>
      <c r="M6" t="s">
        <v>122</v>
      </c>
      <c r="N6" s="15">
        <f>N4/(2*N5)</f>
        <v>1.7027187044154936E-17</v>
      </c>
    </row>
    <row r="7" spans="1:14" x14ac:dyDescent="0.25">
      <c r="A7" t="str">
        <f t="shared" si="0"/>
        <v>-4.8950%</v>
      </c>
      <c r="B7">
        <f t="shared" si="2"/>
        <v>-4.895E-2</v>
      </c>
      <c r="C7">
        <v>976.47955435445385</v>
      </c>
    </row>
    <row r="8" spans="1:14" x14ac:dyDescent="0.25">
      <c r="A8" t="str">
        <f t="shared" si="0"/>
        <v>-4.7950%</v>
      </c>
      <c r="B8">
        <f t="shared" si="2"/>
        <v>-4.795E-2</v>
      </c>
      <c r="C8">
        <v>976.47955435445385</v>
      </c>
    </row>
    <row r="9" spans="1:14" x14ac:dyDescent="0.25">
      <c r="A9" t="str">
        <f t="shared" si="0"/>
        <v>-4.6950%</v>
      </c>
      <c r="B9">
        <f t="shared" si="2"/>
        <v>-4.6949999999999999E-2</v>
      </c>
      <c r="C9">
        <v>976.47955435445419</v>
      </c>
    </row>
    <row r="10" spans="1:14" x14ac:dyDescent="0.25">
      <c r="A10" t="str">
        <f t="shared" si="0"/>
        <v>-4.5950%</v>
      </c>
      <c r="B10">
        <f t="shared" si="2"/>
        <v>-4.5949999999999998E-2</v>
      </c>
      <c r="C10">
        <v>976.47955435445385</v>
      </c>
    </row>
    <row r="11" spans="1:14" x14ac:dyDescent="0.25">
      <c r="A11" t="str">
        <f t="shared" si="0"/>
        <v>-4.4950%</v>
      </c>
      <c r="B11">
        <f t="shared" si="2"/>
        <v>-4.4949999999999997E-2</v>
      </c>
      <c r="C11">
        <v>976.47955435445351</v>
      </c>
    </row>
    <row r="12" spans="1:14" x14ac:dyDescent="0.25">
      <c r="A12" t="str">
        <f t="shared" si="0"/>
        <v>-4.3950%</v>
      </c>
      <c r="B12">
        <f t="shared" si="2"/>
        <v>-4.3949999999999996E-2</v>
      </c>
      <c r="C12">
        <v>976.47955435445385</v>
      </c>
    </row>
    <row r="13" spans="1:14" x14ac:dyDescent="0.25">
      <c r="A13" t="str">
        <f t="shared" si="0"/>
        <v>-4.2950%</v>
      </c>
      <c r="B13">
        <f t="shared" si="2"/>
        <v>-4.2949999999999995E-2</v>
      </c>
      <c r="C13">
        <v>976.47955435445351</v>
      </c>
    </row>
    <row r="14" spans="1:14" x14ac:dyDescent="0.25">
      <c r="A14" t="str">
        <f t="shared" si="0"/>
        <v>-4.1950%</v>
      </c>
      <c r="B14">
        <f t="shared" si="2"/>
        <v>-4.1949999999999994E-2</v>
      </c>
      <c r="C14">
        <v>976.47955435445385</v>
      </c>
    </row>
    <row r="15" spans="1:14" x14ac:dyDescent="0.25">
      <c r="A15" t="str">
        <f t="shared" si="0"/>
        <v>-4.0950%</v>
      </c>
      <c r="B15">
        <f t="shared" si="2"/>
        <v>-4.0949999999999993E-2</v>
      </c>
      <c r="C15">
        <v>976.47955435445385</v>
      </c>
    </row>
    <row r="16" spans="1:14" x14ac:dyDescent="0.25">
      <c r="A16" t="str">
        <f t="shared" si="0"/>
        <v>-3.9950%</v>
      </c>
      <c r="B16">
        <f t="shared" si="2"/>
        <v>-3.9949999999999992E-2</v>
      </c>
      <c r="C16">
        <v>976.47955435445351</v>
      </c>
    </row>
    <row r="17" spans="1:3" x14ac:dyDescent="0.25">
      <c r="A17" t="str">
        <f t="shared" si="0"/>
        <v>-3.8950%</v>
      </c>
      <c r="B17">
        <f t="shared" si="2"/>
        <v>-3.8949999999999992E-2</v>
      </c>
      <c r="C17">
        <v>976.47955435445385</v>
      </c>
    </row>
    <row r="18" spans="1:3" x14ac:dyDescent="0.25">
      <c r="A18" t="str">
        <f t="shared" si="0"/>
        <v>-3.7950%</v>
      </c>
      <c r="B18">
        <f t="shared" si="2"/>
        <v>-3.7949999999999991E-2</v>
      </c>
      <c r="C18">
        <v>976.47955435445351</v>
      </c>
    </row>
    <row r="19" spans="1:3" x14ac:dyDescent="0.25">
      <c r="A19" t="str">
        <f t="shared" si="0"/>
        <v>-3.6950%</v>
      </c>
      <c r="B19">
        <f t="shared" si="2"/>
        <v>-3.694999999999999E-2</v>
      </c>
      <c r="C19">
        <v>976.47955435445385</v>
      </c>
    </row>
    <row r="20" spans="1:3" x14ac:dyDescent="0.25">
      <c r="A20" t="str">
        <f t="shared" si="0"/>
        <v>-3.5950%</v>
      </c>
      <c r="B20">
        <f t="shared" si="2"/>
        <v>-3.5949999999999989E-2</v>
      </c>
      <c r="C20">
        <v>976.47955435445351</v>
      </c>
    </row>
    <row r="21" spans="1:3" x14ac:dyDescent="0.25">
      <c r="A21" t="str">
        <f t="shared" si="0"/>
        <v>-3.4950%</v>
      </c>
      <c r="B21">
        <f t="shared" si="2"/>
        <v>-3.4949999999999988E-2</v>
      </c>
      <c r="C21">
        <v>976.47955435445385</v>
      </c>
    </row>
    <row r="22" spans="1:3" x14ac:dyDescent="0.25">
      <c r="A22" t="str">
        <f t="shared" si="0"/>
        <v>-3.3950%</v>
      </c>
      <c r="B22">
        <f t="shared" si="2"/>
        <v>-3.3949999999999987E-2</v>
      </c>
      <c r="C22">
        <v>976.47955435445385</v>
      </c>
    </row>
    <row r="23" spans="1:3" x14ac:dyDescent="0.25">
      <c r="A23" t="str">
        <f t="shared" si="0"/>
        <v>-3.2950%</v>
      </c>
      <c r="B23">
        <f t="shared" si="2"/>
        <v>-3.2949999999999986E-2</v>
      </c>
      <c r="C23">
        <v>976.47955435445385</v>
      </c>
    </row>
    <row r="24" spans="1:3" x14ac:dyDescent="0.25">
      <c r="A24" t="str">
        <f t="shared" si="0"/>
        <v>-3.1950%</v>
      </c>
      <c r="B24">
        <f t="shared" si="2"/>
        <v>-3.1949999999999985E-2</v>
      </c>
      <c r="C24">
        <v>976.47955435445351</v>
      </c>
    </row>
    <row r="25" spans="1:3" x14ac:dyDescent="0.25">
      <c r="A25" t="str">
        <f t="shared" si="0"/>
        <v>-3.0950%</v>
      </c>
      <c r="B25">
        <f t="shared" si="2"/>
        <v>-3.0949999999999984E-2</v>
      </c>
      <c r="C25">
        <v>976.47955435445351</v>
      </c>
    </row>
    <row r="26" spans="1:3" x14ac:dyDescent="0.25">
      <c r="A26" t="str">
        <f t="shared" si="0"/>
        <v>-2.9950%</v>
      </c>
      <c r="B26">
        <f t="shared" si="2"/>
        <v>-2.9949999999999984E-2</v>
      </c>
      <c r="C26">
        <v>976.47955435445351</v>
      </c>
    </row>
    <row r="27" spans="1:3" x14ac:dyDescent="0.25">
      <c r="A27" t="str">
        <f t="shared" si="0"/>
        <v>-2.8950%</v>
      </c>
      <c r="B27">
        <f t="shared" si="2"/>
        <v>-2.8949999999999983E-2</v>
      </c>
      <c r="C27">
        <v>976.47955435445351</v>
      </c>
    </row>
    <row r="28" spans="1:3" x14ac:dyDescent="0.25">
      <c r="A28" t="str">
        <f t="shared" si="0"/>
        <v>-2.7950%</v>
      </c>
      <c r="B28">
        <f t="shared" si="2"/>
        <v>-2.7949999999999982E-2</v>
      </c>
      <c r="C28">
        <v>976.47955435445351</v>
      </c>
    </row>
    <row r="29" spans="1:3" x14ac:dyDescent="0.25">
      <c r="A29" t="str">
        <f t="shared" si="0"/>
        <v>-2.6950%</v>
      </c>
      <c r="B29">
        <f t="shared" si="2"/>
        <v>-2.6949999999999981E-2</v>
      </c>
      <c r="C29">
        <v>976.47955435445306</v>
      </c>
    </row>
    <row r="30" spans="1:3" x14ac:dyDescent="0.25">
      <c r="A30" t="str">
        <f t="shared" si="0"/>
        <v>-2.5950%</v>
      </c>
      <c r="B30">
        <f t="shared" si="2"/>
        <v>-2.594999999999998E-2</v>
      </c>
      <c r="C30">
        <v>976.47955435445385</v>
      </c>
    </row>
    <row r="31" spans="1:3" x14ac:dyDescent="0.25">
      <c r="A31" t="str">
        <f t="shared" si="0"/>
        <v>-2.4950%</v>
      </c>
      <c r="B31">
        <f t="shared" si="2"/>
        <v>-2.4949999999999979E-2</v>
      </c>
      <c r="C31">
        <v>976.47955435445351</v>
      </c>
    </row>
    <row r="32" spans="1:3" x14ac:dyDescent="0.25">
      <c r="A32" t="str">
        <f t="shared" si="0"/>
        <v>-2.3950%</v>
      </c>
      <c r="B32">
        <f t="shared" si="2"/>
        <v>-2.3949999999999978E-2</v>
      </c>
      <c r="C32">
        <v>976.47955435445351</v>
      </c>
    </row>
    <row r="33" spans="1:3" x14ac:dyDescent="0.25">
      <c r="A33" t="str">
        <f t="shared" si="0"/>
        <v>-2.2950%</v>
      </c>
      <c r="B33">
        <f t="shared" si="2"/>
        <v>-2.2949999999999977E-2</v>
      </c>
      <c r="C33">
        <v>976.47955435445351</v>
      </c>
    </row>
    <row r="34" spans="1:3" x14ac:dyDescent="0.25">
      <c r="A34" t="str">
        <f t="shared" si="0"/>
        <v>-2.1950%</v>
      </c>
      <c r="B34">
        <f t="shared" si="2"/>
        <v>-2.1949999999999976E-2</v>
      </c>
      <c r="C34">
        <v>976.47955435445385</v>
      </c>
    </row>
    <row r="35" spans="1:3" x14ac:dyDescent="0.25">
      <c r="A35" t="str">
        <f t="shared" si="0"/>
        <v>-2.0950%</v>
      </c>
      <c r="B35">
        <f t="shared" si="2"/>
        <v>-2.0949999999999976E-2</v>
      </c>
      <c r="C35">
        <v>976.47955435445385</v>
      </c>
    </row>
    <row r="36" spans="1:3" x14ac:dyDescent="0.25">
      <c r="A36" t="str">
        <f t="shared" si="0"/>
        <v>-1.9950%</v>
      </c>
      <c r="B36">
        <f t="shared" si="2"/>
        <v>-1.9949999999999975E-2</v>
      </c>
      <c r="C36">
        <v>976.47955435445351</v>
      </c>
    </row>
    <row r="37" spans="1:3" x14ac:dyDescent="0.25">
      <c r="A37" t="str">
        <f t="shared" si="0"/>
        <v>-1.8950%</v>
      </c>
      <c r="B37">
        <f t="shared" si="2"/>
        <v>-1.8949999999999974E-2</v>
      </c>
      <c r="C37">
        <v>976.47955435445385</v>
      </c>
    </row>
    <row r="38" spans="1:3" x14ac:dyDescent="0.25">
      <c r="A38" t="str">
        <f t="shared" si="0"/>
        <v>-1.7950%</v>
      </c>
      <c r="B38">
        <f t="shared" si="2"/>
        <v>-1.7949999999999973E-2</v>
      </c>
      <c r="C38">
        <v>976.47955435445306</v>
      </c>
    </row>
    <row r="39" spans="1:3" x14ac:dyDescent="0.25">
      <c r="A39" t="str">
        <f t="shared" si="0"/>
        <v>-1.6950%</v>
      </c>
      <c r="B39">
        <f t="shared" si="2"/>
        <v>-1.6949999999999972E-2</v>
      </c>
      <c r="C39">
        <v>976.47955435445351</v>
      </c>
    </row>
    <row r="40" spans="1:3" x14ac:dyDescent="0.25">
      <c r="A40" t="str">
        <f t="shared" si="0"/>
        <v>-1.5950%</v>
      </c>
      <c r="B40">
        <f t="shared" si="2"/>
        <v>-1.5949999999999971E-2</v>
      </c>
      <c r="C40">
        <v>976.47955435445351</v>
      </c>
    </row>
    <row r="41" spans="1:3" x14ac:dyDescent="0.25">
      <c r="A41" t="str">
        <f t="shared" si="0"/>
        <v>-1.4950%</v>
      </c>
      <c r="B41">
        <f t="shared" si="2"/>
        <v>-1.494999999999997E-2</v>
      </c>
      <c r="C41">
        <v>976.47955435445351</v>
      </c>
    </row>
    <row r="42" spans="1:3" x14ac:dyDescent="0.25">
      <c r="A42" t="str">
        <f t="shared" si="0"/>
        <v>-1.3950%</v>
      </c>
      <c r="B42">
        <f t="shared" si="2"/>
        <v>-1.3949999999999969E-2</v>
      </c>
      <c r="C42">
        <v>976.47955435445385</v>
      </c>
    </row>
    <row r="43" spans="1:3" x14ac:dyDescent="0.25">
      <c r="A43" t="str">
        <f t="shared" si="0"/>
        <v>-1.2950%</v>
      </c>
      <c r="B43">
        <f t="shared" si="2"/>
        <v>-1.2949999999999968E-2</v>
      </c>
      <c r="C43">
        <v>976.47955435445351</v>
      </c>
    </row>
    <row r="44" spans="1:3" x14ac:dyDescent="0.25">
      <c r="A44" t="str">
        <f t="shared" si="0"/>
        <v>-1.1950%</v>
      </c>
      <c r="B44">
        <f t="shared" si="2"/>
        <v>-1.1949999999999968E-2</v>
      </c>
      <c r="C44">
        <v>976.47955435445385</v>
      </c>
    </row>
    <row r="45" spans="1:3" x14ac:dyDescent="0.25">
      <c r="A45" t="str">
        <f t="shared" si="0"/>
        <v>-1.0950%</v>
      </c>
      <c r="B45">
        <f t="shared" si="2"/>
        <v>-1.0949999999999967E-2</v>
      </c>
      <c r="C45">
        <v>976.47955435445306</v>
      </c>
    </row>
    <row r="46" spans="1:3" x14ac:dyDescent="0.25">
      <c r="A46" t="str">
        <f t="shared" si="0"/>
        <v>-0.9950%</v>
      </c>
      <c r="B46">
        <f t="shared" si="2"/>
        <v>-9.9499999999999658E-3</v>
      </c>
      <c r="C46">
        <v>976.47955435445351</v>
      </c>
    </row>
    <row r="47" spans="1:3" x14ac:dyDescent="0.25">
      <c r="A47" t="str">
        <f t="shared" si="0"/>
        <v>-0.8950%</v>
      </c>
      <c r="B47">
        <f t="shared" si="2"/>
        <v>-8.9499999999999649E-3</v>
      </c>
      <c r="C47">
        <v>976.47955435445351</v>
      </c>
    </row>
    <row r="48" spans="1:3" x14ac:dyDescent="0.25">
      <c r="A48" t="str">
        <f t="shared" si="0"/>
        <v>-0.7950%</v>
      </c>
      <c r="B48">
        <f t="shared" si="2"/>
        <v>-7.949999999999964E-3</v>
      </c>
      <c r="C48">
        <v>976.47955435445385</v>
      </c>
    </row>
    <row r="49" spans="1:3" x14ac:dyDescent="0.25">
      <c r="A49" t="str">
        <f t="shared" si="0"/>
        <v>-0.6950%</v>
      </c>
      <c r="B49">
        <f t="shared" si="2"/>
        <v>-6.949999999999964E-3</v>
      </c>
      <c r="C49">
        <v>976.47955435445419</v>
      </c>
    </row>
    <row r="50" spans="1:3" x14ac:dyDescent="0.25">
      <c r="A50" t="str">
        <f t="shared" si="0"/>
        <v>-0.5950%</v>
      </c>
      <c r="B50">
        <f t="shared" si="2"/>
        <v>-5.949999999999964E-3</v>
      </c>
      <c r="C50">
        <v>976.47955435445385</v>
      </c>
    </row>
    <row r="51" spans="1:3" x14ac:dyDescent="0.25">
      <c r="A51" t="str">
        <f t="shared" si="0"/>
        <v>-0.4950%</v>
      </c>
      <c r="B51">
        <f t="shared" si="2"/>
        <v>-4.949999999999964E-3</v>
      </c>
      <c r="C51">
        <v>976.47955435445351</v>
      </c>
    </row>
    <row r="52" spans="1:3" x14ac:dyDescent="0.25">
      <c r="A52" t="str">
        <f t="shared" si="0"/>
        <v>-0.3950%</v>
      </c>
      <c r="B52">
        <f t="shared" si="2"/>
        <v>-3.949999999999964E-3</v>
      </c>
      <c r="C52">
        <v>976.47955435445351</v>
      </c>
    </row>
    <row r="53" spans="1:3" x14ac:dyDescent="0.25">
      <c r="A53" t="str">
        <f t="shared" si="0"/>
        <v>-0.2950%</v>
      </c>
      <c r="B53">
        <f t="shared" si="2"/>
        <v>-2.9499999999999639E-3</v>
      </c>
      <c r="C53">
        <v>976.47955435445385</v>
      </c>
    </row>
    <row r="54" spans="1:3" x14ac:dyDescent="0.25">
      <c r="A54" t="str">
        <f t="shared" si="0"/>
        <v>-0.1950%</v>
      </c>
      <c r="B54">
        <f t="shared" si="2"/>
        <v>-1.9499999999999639E-3</v>
      </c>
      <c r="C54">
        <v>976.47955435445385</v>
      </c>
    </row>
    <row r="55" spans="1:3" x14ac:dyDescent="0.25">
      <c r="A55" t="str">
        <f t="shared" si="0"/>
        <v>-0.0950%</v>
      </c>
      <c r="B55">
        <f t="shared" si="2"/>
        <v>-9.4999999999996389E-4</v>
      </c>
      <c r="C55">
        <v>976.47955435445351</v>
      </c>
    </row>
    <row r="56" spans="1:3" x14ac:dyDescent="0.25">
      <c r="A56" t="str">
        <f t="shared" si="0"/>
        <v>0.0050%</v>
      </c>
      <c r="B56">
        <f t="shared" si="2"/>
        <v>5.0000000000036127E-5</v>
      </c>
      <c r="C56">
        <v>976.47955435445306</v>
      </c>
    </row>
    <row r="57" spans="1:3" x14ac:dyDescent="0.25">
      <c r="A57" t="str">
        <f t="shared" si="0"/>
        <v>0.1050%</v>
      </c>
      <c r="B57">
        <f t="shared" si="2"/>
        <v>1.0500000000000361E-3</v>
      </c>
      <c r="C57">
        <v>976.47955435445351</v>
      </c>
    </row>
    <row r="58" spans="1:3" x14ac:dyDescent="0.25">
      <c r="A58" t="str">
        <f t="shared" si="0"/>
        <v>0.2050%</v>
      </c>
      <c r="B58">
        <f t="shared" si="2"/>
        <v>2.0500000000000362E-3</v>
      </c>
      <c r="C58">
        <v>976.47955435445351</v>
      </c>
    </row>
    <row r="59" spans="1:3" x14ac:dyDescent="0.25">
      <c r="A59" t="str">
        <f t="shared" si="0"/>
        <v>0.3050%</v>
      </c>
      <c r="B59">
        <f t="shared" si="2"/>
        <v>3.0500000000000362E-3</v>
      </c>
      <c r="C59">
        <v>976.47955435445385</v>
      </c>
    </row>
    <row r="60" spans="1:3" x14ac:dyDescent="0.25">
      <c r="A60" t="str">
        <f t="shared" si="0"/>
        <v>0.4050%</v>
      </c>
      <c r="B60">
        <f t="shared" si="2"/>
        <v>4.0500000000000362E-3</v>
      </c>
      <c r="C60">
        <v>976.47955435445351</v>
      </c>
    </row>
    <row r="61" spans="1:3" x14ac:dyDescent="0.25">
      <c r="A61" t="str">
        <f t="shared" si="0"/>
        <v>0.5050%</v>
      </c>
      <c r="B61">
        <f t="shared" si="2"/>
        <v>5.0500000000000362E-3</v>
      </c>
      <c r="C61">
        <v>976.47955435445385</v>
      </c>
    </row>
    <row r="62" spans="1:3" x14ac:dyDescent="0.25">
      <c r="A62" t="str">
        <f t="shared" si="0"/>
        <v>0.6050%</v>
      </c>
      <c r="B62">
        <f t="shared" si="2"/>
        <v>6.0500000000000363E-3</v>
      </c>
      <c r="C62">
        <v>976.47955435445306</v>
      </c>
    </row>
    <row r="63" spans="1:3" x14ac:dyDescent="0.25">
      <c r="A63" t="str">
        <f t="shared" si="0"/>
        <v>0.7050%</v>
      </c>
      <c r="B63">
        <f t="shared" si="2"/>
        <v>7.0500000000000363E-3</v>
      </c>
      <c r="C63">
        <v>976.47955435445385</v>
      </c>
    </row>
    <row r="64" spans="1:3" x14ac:dyDescent="0.25">
      <c r="A64" t="str">
        <f t="shared" si="0"/>
        <v>0.8050%</v>
      </c>
      <c r="B64">
        <f t="shared" si="2"/>
        <v>8.0500000000000363E-3</v>
      </c>
      <c r="C64">
        <v>976.47955435445351</v>
      </c>
    </row>
    <row r="65" spans="1:3" x14ac:dyDescent="0.25">
      <c r="A65" t="str">
        <f t="shared" si="0"/>
        <v>0.9050%</v>
      </c>
      <c r="B65">
        <f t="shared" si="2"/>
        <v>9.0500000000000372E-3</v>
      </c>
      <c r="C65">
        <v>976.47955435445351</v>
      </c>
    </row>
    <row r="66" spans="1:3" x14ac:dyDescent="0.25">
      <c r="A66" t="str">
        <f t="shared" si="0"/>
        <v>1.0050%</v>
      </c>
      <c r="B66">
        <f t="shared" si="2"/>
        <v>1.0050000000000038E-2</v>
      </c>
      <c r="C66">
        <v>976.47955435445306</v>
      </c>
    </row>
    <row r="67" spans="1:3" x14ac:dyDescent="0.25">
      <c r="A67" t="str">
        <f t="shared" si="0"/>
        <v>1.1050%</v>
      </c>
      <c r="B67">
        <f t="shared" si="2"/>
        <v>1.1050000000000039E-2</v>
      </c>
      <c r="C67">
        <v>976.47955435445385</v>
      </c>
    </row>
    <row r="68" spans="1:3" x14ac:dyDescent="0.25">
      <c r="A68" t="str">
        <f t="shared" si="0"/>
        <v>1.2050%</v>
      </c>
      <c r="B68">
        <f t="shared" si="2"/>
        <v>1.205000000000004E-2</v>
      </c>
      <c r="C68">
        <v>976.47955435445385</v>
      </c>
    </row>
    <row r="69" spans="1:3" x14ac:dyDescent="0.25">
      <c r="A69" t="str">
        <f t="shared" ref="A69:A104" si="3">TEXT(B69,"0.0000%")</f>
        <v>1.3050%</v>
      </c>
      <c r="B69">
        <f t="shared" si="2"/>
        <v>1.3050000000000041E-2</v>
      </c>
      <c r="C69">
        <v>976.47955435445351</v>
      </c>
    </row>
    <row r="70" spans="1:3" x14ac:dyDescent="0.25">
      <c r="A70" t="str">
        <f t="shared" si="3"/>
        <v>1.4050%</v>
      </c>
      <c r="B70">
        <f t="shared" ref="B70:B104" si="4">B69+0.001</f>
        <v>1.4050000000000042E-2</v>
      </c>
      <c r="C70">
        <v>976.47955435445385</v>
      </c>
    </row>
    <row r="71" spans="1:3" x14ac:dyDescent="0.25">
      <c r="A71" t="str">
        <f t="shared" si="3"/>
        <v>1.5050%</v>
      </c>
      <c r="B71">
        <f t="shared" si="4"/>
        <v>1.5050000000000043E-2</v>
      </c>
      <c r="C71">
        <v>976.47955435445419</v>
      </c>
    </row>
    <row r="72" spans="1:3" x14ac:dyDescent="0.25">
      <c r="A72" t="str">
        <f t="shared" si="3"/>
        <v>1.6050%</v>
      </c>
      <c r="B72">
        <f t="shared" si="4"/>
        <v>1.6050000000000043E-2</v>
      </c>
      <c r="C72">
        <v>976.47955435445351</v>
      </c>
    </row>
    <row r="73" spans="1:3" x14ac:dyDescent="0.25">
      <c r="A73" t="str">
        <f t="shared" si="3"/>
        <v>1.7050%</v>
      </c>
      <c r="B73">
        <f t="shared" si="4"/>
        <v>1.7050000000000044E-2</v>
      </c>
      <c r="C73">
        <v>976.47955435445385</v>
      </c>
    </row>
    <row r="74" spans="1:3" x14ac:dyDescent="0.25">
      <c r="A74" t="str">
        <f t="shared" si="3"/>
        <v>1.8050%</v>
      </c>
      <c r="B74">
        <f t="shared" si="4"/>
        <v>1.8050000000000045E-2</v>
      </c>
      <c r="C74">
        <v>976.47955435445385</v>
      </c>
    </row>
    <row r="75" spans="1:3" x14ac:dyDescent="0.25">
      <c r="A75" t="str">
        <f t="shared" si="3"/>
        <v>1.9050%</v>
      </c>
      <c r="B75">
        <f t="shared" si="4"/>
        <v>1.9050000000000046E-2</v>
      </c>
      <c r="C75">
        <v>976.47955435445351</v>
      </c>
    </row>
    <row r="76" spans="1:3" x14ac:dyDescent="0.25">
      <c r="A76" t="str">
        <f t="shared" si="3"/>
        <v>2.0050%</v>
      </c>
      <c r="B76">
        <f t="shared" si="4"/>
        <v>2.0050000000000047E-2</v>
      </c>
      <c r="C76">
        <v>976.47955435445351</v>
      </c>
    </row>
    <row r="77" spans="1:3" x14ac:dyDescent="0.25">
      <c r="A77" t="str">
        <f t="shared" si="3"/>
        <v>2.1050%</v>
      </c>
      <c r="B77">
        <f t="shared" si="4"/>
        <v>2.1050000000000048E-2</v>
      </c>
      <c r="C77">
        <v>976.47955435445351</v>
      </c>
    </row>
    <row r="78" spans="1:3" x14ac:dyDescent="0.25">
      <c r="A78" t="str">
        <f t="shared" si="3"/>
        <v>2.2050%</v>
      </c>
      <c r="B78">
        <f t="shared" si="4"/>
        <v>2.2050000000000049E-2</v>
      </c>
      <c r="C78">
        <v>976.47955435445351</v>
      </c>
    </row>
    <row r="79" spans="1:3" x14ac:dyDescent="0.25">
      <c r="A79" t="str">
        <f t="shared" si="3"/>
        <v>2.3050%</v>
      </c>
      <c r="B79">
        <f t="shared" si="4"/>
        <v>2.305000000000005E-2</v>
      </c>
      <c r="C79">
        <v>976.47955435445351</v>
      </c>
    </row>
    <row r="80" spans="1:3" x14ac:dyDescent="0.25">
      <c r="A80" t="str">
        <f t="shared" si="3"/>
        <v>2.4050%</v>
      </c>
      <c r="B80">
        <f t="shared" si="4"/>
        <v>2.4050000000000051E-2</v>
      </c>
      <c r="C80">
        <v>976.47955435445385</v>
      </c>
    </row>
    <row r="81" spans="1:3" x14ac:dyDescent="0.25">
      <c r="A81" t="str">
        <f t="shared" si="3"/>
        <v>2.5050%</v>
      </c>
      <c r="B81">
        <f t="shared" si="4"/>
        <v>2.5050000000000051E-2</v>
      </c>
      <c r="C81">
        <v>976.47955435445385</v>
      </c>
    </row>
    <row r="82" spans="1:3" x14ac:dyDescent="0.25">
      <c r="A82" t="str">
        <f t="shared" si="3"/>
        <v>2.6050%</v>
      </c>
      <c r="B82">
        <f t="shared" si="4"/>
        <v>2.6050000000000052E-2</v>
      </c>
      <c r="C82">
        <v>976.47955435445351</v>
      </c>
    </row>
    <row r="83" spans="1:3" x14ac:dyDescent="0.25">
      <c r="A83" t="str">
        <f t="shared" si="3"/>
        <v>2.7050%</v>
      </c>
      <c r="B83">
        <f t="shared" si="4"/>
        <v>2.7050000000000053E-2</v>
      </c>
      <c r="C83">
        <v>976.47955435445385</v>
      </c>
    </row>
    <row r="84" spans="1:3" x14ac:dyDescent="0.25">
      <c r="A84" t="str">
        <f t="shared" si="3"/>
        <v>2.8050%</v>
      </c>
      <c r="B84">
        <f t="shared" si="4"/>
        <v>2.8050000000000054E-2</v>
      </c>
      <c r="C84">
        <v>976.47955435445351</v>
      </c>
    </row>
    <row r="85" spans="1:3" x14ac:dyDescent="0.25">
      <c r="A85" t="str">
        <f t="shared" si="3"/>
        <v>2.9050%</v>
      </c>
      <c r="B85">
        <f t="shared" si="4"/>
        <v>2.9050000000000055E-2</v>
      </c>
      <c r="C85">
        <v>976.47955435445351</v>
      </c>
    </row>
    <row r="86" spans="1:3" x14ac:dyDescent="0.25">
      <c r="A86" t="str">
        <f t="shared" si="3"/>
        <v>3.0050%</v>
      </c>
      <c r="B86">
        <f t="shared" si="4"/>
        <v>3.0050000000000056E-2</v>
      </c>
      <c r="C86">
        <v>976.47955435445351</v>
      </c>
    </row>
    <row r="87" spans="1:3" x14ac:dyDescent="0.25">
      <c r="A87" t="str">
        <f t="shared" si="3"/>
        <v>3.1050%</v>
      </c>
      <c r="B87">
        <f t="shared" si="4"/>
        <v>3.1050000000000057E-2</v>
      </c>
      <c r="C87">
        <v>976.47955435445385</v>
      </c>
    </row>
    <row r="88" spans="1:3" x14ac:dyDescent="0.25">
      <c r="A88" t="str">
        <f t="shared" si="3"/>
        <v>3.2050%</v>
      </c>
      <c r="B88">
        <f t="shared" si="4"/>
        <v>3.2050000000000058E-2</v>
      </c>
      <c r="C88">
        <v>976.47955435445385</v>
      </c>
    </row>
    <row r="89" spans="1:3" x14ac:dyDescent="0.25">
      <c r="A89" t="str">
        <f t="shared" si="3"/>
        <v>3.3050%</v>
      </c>
      <c r="B89">
        <f t="shared" si="4"/>
        <v>3.3050000000000058E-2</v>
      </c>
      <c r="C89">
        <v>976.47955435445351</v>
      </c>
    </row>
    <row r="90" spans="1:3" x14ac:dyDescent="0.25">
      <c r="A90" t="str">
        <f t="shared" si="3"/>
        <v>3.4050%</v>
      </c>
      <c r="B90">
        <f t="shared" si="4"/>
        <v>3.4050000000000059E-2</v>
      </c>
      <c r="C90">
        <v>976.47955435445306</v>
      </c>
    </row>
    <row r="91" spans="1:3" x14ac:dyDescent="0.25">
      <c r="A91" t="str">
        <f t="shared" si="3"/>
        <v>3.5050%</v>
      </c>
      <c r="B91">
        <f t="shared" si="4"/>
        <v>3.505000000000006E-2</v>
      </c>
      <c r="C91">
        <v>976.47955435445385</v>
      </c>
    </row>
    <row r="92" spans="1:3" x14ac:dyDescent="0.25">
      <c r="A92" t="str">
        <f t="shared" si="3"/>
        <v>3.6050%</v>
      </c>
      <c r="B92">
        <f t="shared" si="4"/>
        <v>3.6050000000000061E-2</v>
      </c>
      <c r="C92">
        <v>976.47955435445385</v>
      </c>
    </row>
    <row r="93" spans="1:3" x14ac:dyDescent="0.25">
      <c r="A93" t="str">
        <f t="shared" si="3"/>
        <v>3.7050%</v>
      </c>
      <c r="B93">
        <f t="shared" si="4"/>
        <v>3.7050000000000062E-2</v>
      </c>
      <c r="C93">
        <v>976.47955435445351</v>
      </c>
    </row>
    <row r="94" spans="1:3" x14ac:dyDescent="0.25">
      <c r="A94" t="str">
        <f t="shared" si="3"/>
        <v>3.8050%</v>
      </c>
      <c r="B94">
        <f t="shared" si="4"/>
        <v>3.8050000000000063E-2</v>
      </c>
      <c r="C94">
        <v>976.47955435445306</v>
      </c>
    </row>
    <row r="95" spans="1:3" x14ac:dyDescent="0.25">
      <c r="A95" t="str">
        <f t="shared" si="3"/>
        <v>3.9050%</v>
      </c>
      <c r="B95">
        <f t="shared" si="4"/>
        <v>3.9050000000000064E-2</v>
      </c>
      <c r="C95">
        <v>976.47955435445385</v>
      </c>
    </row>
    <row r="96" spans="1:3" x14ac:dyDescent="0.25">
      <c r="A96" t="str">
        <f t="shared" si="3"/>
        <v>4.0050%</v>
      </c>
      <c r="B96">
        <f t="shared" si="4"/>
        <v>4.0050000000000065E-2</v>
      </c>
      <c r="C96">
        <v>976.47955435445351</v>
      </c>
    </row>
    <row r="97" spans="1:3" x14ac:dyDescent="0.25">
      <c r="A97" t="str">
        <f t="shared" si="3"/>
        <v>4.1050%</v>
      </c>
      <c r="B97">
        <f t="shared" si="4"/>
        <v>4.1050000000000066E-2</v>
      </c>
      <c r="C97">
        <v>976.47955435445385</v>
      </c>
    </row>
    <row r="98" spans="1:3" x14ac:dyDescent="0.25">
      <c r="A98" t="str">
        <f t="shared" si="3"/>
        <v>4.2050%</v>
      </c>
      <c r="B98">
        <f t="shared" si="4"/>
        <v>4.2050000000000066E-2</v>
      </c>
      <c r="C98">
        <v>976.47955435445351</v>
      </c>
    </row>
    <row r="99" spans="1:3" x14ac:dyDescent="0.25">
      <c r="A99" t="str">
        <f t="shared" si="3"/>
        <v>4.3050%</v>
      </c>
      <c r="B99">
        <f t="shared" si="4"/>
        <v>4.3050000000000067E-2</v>
      </c>
      <c r="C99">
        <v>976.47955435445351</v>
      </c>
    </row>
    <row r="100" spans="1:3" x14ac:dyDescent="0.25">
      <c r="A100" t="str">
        <f t="shared" si="3"/>
        <v>4.4050%</v>
      </c>
      <c r="B100">
        <f t="shared" si="4"/>
        <v>4.4050000000000068E-2</v>
      </c>
      <c r="C100">
        <v>976.47955435445351</v>
      </c>
    </row>
    <row r="101" spans="1:3" x14ac:dyDescent="0.25">
      <c r="A101" t="str">
        <f t="shared" si="3"/>
        <v>4.5050%</v>
      </c>
      <c r="B101">
        <f t="shared" si="4"/>
        <v>4.5050000000000069E-2</v>
      </c>
      <c r="C101">
        <v>976.47955435445351</v>
      </c>
    </row>
    <row r="102" spans="1:3" x14ac:dyDescent="0.25">
      <c r="A102" t="str">
        <f t="shared" si="3"/>
        <v>4.6050%</v>
      </c>
      <c r="B102">
        <f t="shared" si="4"/>
        <v>4.605000000000007E-2</v>
      </c>
      <c r="C102">
        <v>976.47955435445385</v>
      </c>
    </row>
    <row r="103" spans="1:3" x14ac:dyDescent="0.25">
      <c r="A103" t="str">
        <f t="shared" si="3"/>
        <v>4.7050%</v>
      </c>
      <c r="B103">
        <f t="shared" si="4"/>
        <v>4.7050000000000071E-2</v>
      </c>
      <c r="C103">
        <v>976.47955435445385</v>
      </c>
    </row>
    <row r="104" spans="1:3" x14ac:dyDescent="0.25">
      <c r="A104" t="str">
        <f t="shared" si="3"/>
        <v>4.8050%</v>
      </c>
      <c r="B104">
        <f t="shared" si="4"/>
        <v>4.8050000000000072E-2</v>
      </c>
      <c r="C104">
        <v>976.47955435445385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9.black_scholes_sensitivity_in_r1">
                <anchor moveWithCells="1" sizeWithCells="1">
                  <from>
                    <xdr:col>4</xdr:col>
                    <xdr:colOff>133350</xdr:colOff>
                    <xdr:row>5</xdr:row>
                    <xdr:rowOff>142875</xdr:rowOff>
                  </from>
                  <to>
                    <xdr:col>5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104"/>
  <sheetViews>
    <sheetView topLeftCell="A85" workbookViewId="0">
      <selection activeCell="N4" sqref="N4"/>
    </sheetView>
  </sheetViews>
  <sheetFormatPr defaultRowHeight="15" x14ac:dyDescent="0.25"/>
  <cols>
    <col min="2" max="2" width="15.7109375" bestFit="1" customWidth="1"/>
    <col min="3" max="3" width="15.140625" bestFit="1" customWidth="1"/>
  </cols>
  <sheetData>
    <row r="1" spans="1:14" x14ac:dyDescent="0.25">
      <c r="B1" t="s">
        <v>38</v>
      </c>
      <c r="C1">
        <f>'Parameter Page'!E5</f>
        <v>-4.6800000000000001E-3</v>
      </c>
      <c r="E1">
        <f>C1-0.05</f>
        <v>-5.4680000000000006E-2</v>
      </c>
      <c r="F1">
        <f>C1+0.05</f>
        <v>4.5319999999999999E-2</v>
      </c>
    </row>
    <row r="2" spans="1:14" x14ac:dyDescent="0.25">
      <c r="C2" t="s">
        <v>36</v>
      </c>
      <c r="D2">
        <f>COUNT(B4:B204)</f>
        <v>101</v>
      </c>
      <c r="J2" t="s">
        <v>46</v>
      </c>
    </row>
    <row r="3" spans="1:14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4" x14ac:dyDescent="0.25">
      <c r="A4" t="str">
        <f>TEXT(B4,"0.0000%")</f>
        <v>-5.4680%</v>
      </c>
      <c r="B4">
        <f>E1</f>
        <v>-5.4680000000000006E-2</v>
      </c>
      <c r="C4">
        <v>975.68843983211514</v>
      </c>
      <c r="I4" s="5" t="s">
        <v>74</v>
      </c>
      <c r="J4">
        <f>VLOOKUP(I4,$A$4:$C$104,3,0)</f>
        <v>975.68843983211514</v>
      </c>
      <c r="K4" t="s">
        <v>48</v>
      </c>
      <c r="M4" t="s">
        <v>116</v>
      </c>
      <c r="N4" s="14">
        <f>ABS(ABS($J$6-$J$4)/$J$5)</f>
        <v>0</v>
      </c>
    </row>
    <row r="5" spans="1:14" x14ac:dyDescent="0.25">
      <c r="A5" t="str">
        <f t="shared" ref="A5:A68" si="0">TEXT(B5,"0.0000%")</f>
        <v>-5.3680%</v>
      </c>
      <c r="B5">
        <f>B4+0.001</f>
        <v>-5.3680000000000005E-2</v>
      </c>
      <c r="C5">
        <v>975.68843983211514</v>
      </c>
      <c r="I5" s="5" t="s">
        <v>72</v>
      </c>
      <c r="J5">
        <f t="shared" ref="J5:J6" si="1">VLOOKUP(I5,$A$4:$C$104,3,0)</f>
        <v>975.68843983211514</v>
      </c>
      <c r="K5" s="6">
        <f>(J5-J4)/J4</f>
        <v>0</v>
      </c>
      <c r="M5" t="s">
        <v>121</v>
      </c>
      <c r="N5" s="15">
        <f>ABS(ABS($I$6-$I$4)/$I$5)</f>
        <v>4.2735042735042734</v>
      </c>
    </row>
    <row r="6" spans="1:14" x14ac:dyDescent="0.25">
      <c r="A6" t="str">
        <f t="shared" si="0"/>
        <v>-5.2680%</v>
      </c>
      <c r="B6">
        <f t="shared" ref="B6:B69" si="2">B5+0.001</f>
        <v>-5.2680000000000005E-2</v>
      </c>
      <c r="C6">
        <v>975.68843983211514</v>
      </c>
      <c r="I6" s="5" t="s">
        <v>73</v>
      </c>
      <c r="J6">
        <f t="shared" si="1"/>
        <v>975.68843983211514</v>
      </c>
      <c r="K6" s="6">
        <f>(J6-J5)/J5</f>
        <v>0</v>
      </c>
      <c r="M6" t="s">
        <v>122</v>
      </c>
      <c r="N6" s="15">
        <f>N4/(2*N5)</f>
        <v>0</v>
      </c>
    </row>
    <row r="7" spans="1:14" x14ac:dyDescent="0.25">
      <c r="A7" t="str">
        <f t="shared" si="0"/>
        <v>-5.1680%</v>
      </c>
      <c r="B7">
        <f t="shared" si="2"/>
        <v>-5.1680000000000004E-2</v>
      </c>
      <c r="C7">
        <v>975.68843983211514</v>
      </c>
    </row>
    <row r="8" spans="1:14" x14ac:dyDescent="0.25">
      <c r="A8" t="str">
        <f t="shared" si="0"/>
        <v>-5.0680%</v>
      </c>
      <c r="B8">
        <f t="shared" si="2"/>
        <v>-5.0680000000000003E-2</v>
      </c>
      <c r="C8">
        <v>975.68843983211514</v>
      </c>
    </row>
    <row r="9" spans="1:14" x14ac:dyDescent="0.25">
      <c r="A9" t="str">
        <f t="shared" si="0"/>
        <v>-4.9680%</v>
      </c>
      <c r="B9">
        <f t="shared" si="2"/>
        <v>-4.9680000000000002E-2</v>
      </c>
      <c r="C9">
        <v>975.68843983211514</v>
      </c>
    </row>
    <row r="10" spans="1:14" x14ac:dyDescent="0.25">
      <c r="A10" t="str">
        <f t="shared" si="0"/>
        <v>-4.8680%</v>
      </c>
      <c r="B10">
        <f t="shared" si="2"/>
        <v>-4.8680000000000001E-2</v>
      </c>
      <c r="C10">
        <v>975.68843983211514</v>
      </c>
    </row>
    <row r="11" spans="1:14" x14ac:dyDescent="0.25">
      <c r="A11" t="str">
        <f t="shared" si="0"/>
        <v>-4.7680%</v>
      </c>
      <c r="B11">
        <f t="shared" si="2"/>
        <v>-4.768E-2</v>
      </c>
      <c r="C11">
        <v>975.68843983211514</v>
      </c>
    </row>
    <row r="12" spans="1:14" x14ac:dyDescent="0.25">
      <c r="A12" t="str">
        <f t="shared" si="0"/>
        <v>-4.6680%</v>
      </c>
      <c r="B12">
        <f t="shared" si="2"/>
        <v>-4.6679999999999999E-2</v>
      </c>
      <c r="C12">
        <v>975.68843983211514</v>
      </c>
    </row>
    <row r="13" spans="1:14" x14ac:dyDescent="0.25">
      <c r="A13" t="str">
        <f t="shared" si="0"/>
        <v>-4.5680%</v>
      </c>
      <c r="B13">
        <f t="shared" si="2"/>
        <v>-4.5679999999999998E-2</v>
      </c>
      <c r="C13">
        <v>975.68843983211514</v>
      </c>
    </row>
    <row r="14" spans="1:14" x14ac:dyDescent="0.25">
      <c r="A14" t="str">
        <f t="shared" si="0"/>
        <v>-4.4680%</v>
      </c>
      <c r="B14">
        <f t="shared" si="2"/>
        <v>-4.4679999999999997E-2</v>
      </c>
      <c r="C14">
        <v>975.68843983211514</v>
      </c>
    </row>
    <row r="15" spans="1:14" x14ac:dyDescent="0.25">
      <c r="A15" t="str">
        <f t="shared" si="0"/>
        <v>-4.3680%</v>
      </c>
      <c r="B15">
        <f t="shared" si="2"/>
        <v>-4.3679999999999997E-2</v>
      </c>
      <c r="C15">
        <v>975.68843983211514</v>
      </c>
    </row>
    <row r="16" spans="1:14" x14ac:dyDescent="0.25">
      <c r="A16" t="str">
        <f t="shared" si="0"/>
        <v>-4.2680%</v>
      </c>
      <c r="B16">
        <f t="shared" si="2"/>
        <v>-4.2679999999999996E-2</v>
      </c>
      <c r="C16">
        <v>975.68843983211514</v>
      </c>
    </row>
    <row r="17" spans="1:3" x14ac:dyDescent="0.25">
      <c r="A17" t="str">
        <f t="shared" si="0"/>
        <v>-4.1680%</v>
      </c>
      <c r="B17">
        <f t="shared" si="2"/>
        <v>-4.1679999999999995E-2</v>
      </c>
      <c r="C17">
        <v>975.68843983211514</v>
      </c>
    </row>
    <row r="18" spans="1:3" x14ac:dyDescent="0.25">
      <c r="A18" t="str">
        <f t="shared" si="0"/>
        <v>-4.0680%</v>
      </c>
      <c r="B18">
        <f t="shared" si="2"/>
        <v>-4.0679999999999994E-2</v>
      </c>
      <c r="C18">
        <v>975.68843983211514</v>
      </c>
    </row>
    <row r="19" spans="1:3" x14ac:dyDescent="0.25">
      <c r="A19" t="str">
        <f t="shared" si="0"/>
        <v>-3.9680%</v>
      </c>
      <c r="B19">
        <f t="shared" si="2"/>
        <v>-3.9679999999999993E-2</v>
      </c>
      <c r="C19">
        <v>975.68843983211514</v>
      </c>
    </row>
    <row r="20" spans="1:3" x14ac:dyDescent="0.25">
      <c r="A20" t="str">
        <f t="shared" si="0"/>
        <v>-3.8680%</v>
      </c>
      <c r="B20">
        <f t="shared" si="2"/>
        <v>-3.8679999999999992E-2</v>
      </c>
      <c r="C20">
        <v>975.68843983211514</v>
      </c>
    </row>
    <row r="21" spans="1:3" x14ac:dyDescent="0.25">
      <c r="A21" t="str">
        <f t="shared" si="0"/>
        <v>-3.7680%</v>
      </c>
      <c r="B21">
        <f t="shared" si="2"/>
        <v>-3.7679999999999991E-2</v>
      </c>
      <c r="C21">
        <v>975.68843983211514</v>
      </c>
    </row>
    <row r="22" spans="1:3" x14ac:dyDescent="0.25">
      <c r="A22" t="str">
        <f t="shared" si="0"/>
        <v>-3.6680%</v>
      </c>
      <c r="B22">
        <f t="shared" si="2"/>
        <v>-3.667999999999999E-2</v>
      </c>
      <c r="C22">
        <v>975.68843983211514</v>
      </c>
    </row>
    <row r="23" spans="1:3" x14ac:dyDescent="0.25">
      <c r="A23" t="str">
        <f t="shared" si="0"/>
        <v>-3.5680%</v>
      </c>
      <c r="B23">
        <f t="shared" si="2"/>
        <v>-3.567999999999999E-2</v>
      </c>
      <c r="C23">
        <v>975.68843983211514</v>
      </c>
    </row>
    <row r="24" spans="1:3" x14ac:dyDescent="0.25">
      <c r="A24" t="str">
        <f t="shared" si="0"/>
        <v>-3.4680%</v>
      </c>
      <c r="B24">
        <f t="shared" si="2"/>
        <v>-3.4679999999999989E-2</v>
      </c>
      <c r="C24">
        <v>975.68843983211514</v>
      </c>
    </row>
    <row r="25" spans="1:3" x14ac:dyDescent="0.25">
      <c r="A25" t="str">
        <f t="shared" si="0"/>
        <v>-3.3680%</v>
      </c>
      <c r="B25">
        <f t="shared" si="2"/>
        <v>-3.3679999999999988E-2</v>
      </c>
      <c r="C25">
        <v>975.68843983211514</v>
      </c>
    </row>
    <row r="26" spans="1:3" x14ac:dyDescent="0.25">
      <c r="A26" t="str">
        <f t="shared" si="0"/>
        <v>-3.2680%</v>
      </c>
      <c r="B26">
        <f t="shared" si="2"/>
        <v>-3.2679999999999987E-2</v>
      </c>
      <c r="C26">
        <v>975.68843983211514</v>
      </c>
    </row>
    <row r="27" spans="1:3" x14ac:dyDescent="0.25">
      <c r="A27" t="str">
        <f t="shared" si="0"/>
        <v>-3.1680%</v>
      </c>
      <c r="B27">
        <f t="shared" si="2"/>
        <v>-3.1679999999999986E-2</v>
      </c>
      <c r="C27">
        <v>975.68843983211548</v>
      </c>
    </row>
    <row r="28" spans="1:3" x14ac:dyDescent="0.25">
      <c r="A28" t="str">
        <f t="shared" si="0"/>
        <v>-3.0680%</v>
      </c>
      <c r="B28">
        <f t="shared" si="2"/>
        <v>-3.0679999999999985E-2</v>
      </c>
      <c r="C28">
        <v>975.68843983211514</v>
      </c>
    </row>
    <row r="29" spans="1:3" x14ac:dyDescent="0.25">
      <c r="A29" t="str">
        <f t="shared" si="0"/>
        <v>-2.9680%</v>
      </c>
      <c r="B29">
        <f t="shared" si="2"/>
        <v>-2.9679999999999984E-2</v>
      </c>
      <c r="C29">
        <v>975.68843983211514</v>
      </c>
    </row>
    <row r="30" spans="1:3" x14ac:dyDescent="0.25">
      <c r="A30" t="str">
        <f t="shared" si="0"/>
        <v>-2.8680%</v>
      </c>
      <c r="B30">
        <f t="shared" si="2"/>
        <v>-2.8679999999999983E-2</v>
      </c>
      <c r="C30">
        <v>975.68843983211514</v>
      </c>
    </row>
    <row r="31" spans="1:3" x14ac:dyDescent="0.25">
      <c r="A31" t="str">
        <f t="shared" si="0"/>
        <v>-2.7680%</v>
      </c>
      <c r="B31">
        <f t="shared" si="2"/>
        <v>-2.7679999999999982E-2</v>
      </c>
      <c r="C31">
        <v>975.68843983211514</v>
      </c>
    </row>
    <row r="32" spans="1:3" x14ac:dyDescent="0.25">
      <c r="A32" t="str">
        <f t="shared" si="0"/>
        <v>-2.6680%</v>
      </c>
      <c r="B32">
        <f t="shared" si="2"/>
        <v>-2.6679999999999982E-2</v>
      </c>
      <c r="C32">
        <v>975.68843983211514</v>
      </c>
    </row>
    <row r="33" spans="1:3" x14ac:dyDescent="0.25">
      <c r="A33" t="str">
        <f t="shared" si="0"/>
        <v>-2.5680%</v>
      </c>
      <c r="B33">
        <f t="shared" si="2"/>
        <v>-2.5679999999999981E-2</v>
      </c>
      <c r="C33">
        <v>975.68843983211514</v>
      </c>
    </row>
    <row r="34" spans="1:3" x14ac:dyDescent="0.25">
      <c r="A34" t="str">
        <f t="shared" si="0"/>
        <v>-2.4680%</v>
      </c>
      <c r="B34">
        <f t="shared" si="2"/>
        <v>-2.467999999999998E-2</v>
      </c>
      <c r="C34">
        <v>975.68843983211514</v>
      </c>
    </row>
    <row r="35" spans="1:3" x14ac:dyDescent="0.25">
      <c r="A35" t="str">
        <f t="shared" si="0"/>
        <v>-2.3680%</v>
      </c>
      <c r="B35">
        <f t="shared" si="2"/>
        <v>-2.3679999999999979E-2</v>
      </c>
      <c r="C35">
        <v>975.68843983211514</v>
      </c>
    </row>
    <row r="36" spans="1:3" x14ac:dyDescent="0.25">
      <c r="A36" t="str">
        <f t="shared" si="0"/>
        <v>-2.2680%</v>
      </c>
      <c r="B36">
        <f t="shared" si="2"/>
        <v>-2.2679999999999978E-2</v>
      </c>
      <c r="C36">
        <v>975.68843983211514</v>
      </c>
    </row>
    <row r="37" spans="1:3" x14ac:dyDescent="0.25">
      <c r="A37" t="str">
        <f t="shared" si="0"/>
        <v>-2.1680%</v>
      </c>
      <c r="B37">
        <f t="shared" si="2"/>
        <v>-2.1679999999999977E-2</v>
      </c>
      <c r="C37">
        <v>975.68843983211514</v>
      </c>
    </row>
    <row r="38" spans="1:3" x14ac:dyDescent="0.25">
      <c r="A38" t="str">
        <f t="shared" si="0"/>
        <v>-2.0680%</v>
      </c>
      <c r="B38">
        <f t="shared" si="2"/>
        <v>-2.0679999999999976E-2</v>
      </c>
      <c r="C38">
        <v>975.68843983211514</v>
      </c>
    </row>
    <row r="39" spans="1:3" x14ac:dyDescent="0.25">
      <c r="A39" t="str">
        <f t="shared" si="0"/>
        <v>-1.9680%</v>
      </c>
      <c r="B39">
        <f t="shared" si="2"/>
        <v>-1.9679999999999975E-2</v>
      </c>
      <c r="C39">
        <v>975.68843983211514</v>
      </c>
    </row>
    <row r="40" spans="1:3" x14ac:dyDescent="0.25">
      <c r="A40" t="str">
        <f t="shared" si="0"/>
        <v>-1.8680%</v>
      </c>
      <c r="B40">
        <f t="shared" si="2"/>
        <v>-1.8679999999999974E-2</v>
      </c>
      <c r="C40">
        <v>975.68843983211514</v>
      </c>
    </row>
    <row r="41" spans="1:3" x14ac:dyDescent="0.25">
      <c r="A41" t="str">
        <f t="shared" si="0"/>
        <v>-1.7680%</v>
      </c>
      <c r="B41">
        <f t="shared" si="2"/>
        <v>-1.7679999999999974E-2</v>
      </c>
      <c r="C41">
        <v>975.68843983211514</v>
      </c>
    </row>
    <row r="42" spans="1:3" x14ac:dyDescent="0.25">
      <c r="A42" t="str">
        <f t="shared" si="0"/>
        <v>-1.6680%</v>
      </c>
      <c r="B42">
        <f t="shared" si="2"/>
        <v>-1.6679999999999973E-2</v>
      </c>
      <c r="C42">
        <v>975.68843983211514</v>
      </c>
    </row>
    <row r="43" spans="1:3" x14ac:dyDescent="0.25">
      <c r="A43" t="str">
        <f t="shared" si="0"/>
        <v>-1.5680%</v>
      </c>
      <c r="B43">
        <f t="shared" si="2"/>
        <v>-1.5679999999999972E-2</v>
      </c>
      <c r="C43">
        <v>975.68843983211514</v>
      </c>
    </row>
    <row r="44" spans="1:3" x14ac:dyDescent="0.25">
      <c r="A44" t="str">
        <f t="shared" si="0"/>
        <v>-1.4680%</v>
      </c>
      <c r="B44">
        <f t="shared" si="2"/>
        <v>-1.4679999999999971E-2</v>
      </c>
      <c r="C44">
        <v>975.68843983211514</v>
      </c>
    </row>
    <row r="45" spans="1:3" x14ac:dyDescent="0.25">
      <c r="A45" t="str">
        <f t="shared" si="0"/>
        <v>-1.3680%</v>
      </c>
      <c r="B45">
        <f t="shared" si="2"/>
        <v>-1.367999999999997E-2</v>
      </c>
      <c r="C45">
        <v>975.68843983211514</v>
      </c>
    </row>
    <row r="46" spans="1:3" x14ac:dyDescent="0.25">
      <c r="A46" t="str">
        <f t="shared" si="0"/>
        <v>-1.2680%</v>
      </c>
      <c r="B46">
        <f t="shared" si="2"/>
        <v>-1.2679999999999969E-2</v>
      </c>
      <c r="C46">
        <v>975.68843983211514</v>
      </c>
    </row>
    <row r="47" spans="1:3" x14ac:dyDescent="0.25">
      <c r="A47" t="str">
        <f t="shared" si="0"/>
        <v>-1.1680%</v>
      </c>
      <c r="B47">
        <f t="shared" si="2"/>
        <v>-1.1679999999999968E-2</v>
      </c>
      <c r="C47">
        <v>975.68843983211514</v>
      </c>
    </row>
    <row r="48" spans="1:3" x14ac:dyDescent="0.25">
      <c r="A48" t="str">
        <f t="shared" si="0"/>
        <v>-1.0680%</v>
      </c>
      <c r="B48">
        <f t="shared" si="2"/>
        <v>-1.0679999999999967E-2</v>
      </c>
      <c r="C48">
        <v>975.68843983211514</v>
      </c>
    </row>
    <row r="49" spans="1:3" x14ac:dyDescent="0.25">
      <c r="A49" t="str">
        <f t="shared" si="0"/>
        <v>-0.9680%</v>
      </c>
      <c r="B49">
        <f t="shared" si="2"/>
        <v>-9.6799999999999664E-3</v>
      </c>
      <c r="C49">
        <v>975.68843983211514</v>
      </c>
    </row>
    <row r="50" spans="1:3" x14ac:dyDescent="0.25">
      <c r="A50" t="str">
        <f t="shared" si="0"/>
        <v>-0.8680%</v>
      </c>
      <c r="B50">
        <f t="shared" si="2"/>
        <v>-8.6799999999999655E-3</v>
      </c>
      <c r="C50">
        <v>975.68843983211514</v>
      </c>
    </row>
    <row r="51" spans="1:3" x14ac:dyDescent="0.25">
      <c r="A51" t="str">
        <f t="shared" si="0"/>
        <v>-0.7680%</v>
      </c>
      <c r="B51">
        <f t="shared" si="2"/>
        <v>-7.6799999999999655E-3</v>
      </c>
      <c r="C51">
        <v>975.68843983211514</v>
      </c>
    </row>
    <row r="52" spans="1:3" x14ac:dyDescent="0.25">
      <c r="A52" t="str">
        <f t="shared" si="0"/>
        <v>-0.6680%</v>
      </c>
      <c r="B52">
        <f t="shared" si="2"/>
        <v>-6.6799999999999655E-3</v>
      </c>
      <c r="C52">
        <v>975.68843983211514</v>
      </c>
    </row>
    <row r="53" spans="1:3" x14ac:dyDescent="0.25">
      <c r="A53" t="str">
        <f t="shared" si="0"/>
        <v>-0.5680%</v>
      </c>
      <c r="B53">
        <f t="shared" si="2"/>
        <v>-5.6799999999999655E-3</v>
      </c>
      <c r="C53">
        <v>975.68843983211514</v>
      </c>
    </row>
    <row r="54" spans="1:3" x14ac:dyDescent="0.25">
      <c r="A54" t="str">
        <f t="shared" si="0"/>
        <v>-0.4680%</v>
      </c>
      <c r="B54">
        <f t="shared" si="2"/>
        <v>-4.6799999999999654E-3</v>
      </c>
      <c r="C54">
        <v>975.68843983211514</v>
      </c>
    </row>
    <row r="55" spans="1:3" x14ac:dyDescent="0.25">
      <c r="A55" t="str">
        <f t="shared" si="0"/>
        <v>-0.3680%</v>
      </c>
      <c r="B55">
        <f t="shared" si="2"/>
        <v>-3.6799999999999654E-3</v>
      </c>
      <c r="C55">
        <v>975.68843983211514</v>
      </c>
    </row>
    <row r="56" spans="1:3" x14ac:dyDescent="0.25">
      <c r="A56" t="str">
        <f t="shared" si="0"/>
        <v>-0.2680%</v>
      </c>
      <c r="B56">
        <f t="shared" si="2"/>
        <v>-2.6799999999999654E-3</v>
      </c>
      <c r="C56">
        <v>975.68843983211514</v>
      </c>
    </row>
    <row r="57" spans="1:3" x14ac:dyDescent="0.25">
      <c r="A57" t="str">
        <f t="shared" si="0"/>
        <v>-0.1680%</v>
      </c>
      <c r="B57">
        <f t="shared" si="2"/>
        <v>-1.6799999999999654E-3</v>
      </c>
      <c r="C57">
        <v>975.68843983211514</v>
      </c>
    </row>
    <row r="58" spans="1:3" x14ac:dyDescent="0.25">
      <c r="A58" t="str">
        <f t="shared" si="0"/>
        <v>-0.0680%</v>
      </c>
      <c r="B58">
        <f t="shared" si="2"/>
        <v>-6.7999999999996535E-4</v>
      </c>
      <c r="C58">
        <v>975.68843983211514</v>
      </c>
    </row>
    <row r="59" spans="1:3" x14ac:dyDescent="0.25">
      <c r="A59" t="str">
        <f t="shared" si="0"/>
        <v>0.0320%</v>
      </c>
      <c r="B59">
        <f t="shared" si="2"/>
        <v>3.2000000000003467E-4</v>
      </c>
      <c r="C59">
        <v>975.68843983211514</v>
      </c>
    </row>
    <row r="60" spans="1:3" x14ac:dyDescent="0.25">
      <c r="A60" t="str">
        <f t="shared" si="0"/>
        <v>0.1320%</v>
      </c>
      <c r="B60">
        <f t="shared" si="2"/>
        <v>1.3200000000000347E-3</v>
      </c>
      <c r="C60">
        <v>975.68843983211514</v>
      </c>
    </row>
    <row r="61" spans="1:3" x14ac:dyDescent="0.25">
      <c r="A61" t="str">
        <f t="shared" si="0"/>
        <v>0.2320%</v>
      </c>
      <c r="B61">
        <f t="shared" si="2"/>
        <v>2.3200000000000347E-3</v>
      </c>
      <c r="C61">
        <v>975.68843983211514</v>
      </c>
    </row>
    <row r="62" spans="1:3" x14ac:dyDescent="0.25">
      <c r="A62" t="str">
        <f t="shared" si="0"/>
        <v>0.3320%</v>
      </c>
      <c r="B62">
        <f t="shared" si="2"/>
        <v>3.3200000000000347E-3</v>
      </c>
      <c r="C62">
        <v>975.68843983211514</v>
      </c>
    </row>
    <row r="63" spans="1:3" x14ac:dyDescent="0.25">
      <c r="A63" t="str">
        <f t="shared" si="0"/>
        <v>0.4320%</v>
      </c>
      <c r="B63">
        <f t="shared" si="2"/>
        <v>4.3200000000000347E-3</v>
      </c>
      <c r="C63">
        <v>975.68843983211514</v>
      </c>
    </row>
    <row r="64" spans="1:3" x14ac:dyDescent="0.25">
      <c r="A64" t="str">
        <f t="shared" si="0"/>
        <v>0.5320%</v>
      </c>
      <c r="B64">
        <f t="shared" si="2"/>
        <v>5.3200000000000348E-3</v>
      </c>
      <c r="C64">
        <v>975.68843983211514</v>
      </c>
    </row>
    <row r="65" spans="1:3" x14ac:dyDescent="0.25">
      <c r="A65" t="str">
        <f t="shared" si="0"/>
        <v>0.6320%</v>
      </c>
      <c r="B65">
        <f t="shared" si="2"/>
        <v>6.3200000000000348E-3</v>
      </c>
      <c r="C65">
        <v>975.68843983211514</v>
      </c>
    </row>
    <row r="66" spans="1:3" x14ac:dyDescent="0.25">
      <c r="A66" t="str">
        <f t="shared" si="0"/>
        <v>0.7320%</v>
      </c>
      <c r="B66">
        <f t="shared" si="2"/>
        <v>7.3200000000000348E-3</v>
      </c>
      <c r="C66">
        <v>975.68843983211514</v>
      </c>
    </row>
    <row r="67" spans="1:3" x14ac:dyDescent="0.25">
      <c r="A67" t="str">
        <f t="shared" si="0"/>
        <v>0.8320%</v>
      </c>
      <c r="B67">
        <f t="shared" si="2"/>
        <v>8.3200000000000357E-3</v>
      </c>
      <c r="C67">
        <v>975.68843983211514</v>
      </c>
    </row>
    <row r="68" spans="1:3" x14ac:dyDescent="0.25">
      <c r="A68" t="str">
        <f t="shared" si="0"/>
        <v>0.9320%</v>
      </c>
      <c r="B68">
        <f t="shared" si="2"/>
        <v>9.3200000000000366E-3</v>
      </c>
      <c r="C68">
        <v>975.68843983211514</v>
      </c>
    </row>
    <row r="69" spans="1:3" x14ac:dyDescent="0.25">
      <c r="A69" t="str">
        <f t="shared" ref="A69:A104" si="3">TEXT(B69,"0.0000%")</f>
        <v>1.0320%</v>
      </c>
      <c r="B69">
        <f t="shared" si="2"/>
        <v>1.0320000000000037E-2</v>
      </c>
      <c r="C69">
        <v>975.68843983211514</v>
      </c>
    </row>
    <row r="70" spans="1:3" x14ac:dyDescent="0.25">
      <c r="A70" t="str">
        <f t="shared" si="3"/>
        <v>1.1320%</v>
      </c>
      <c r="B70">
        <f t="shared" ref="B70:B104" si="4">B69+0.001</f>
        <v>1.1320000000000038E-2</v>
      </c>
      <c r="C70">
        <v>975.68843983211514</v>
      </c>
    </row>
    <row r="71" spans="1:3" x14ac:dyDescent="0.25">
      <c r="A71" t="str">
        <f t="shared" si="3"/>
        <v>1.2320%</v>
      </c>
      <c r="B71">
        <f t="shared" si="4"/>
        <v>1.2320000000000039E-2</v>
      </c>
      <c r="C71">
        <v>975.68843983211514</v>
      </c>
    </row>
    <row r="72" spans="1:3" x14ac:dyDescent="0.25">
      <c r="A72" t="str">
        <f t="shared" si="3"/>
        <v>1.3320%</v>
      </c>
      <c r="B72">
        <f t="shared" si="4"/>
        <v>1.332000000000004E-2</v>
      </c>
      <c r="C72">
        <v>975.68843983211514</v>
      </c>
    </row>
    <row r="73" spans="1:3" x14ac:dyDescent="0.25">
      <c r="A73" t="str">
        <f t="shared" si="3"/>
        <v>1.4320%</v>
      </c>
      <c r="B73">
        <f t="shared" si="4"/>
        <v>1.4320000000000041E-2</v>
      </c>
      <c r="C73">
        <v>975.68843983211514</v>
      </c>
    </row>
    <row r="74" spans="1:3" x14ac:dyDescent="0.25">
      <c r="A74" t="str">
        <f t="shared" si="3"/>
        <v>1.5320%</v>
      </c>
      <c r="B74">
        <f t="shared" si="4"/>
        <v>1.5320000000000042E-2</v>
      </c>
      <c r="C74">
        <v>975.68843983211514</v>
      </c>
    </row>
    <row r="75" spans="1:3" x14ac:dyDescent="0.25">
      <c r="A75" t="str">
        <f t="shared" si="3"/>
        <v>1.6320%</v>
      </c>
      <c r="B75">
        <f t="shared" si="4"/>
        <v>1.6320000000000043E-2</v>
      </c>
      <c r="C75">
        <v>975.68843983211514</v>
      </c>
    </row>
    <row r="76" spans="1:3" x14ac:dyDescent="0.25">
      <c r="A76" t="str">
        <f t="shared" si="3"/>
        <v>1.7320%</v>
      </c>
      <c r="B76">
        <f t="shared" si="4"/>
        <v>1.7320000000000044E-2</v>
      </c>
      <c r="C76">
        <v>975.68843983211491</v>
      </c>
    </row>
    <row r="77" spans="1:3" x14ac:dyDescent="0.25">
      <c r="A77" t="str">
        <f t="shared" si="3"/>
        <v>1.8320%</v>
      </c>
      <c r="B77">
        <f t="shared" si="4"/>
        <v>1.8320000000000045E-2</v>
      </c>
      <c r="C77">
        <v>975.68843983211514</v>
      </c>
    </row>
    <row r="78" spans="1:3" x14ac:dyDescent="0.25">
      <c r="A78" t="str">
        <f t="shared" si="3"/>
        <v>1.9320%</v>
      </c>
      <c r="B78">
        <f t="shared" si="4"/>
        <v>1.9320000000000045E-2</v>
      </c>
      <c r="C78">
        <v>975.68843983211514</v>
      </c>
    </row>
    <row r="79" spans="1:3" x14ac:dyDescent="0.25">
      <c r="A79" t="str">
        <f t="shared" si="3"/>
        <v>2.0320%</v>
      </c>
      <c r="B79">
        <f t="shared" si="4"/>
        <v>2.0320000000000046E-2</v>
      </c>
      <c r="C79">
        <v>975.68843983211514</v>
      </c>
    </row>
    <row r="80" spans="1:3" x14ac:dyDescent="0.25">
      <c r="A80" t="str">
        <f t="shared" si="3"/>
        <v>2.1320%</v>
      </c>
      <c r="B80">
        <f t="shared" si="4"/>
        <v>2.1320000000000047E-2</v>
      </c>
      <c r="C80">
        <v>975.68843983211514</v>
      </c>
    </row>
    <row r="81" spans="1:3" x14ac:dyDescent="0.25">
      <c r="A81" t="str">
        <f t="shared" si="3"/>
        <v>2.2320%</v>
      </c>
      <c r="B81">
        <f t="shared" si="4"/>
        <v>2.2320000000000048E-2</v>
      </c>
      <c r="C81">
        <v>975.68843983211514</v>
      </c>
    </row>
    <row r="82" spans="1:3" x14ac:dyDescent="0.25">
      <c r="A82" t="str">
        <f t="shared" si="3"/>
        <v>2.3320%</v>
      </c>
      <c r="B82">
        <f t="shared" si="4"/>
        <v>2.3320000000000049E-2</v>
      </c>
      <c r="C82">
        <v>975.68843983211514</v>
      </c>
    </row>
    <row r="83" spans="1:3" x14ac:dyDescent="0.25">
      <c r="A83" t="str">
        <f t="shared" si="3"/>
        <v>2.4320%</v>
      </c>
      <c r="B83">
        <f t="shared" si="4"/>
        <v>2.432000000000005E-2</v>
      </c>
      <c r="C83">
        <v>975.68843983211514</v>
      </c>
    </row>
    <row r="84" spans="1:3" x14ac:dyDescent="0.25">
      <c r="A84" t="str">
        <f t="shared" si="3"/>
        <v>2.5320%</v>
      </c>
      <c r="B84">
        <f t="shared" si="4"/>
        <v>2.5320000000000051E-2</v>
      </c>
      <c r="C84">
        <v>975.68843983211514</v>
      </c>
    </row>
    <row r="85" spans="1:3" x14ac:dyDescent="0.25">
      <c r="A85" t="str">
        <f t="shared" si="3"/>
        <v>2.6320%</v>
      </c>
      <c r="B85">
        <f t="shared" si="4"/>
        <v>2.6320000000000052E-2</v>
      </c>
      <c r="C85">
        <v>975.68843983211514</v>
      </c>
    </row>
    <row r="86" spans="1:3" x14ac:dyDescent="0.25">
      <c r="A86" t="str">
        <f t="shared" si="3"/>
        <v>2.7320%</v>
      </c>
      <c r="B86">
        <f t="shared" si="4"/>
        <v>2.7320000000000053E-2</v>
      </c>
      <c r="C86">
        <v>975.68843983211514</v>
      </c>
    </row>
    <row r="87" spans="1:3" x14ac:dyDescent="0.25">
      <c r="A87" t="str">
        <f t="shared" si="3"/>
        <v>2.8320%</v>
      </c>
      <c r="B87">
        <f t="shared" si="4"/>
        <v>2.8320000000000053E-2</v>
      </c>
      <c r="C87">
        <v>975.68843983211514</v>
      </c>
    </row>
    <row r="88" spans="1:3" x14ac:dyDescent="0.25">
      <c r="A88" t="str">
        <f t="shared" si="3"/>
        <v>2.9320%</v>
      </c>
      <c r="B88">
        <f t="shared" si="4"/>
        <v>2.9320000000000054E-2</v>
      </c>
      <c r="C88">
        <v>975.68843983211514</v>
      </c>
    </row>
    <row r="89" spans="1:3" x14ac:dyDescent="0.25">
      <c r="A89" t="str">
        <f t="shared" si="3"/>
        <v>3.0320%</v>
      </c>
      <c r="B89">
        <f t="shared" si="4"/>
        <v>3.0320000000000055E-2</v>
      </c>
      <c r="C89">
        <v>975.68843983211514</v>
      </c>
    </row>
    <row r="90" spans="1:3" x14ac:dyDescent="0.25">
      <c r="A90" t="str">
        <f t="shared" si="3"/>
        <v>3.1320%</v>
      </c>
      <c r="B90">
        <f t="shared" si="4"/>
        <v>3.1320000000000056E-2</v>
      </c>
      <c r="C90">
        <v>975.68843983211514</v>
      </c>
    </row>
    <row r="91" spans="1:3" x14ac:dyDescent="0.25">
      <c r="A91" t="str">
        <f t="shared" si="3"/>
        <v>3.2320%</v>
      </c>
      <c r="B91">
        <f t="shared" si="4"/>
        <v>3.2320000000000057E-2</v>
      </c>
      <c r="C91">
        <v>975.68843983211514</v>
      </c>
    </row>
    <row r="92" spans="1:3" x14ac:dyDescent="0.25">
      <c r="A92" t="str">
        <f t="shared" si="3"/>
        <v>3.3320%</v>
      </c>
      <c r="B92">
        <f t="shared" si="4"/>
        <v>3.3320000000000058E-2</v>
      </c>
      <c r="C92">
        <v>975.68843983211514</v>
      </c>
    </row>
    <row r="93" spans="1:3" x14ac:dyDescent="0.25">
      <c r="A93" t="str">
        <f t="shared" si="3"/>
        <v>3.4320%</v>
      </c>
      <c r="B93">
        <f t="shared" si="4"/>
        <v>3.4320000000000059E-2</v>
      </c>
      <c r="C93">
        <v>975.68843983211514</v>
      </c>
    </row>
    <row r="94" spans="1:3" x14ac:dyDescent="0.25">
      <c r="A94" t="str">
        <f t="shared" si="3"/>
        <v>3.5320%</v>
      </c>
      <c r="B94">
        <f t="shared" si="4"/>
        <v>3.532000000000006E-2</v>
      </c>
      <c r="C94">
        <v>975.68843983211514</v>
      </c>
    </row>
    <row r="95" spans="1:3" x14ac:dyDescent="0.25">
      <c r="A95" t="str">
        <f t="shared" si="3"/>
        <v>3.6320%</v>
      </c>
      <c r="B95">
        <f t="shared" si="4"/>
        <v>3.6320000000000061E-2</v>
      </c>
      <c r="C95">
        <v>975.68843983211514</v>
      </c>
    </row>
    <row r="96" spans="1:3" x14ac:dyDescent="0.25">
      <c r="A96" t="str">
        <f t="shared" si="3"/>
        <v>3.7320%</v>
      </c>
      <c r="B96">
        <f t="shared" si="4"/>
        <v>3.7320000000000061E-2</v>
      </c>
      <c r="C96">
        <v>975.68843983211514</v>
      </c>
    </row>
    <row r="97" spans="1:3" x14ac:dyDescent="0.25">
      <c r="A97" t="str">
        <f t="shared" si="3"/>
        <v>3.8320%</v>
      </c>
      <c r="B97">
        <f t="shared" si="4"/>
        <v>3.8320000000000062E-2</v>
      </c>
      <c r="C97">
        <v>975.68843983211514</v>
      </c>
    </row>
    <row r="98" spans="1:3" x14ac:dyDescent="0.25">
      <c r="A98" t="str">
        <f t="shared" si="3"/>
        <v>3.9320%</v>
      </c>
      <c r="B98">
        <f t="shared" si="4"/>
        <v>3.9320000000000063E-2</v>
      </c>
      <c r="C98">
        <v>975.68843983211514</v>
      </c>
    </row>
    <row r="99" spans="1:3" x14ac:dyDescent="0.25">
      <c r="A99" t="str">
        <f t="shared" si="3"/>
        <v>4.0320%</v>
      </c>
      <c r="B99">
        <f t="shared" si="4"/>
        <v>4.0320000000000064E-2</v>
      </c>
      <c r="C99">
        <v>975.68843983211514</v>
      </c>
    </row>
    <row r="100" spans="1:3" x14ac:dyDescent="0.25">
      <c r="A100" t="str">
        <f t="shared" si="3"/>
        <v>4.1320%</v>
      </c>
      <c r="B100">
        <f t="shared" si="4"/>
        <v>4.1320000000000065E-2</v>
      </c>
      <c r="C100">
        <v>975.68843983211514</v>
      </c>
    </row>
    <row r="101" spans="1:3" x14ac:dyDescent="0.25">
      <c r="A101" t="str">
        <f t="shared" si="3"/>
        <v>4.2320%</v>
      </c>
      <c r="B101">
        <f t="shared" si="4"/>
        <v>4.2320000000000066E-2</v>
      </c>
      <c r="C101">
        <v>975.68843983211514</v>
      </c>
    </row>
    <row r="102" spans="1:3" x14ac:dyDescent="0.25">
      <c r="A102" t="str">
        <f t="shared" si="3"/>
        <v>4.3320%</v>
      </c>
      <c r="B102">
        <f t="shared" si="4"/>
        <v>4.3320000000000067E-2</v>
      </c>
      <c r="C102">
        <v>975.68843983211514</v>
      </c>
    </row>
    <row r="103" spans="1:3" x14ac:dyDescent="0.25">
      <c r="A103" t="str">
        <f t="shared" si="3"/>
        <v>4.4320%</v>
      </c>
      <c r="B103">
        <f t="shared" si="4"/>
        <v>4.4320000000000068E-2</v>
      </c>
      <c r="C103">
        <v>975.68843983211514</v>
      </c>
    </row>
    <row r="104" spans="1:3" x14ac:dyDescent="0.25">
      <c r="A104" t="str">
        <f t="shared" si="3"/>
        <v>4.5320%</v>
      </c>
      <c r="B104">
        <f t="shared" si="4"/>
        <v>4.5320000000000069E-2</v>
      </c>
      <c r="C104">
        <v>975.68843983211514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heet10.black_scholes_sensitivity_in_r2">
                <anchor moveWithCells="1" sizeWithCells="1">
                  <from>
                    <xdr:col>4</xdr:col>
                    <xdr:colOff>266700</xdr:colOff>
                    <xdr:row>5</xdr:row>
                    <xdr:rowOff>104775</xdr:rowOff>
                  </from>
                  <to>
                    <xdr:col>5</xdr:col>
                    <xdr:colOff>371475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04"/>
  <sheetViews>
    <sheetView workbookViewId="0">
      <selection activeCell="M4" sqref="M4"/>
    </sheetView>
  </sheetViews>
  <sheetFormatPr defaultRowHeight="15" x14ac:dyDescent="0.25"/>
  <cols>
    <col min="2" max="2" width="15.7109375" bestFit="1" customWidth="1"/>
    <col min="3" max="3" width="15.140625" bestFit="1" customWidth="1"/>
    <col min="13" max="13" width="16" bestFit="1" customWidth="1"/>
  </cols>
  <sheetData>
    <row r="1" spans="1:14" x14ac:dyDescent="0.25">
      <c r="B1" t="s">
        <v>38</v>
      </c>
      <c r="C1">
        <f>'Parameter Page'!H5</f>
        <v>9.1000000000000004E-3</v>
      </c>
      <c r="E1">
        <f>C1-0.05</f>
        <v>-4.0900000000000006E-2</v>
      </c>
      <c r="F1">
        <f>C1+0.05</f>
        <v>5.91E-2</v>
      </c>
    </row>
    <row r="2" spans="1:14" x14ac:dyDescent="0.25">
      <c r="C2" t="s">
        <v>36</v>
      </c>
      <c r="D2">
        <f>COUNT(B4:B204)</f>
        <v>101</v>
      </c>
      <c r="J2" t="s">
        <v>46</v>
      </c>
    </row>
    <row r="3" spans="1:14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4" x14ac:dyDescent="0.25">
      <c r="A4" t="str">
        <f>TEXT(B4,"0.0000%")</f>
        <v>-4.0900%</v>
      </c>
      <c r="B4">
        <f>E1</f>
        <v>-4.0900000000000006E-2</v>
      </c>
      <c r="C4">
        <v>978.4362111178981</v>
      </c>
      <c r="I4" s="5" t="s">
        <v>77</v>
      </c>
      <c r="J4">
        <f>VLOOKUP(I4,$A$4:$C$104,3,0)</f>
        <v>978.4362111178981</v>
      </c>
      <c r="K4" t="s">
        <v>48</v>
      </c>
      <c r="M4" t="s">
        <v>116</v>
      </c>
      <c r="N4" s="14">
        <f>ABS(ABS($J$6-$J$4)/$J$5)</f>
        <v>4.6476954319474678E-16</v>
      </c>
    </row>
    <row r="5" spans="1:14" x14ac:dyDescent="0.25">
      <c r="A5" t="str">
        <f t="shared" ref="A5:A68" si="0">TEXT(B5,"0.0000%")</f>
        <v>-3.9900%</v>
      </c>
      <c r="B5">
        <f>B4+0.001</f>
        <v>-3.9900000000000005E-2</v>
      </c>
      <c r="C5">
        <v>978.4362111178981</v>
      </c>
      <c r="I5" s="5" t="s">
        <v>75</v>
      </c>
      <c r="J5">
        <f t="shared" ref="J5:J6" si="1">VLOOKUP(I5,$A$4:$C$104,3,0)</f>
        <v>978.43621111789764</v>
      </c>
      <c r="K5" s="6">
        <f>(J5-J4)/J4</f>
        <v>-4.6476954319474658E-16</v>
      </c>
      <c r="M5" t="s">
        <v>121</v>
      </c>
      <c r="N5" s="15">
        <f>ABS(ABS($I$6-$I$4)/$I$5)</f>
        <v>2.1978021978021975</v>
      </c>
    </row>
    <row r="6" spans="1:14" x14ac:dyDescent="0.25">
      <c r="A6" t="str">
        <f t="shared" si="0"/>
        <v>-3.8900%</v>
      </c>
      <c r="B6">
        <f t="shared" ref="B6:B69" si="2">B5+0.001</f>
        <v>-3.8900000000000004E-2</v>
      </c>
      <c r="C6">
        <v>978.43621111789832</v>
      </c>
      <c r="I6" s="5" t="s">
        <v>76</v>
      </c>
      <c r="J6">
        <f t="shared" si="1"/>
        <v>978.43621111789764</v>
      </c>
      <c r="K6" s="6">
        <f>(J6-J5)/J5</f>
        <v>0</v>
      </c>
      <c r="M6" t="s">
        <v>122</v>
      </c>
      <c r="N6" s="15">
        <f>N4/(2*N5)</f>
        <v>1.057350710768049E-16</v>
      </c>
    </row>
    <row r="7" spans="1:14" x14ac:dyDescent="0.25">
      <c r="A7" t="str">
        <f t="shared" si="0"/>
        <v>-3.7900%</v>
      </c>
      <c r="B7">
        <f t="shared" si="2"/>
        <v>-3.7900000000000003E-2</v>
      </c>
      <c r="C7">
        <v>978.43621111789798</v>
      </c>
    </row>
    <row r="8" spans="1:14" x14ac:dyDescent="0.25">
      <c r="A8" t="str">
        <f t="shared" si="0"/>
        <v>-3.6900%</v>
      </c>
      <c r="B8">
        <f t="shared" si="2"/>
        <v>-3.6900000000000002E-2</v>
      </c>
      <c r="C8">
        <v>978.4362111178981</v>
      </c>
    </row>
    <row r="9" spans="1:14" x14ac:dyDescent="0.25">
      <c r="A9" t="str">
        <f t="shared" si="0"/>
        <v>-3.5900%</v>
      </c>
      <c r="B9">
        <f t="shared" si="2"/>
        <v>-3.5900000000000001E-2</v>
      </c>
      <c r="C9">
        <v>978.43621111789855</v>
      </c>
    </row>
    <row r="10" spans="1:14" x14ac:dyDescent="0.25">
      <c r="A10" t="str">
        <f t="shared" si="0"/>
        <v>-3.4900%</v>
      </c>
      <c r="B10">
        <f t="shared" si="2"/>
        <v>-3.49E-2</v>
      </c>
      <c r="C10">
        <v>978.43621111789832</v>
      </c>
    </row>
    <row r="11" spans="1:14" x14ac:dyDescent="0.25">
      <c r="A11" t="str">
        <f t="shared" si="0"/>
        <v>-3.3900%</v>
      </c>
      <c r="B11">
        <f t="shared" si="2"/>
        <v>-3.39E-2</v>
      </c>
      <c r="C11">
        <v>978.43621111789832</v>
      </c>
    </row>
    <row r="12" spans="1:14" x14ac:dyDescent="0.25">
      <c r="A12" t="str">
        <f t="shared" si="0"/>
        <v>-3.2900%</v>
      </c>
      <c r="B12">
        <f t="shared" si="2"/>
        <v>-3.2899999999999999E-2</v>
      </c>
      <c r="C12">
        <v>978.4362111178981</v>
      </c>
    </row>
    <row r="13" spans="1:14" x14ac:dyDescent="0.25">
      <c r="A13" t="str">
        <f t="shared" si="0"/>
        <v>-3.1900%</v>
      </c>
      <c r="B13">
        <f t="shared" si="2"/>
        <v>-3.1899999999999998E-2</v>
      </c>
      <c r="C13">
        <v>978.4362111178981</v>
      </c>
    </row>
    <row r="14" spans="1:14" x14ac:dyDescent="0.25">
      <c r="A14" t="str">
        <f t="shared" si="0"/>
        <v>-3.0900%</v>
      </c>
      <c r="B14">
        <f t="shared" si="2"/>
        <v>-3.0899999999999997E-2</v>
      </c>
      <c r="C14">
        <v>978.4362111178981</v>
      </c>
    </row>
    <row r="15" spans="1:14" x14ac:dyDescent="0.25">
      <c r="A15" t="str">
        <f t="shared" si="0"/>
        <v>-2.9900%</v>
      </c>
      <c r="B15">
        <f t="shared" si="2"/>
        <v>-2.9899999999999996E-2</v>
      </c>
      <c r="C15">
        <v>978.43621111789832</v>
      </c>
    </row>
    <row r="16" spans="1:14" x14ac:dyDescent="0.25">
      <c r="A16" t="str">
        <f t="shared" si="0"/>
        <v>-2.8900%</v>
      </c>
      <c r="B16">
        <f t="shared" si="2"/>
        <v>-2.8899999999999995E-2</v>
      </c>
      <c r="C16">
        <v>978.4362111178981</v>
      </c>
    </row>
    <row r="17" spans="1:3" x14ac:dyDescent="0.25">
      <c r="A17" t="str">
        <f t="shared" si="0"/>
        <v>-2.7900%</v>
      </c>
      <c r="B17">
        <f t="shared" si="2"/>
        <v>-2.7899999999999994E-2</v>
      </c>
      <c r="C17">
        <v>978.4362111178981</v>
      </c>
    </row>
    <row r="18" spans="1:3" x14ac:dyDescent="0.25">
      <c r="A18" t="str">
        <f t="shared" si="0"/>
        <v>-2.6900%</v>
      </c>
      <c r="B18">
        <f t="shared" si="2"/>
        <v>-2.6899999999999993E-2</v>
      </c>
      <c r="C18">
        <v>978.43621111789832</v>
      </c>
    </row>
    <row r="19" spans="1:3" x14ac:dyDescent="0.25">
      <c r="A19" t="str">
        <f t="shared" si="0"/>
        <v>-2.5900%</v>
      </c>
      <c r="B19">
        <f t="shared" si="2"/>
        <v>-2.5899999999999992E-2</v>
      </c>
      <c r="C19">
        <v>978.4362111178981</v>
      </c>
    </row>
    <row r="20" spans="1:3" x14ac:dyDescent="0.25">
      <c r="A20" t="str">
        <f t="shared" si="0"/>
        <v>-2.4900%</v>
      </c>
      <c r="B20">
        <f t="shared" si="2"/>
        <v>-2.4899999999999992E-2</v>
      </c>
      <c r="C20">
        <v>978.4362111178981</v>
      </c>
    </row>
    <row r="21" spans="1:3" x14ac:dyDescent="0.25">
      <c r="A21" t="str">
        <f t="shared" si="0"/>
        <v>-2.3900%</v>
      </c>
      <c r="B21">
        <f t="shared" si="2"/>
        <v>-2.3899999999999991E-2</v>
      </c>
      <c r="C21">
        <v>978.4362111178981</v>
      </c>
    </row>
    <row r="22" spans="1:3" x14ac:dyDescent="0.25">
      <c r="A22" t="str">
        <f t="shared" si="0"/>
        <v>-2.2900%</v>
      </c>
      <c r="B22">
        <f t="shared" si="2"/>
        <v>-2.289999999999999E-2</v>
      </c>
      <c r="C22">
        <v>978.4362111178981</v>
      </c>
    </row>
    <row r="23" spans="1:3" x14ac:dyDescent="0.25">
      <c r="A23" t="str">
        <f t="shared" si="0"/>
        <v>-2.1900%</v>
      </c>
      <c r="B23">
        <f t="shared" si="2"/>
        <v>-2.1899999999999989E-2</v>
      </c>
      <c r="C23">
        <v>978.4362111178981</v>
      </c>
    </row>
    <row r="24" spans="1:3" x14ac:dyDescent="0.25">
      <c r="A24" t="str">
        <f t="shared" si="0"/>
        <v>-2.0900%</v>
      </c>
      <c r="B24">
        <f t="shared" si="2"/>
        <v>-2.0899999999999988E-2</v>
      </c>
      <c r="C24">
        <v>978.43621111789832</v>
      </c>
    </row>
    <row r="25" spans="1:3" x14ac:dyDescent="0.25">
      <c r="A25" t="str">
        <f t="shared" si="0"/>
        <v>-1.9900%</v>
      </c>
      <c r="B25">
        <f t="shared" si="2"/>
        <v>-1.9899999999999987E-2</v>
      </c>
      <c r="C25">
        <v>978.4362111178981</v>
      </c>
    </row>
    <row r="26" spans="1:3" x14ac:dyDescent="0.25">
      <c r="A26" t="str">
        <f t="shared" si="0"/>
        <v>-1.8900%</v>
      </c>
      <c r="B26">
        <f t="shared" si="2"/>
        <v>-1.8899999999999986E-2</v>
      </c>
      <c r="C26">
        <v>978.4362111178981</v>
      </c>
    </row>
    <row r="27" spans="1:3" x14ac:dyDescent="0.25">
      <c r="A27" t="str">
        <f t="shared" si="0"/>
        <v>-1.7900%</v>
      </c>
      <c r="B27">
        <f t="shared" si="2"/>
        <v>-1.7899999999999985E-2</v>
      </c>
      <c r="C27">
        <v>978.4362111178981</v>
      </c>
    </row>
    <row r="28" spans="1:3" x14ac:dyDescent="0.25">
      <c r="A28" t="str">
        <f t="shared" si="0"/>
        <v>-1.6900%</v>
      </c>
      <c r="B28">
        <f t="shared" si="2"/>
        <v>-1.6899999999999984E-2</v>
      </c>
      <c r="C28">
        <v>978.43621111789832</v>
      </c>
    </row>
    <row r="29" spans="1:3" x14ac:dyDescent="0.25">
      <c r="A29" t="str">
        <f t="shared" si="0"/>
        <v>-1.5900%</v>
      </c>
      <c r="B29">
        <f t="shared" si="2"/>
        <v>-1.5899999999999984E-2</v>
      </c>
      <c r="C29">
        <v>978.43621111789764</v>
      </c>
    </row>
    <row r="30" spans="1:3" x14ac:dyDescent="0.25">
      <c r="A30" t="str">
        <f t="shared" si="0"/>
        <v>-1.4900%</v>
      </c>
      <c r="B30">
        <f t="shared" si="2"/>
        <v>-1.4899999999999983E-2</v>
      </c>
      <c r="C30">
        <v>978.43621111789832</v>
      </c>
    </row>
    <row r="31" spans="1:3" x14ac:dyDescent="0.25">
      <c r="A31" t="str">
        <f t="shared" si="0"/>
        <v>-1.3900%</v>
      </c>
      <c r="B31">
        <f t="shared" si="2"/>
        <v>-1.3899999999999982E-2</v>
      </c>
      <c r="C31">
        <v>978.4362111178981</v>
      </c>
    </row>
    <row r="32" spans="1:3" x14ac:dyDescent="0.25">
      <c r="A32" t="str">
        <f t="shared" si="0"/>
        <v>-1.2900%</v>
      </c>
      <c r="B32">
        <f t="shared" si="2"/>
        <v>-1.2899999999999981E-2</v>
      </c>
      <c r="C32">
        <v>978.4362111178981</v>
      </c>
    </row>
    <row r="33" spans="1:3" x14ac:dyDescent="0.25">
      <c r="A33" t="str">
        <f t="shared" si="0"/>
        <v>-1.1900%</v>
      </c>
      <c r="B33">
        <f t="shared" si="2"/>
        <v>-1.189999999999998E-2</v>
      </c>
      <c r="C33">
        <v>978.43621111789832</v>
      </c>
    </row>
    <row r="34" spans="1:3" x14ac:dyDescent="0.25">
      <c r="A34" t="str">
        <f t="shared" si="0"/>
        <v>-1.0900%</v>
      </c>
      <c r="B34">
        <f t="shared" si="2"/>
        <v>-1.0899999999999979E-2</v>
      </c>
      <c r="C34">
        <v>978.43621111789798</v>
      </c>
    </row>
    <row r="35" spans="1:3" x14ac:dyDescent="0.25">
      <c r="A35" t="str">
        <f t="shared" si="0"/>
        <v>-0.9900%</v>
      </c>
      <c r="B35">
        <f t="shared" si="2"/>
        <v>-9.8999999999999783E-3</v>
      </c>
      <c r="C35">
        <v>978.4362111178981</v>
      </c>
    </row>
    <row r="36" spans="1:3" x14ac:dyDescent="0.25">
      <c r="A36" t="str">
        <f t="shared" si="0"/>
        <v>-0.8900%</v>
      </c>
      <c r="B36">
        <f t="shared" si="2"/>
        <v>-8.8999999999999774E-3</v>
      </c>
      <c r="C36">
        <v>978.43621111789798</v>
      </c>
    </row>
    <row r="37" spans="1:3" x14ac:dyDescent="0.25">
      <c r="A37" t="str">
        <f t="shared" si="0"/>
        <v>-0.7900%</v>
      </c>
      <c r="B37">
        <f t="shared" si="2"/>
        <v>-7.8999999999999765E-3</v>
      </c>
      <c r="C37">
        <v>978.43621111789798</v>
      </c>
    </row>
    <row r="38" spans="1:3" x14ac:dyDescent="0.25">
      <c r="A38" t="str">
        <f t="shared" si="0"/>
        <v>-0.6900%</v>
      </c>
      <c r="B38">
        <f t="shared" si="2"/>
        <v>-6.8999999999999765E-3</v>
      </c>
      <c r="C38">
        <v>978.43621111789832</v>
      </c>
    </row>
    <row r="39" spans="1:3" x14ac:dyDescent="0.25">
      <c r="A39" t="str">
        <f t="shared" si="0"/>
        <v>-0.5900%</v>
      </c>
      <c r="B39">
        <f t="shared" si="2"/>
        <v>-5.8999999999999764E-3</v>
      </c>
      <c r="C39">
        <v>978.43621111789832</v>
      </c>
    </row>
    <row r="40" spans="1:3" x14ac:dyDescent="0.25">
      <c r="A40" t="str">
        <f t="shared" si="0"/>
        <v>-0.4900%</v>
      </c>
      <c r="B40">
        <f t="shared" si="2"/>
        <v>-4.8999999999999764E-3</v>
      </c>
      <c r="C40">
        <v>978.4362111178981</v>
      </c>
    </row>
    <row r="41" spans="1:3" x14ac:dyDescent="0.25">
      <c r="A41" t="str">
        <f t="shared" si="0"/>
        <v>-0.3900%</v>
      </c>
      <c r="B41">
        <f t="shared" si="2"/>
        <v>-3.8999999999999764E-3</v>
      </c>
      <c r="C41">
        <v>978.43621111789832</v>
      </c>
    </row>
    <row r="42" spans="1:3" x14ac:dyDescent="0.25">
      <c r="A42" t="str">
        <f t="shared" si="0"/>
        <v>-0.2900%</v>
      </c>
      <c r="B42">
        <f t="shared" si="2"/>
        <v>-2.8999999999999764E-3</v>
      </c>
      <c r="C42">
        <v>978.43621111789832</v>
      </c>
    </row>
    <row r="43" spans="1:3" x14ac:dyDescent="0.25">
      <c r="A43" t="str">
        <f t="shared" si="0"/>
        <v>-0.1900%</v>
      </c>
      <c r="B43">
        <f t="shared" si="2"/>
        <v>-1.8999999999999764E-3</v>
      </c>
      <c r="C43">
        <v>978.4362111178981</v>
      </c>
    </row>
    <row r="44" spans="1:3" x14ac:dyDescent="0.25">
      <c r="A44" t="str">
        <f t="shared" si="0"/>
        <v>-0.0900%</v>
      </c>
      <c r="B44">
        <f t="shared" si="2"/>
        <v>-8.9999999999997634E-4</v>
      </c>
      <c r="C44">
        <v>978.4362111178981</v>
      </c>
    </row>
    <row r="45" spans="1:3" x14ac:dyDescent="0.25">
      <c r="A45" t="str">
        <f t="shared" si="0"/>
        <v>0.0100%</v>
      </c>
      <c r="B45">
        <f t="shared" si="2"/>
        <v>1.0000000000002368E-4</v>
      </c>
      <c r="C45">
        <v>978.4362111178981</v>
      </c>
    </row>
    <row r="46" spans="1:3" x14ac:dyDescent="0.25">
      <c r="A46" t="str">
        <f t="shared" si="0"/>
        <v>0.1100%</v>
      </c>
      <c r="B46">
        <f t="shared" si="2"/>
        <v>1.1000000000000237E-3</v>
      </c>
      <c r="C46">
        <v>978.43621111789832</v>
      </c>
    </row>
    <row r="47" spans="1:3" x14ac:dyDescent="0.25">
      <c r="A47" t="str">
        <f t="shared" si="0"/>
        <v>0.2100%</v>
      </c>
      <c r="B47">
        <f t="shared" si="2"/>
        <v>2.1000000000000237E-3</v>
      </c>
      <c r="C47">
        <v>978.43621111789832</v>
      </c>
    </row>
    <row r="48" spans="1:3" x14ac:dyDescent="0.25">
      <c r="A48" t="str">
        <f t="shared" si="0"/>
        <v>0.3100%</v>
      </c>
      <c r="B48">
        <f t="shared" si="2"/>
        <v>3.1000000000000237E-3</v>
      </c>
      <c r="C48">
        <v>978.4362111178981</v>
      </c>
    </row>
    <row r="49" spans="1:3" x14ac:dyDescent="0.25">
      <c r="A49" t="str">
        <f t="shared" si="0"/>
        <v>0.4100%</v>
      </c>
      <c r="B49">
        <f t="shared" si="2"/>
        <v>4.1000000000000238E-3</v>
      </c>
      <c r="C49">
        <v>978.43621111789776</v>
      </c>
    </row>
    <row r="50" spans="1:3" x14ac:dyDescent="0.25">
      <c r="A50" t="str">
        <f t="shared" si="0"/>
        <v>0.5100%</v>
      </c>
      <c r="B50">
        <f t="shared" si="2"/>
        <v>5.1000000000000238E-3</v>
      </c>
      <c r="C50">
        <v>978.43621111789798</v>
      </c>
    </row>
    <row r="51" spans="1:3" x14ac:dyDescent="0.25">
      <c r="A51" t="str">
        <f t="shared" si="0"/>
        <v>0.6100%</v>
      </c>
      <c r="B51">
        <f t="shared" si="2"/>
        <v>6.1000000000000238E-3</v>
      </c>
      <c r="C51">
        <v>978.43621111789764</v>
      </c>
    </row>
    <row r="52" spans="1:3" x14ac:dyDescent="0.25">
      <c r="A52" t="str">
        <f t="shared" si="0"/>
        <v>0.7100%</v>
      </c>
      <c r="B52">
        <f t="shared" si="2"/>
        <v>7.1000000000000238E-3</v>
      </c>
      <c r="C52">
        <v>978.4362111178981</v>
      </c>
    </row>
    <row r="53" spans="1:3" x14ac:dyDescent="0.25">
      <c r="A53" t="str">
        <f t="shared" si="0"/>
        <v>0.8100%</v>
      </c>
      <c r="B53">
        <f t="shared" si="2"/>
        <v>8.1000000000000238E-3</v>
      </c>
      <c r="C53">
        <v>978.43621111789776</v>
      </c>
    </row>
    <row r="54" spans="1:3" x14ac:dyDescent="0.25">
      <c r="A54" t="str">
        <f t="shared" si="0"/>
        <v>0.9100%</v>
      </c>
      <c r="B54">
        <f t="shared" si="2"/>
        <v>9.1000000000000247E-3</v>
      </c>
      <c r="C54">
        <v>978.43621111789764</v>
      </c>
    </row>
    <row r="55" spans="1:3" x14ac:dyDescent="0.25">
      <c r="A55" t="str">
        <f t="shared" si="0"/>
        <v>1.0100%</v>
      </c>
      <c r="B55">
        <f t="shared" si="2"/>
        <v>1.0100000000000026E-2</v>
      </c>
      <c r="C55">
        <v>978.4362111178981</v>
      </c>
    </row>
    <row r="56" spans="1:3" x14ac:dyDescent="0.25">
      <c r="A56" t="str">
        <f t="shared" si="0"/>
        <v>1.1100%</v>
      </c>
      <c r="B56">
        <f t="shared" si="2"/>
        <v>1.1100000000000027E-2</v>
      </c>
      <c r="C56">
        <v>978.43621111789832</v>
      </c>
    </row>
    <row r="57" spans="1:3" x14ac:dyDescent="0.25">
      <c r="A57" t="str">
        <f t="shared" si="0"/>
        <v>1.2100%</v>
      </c>
      <c r="B57">
        <f t="shared" si="2"/>
        <v>1.2100000000000027E-2</v>
      </c>
      <c r="C57">
        <v>978.4362111178981</v>
      </c>
    </row>
    <row r="58" spans="1:3" x14ac:dyDescent="0.25">
      <c r="A58" t="str">
        <f t="shared" si="0"/>
        <v>1.3100%</v>
      </c>
      <c r="B58">
        <f t="shared" si="2"/>
        <v>1.3100000000000028E-2</v>
      </c>
      <c r="C58">
        <v>978.4362111178981</v>
      </c>
    </row>
    <row r="59" spans="1:3" x14ac:dyDescent="0.25">
      <c r="A59" t="str">
        <f t="shared" si="0"/>
        <v>1.4100%</v>
      </c>
      <c r="B59">
        <f t="shared" si="2"/>
        <v>1.4100000000000029E-2</v>
      </c>
      <c r="C59">
        <v>978.43621111789798</v>
      </c>
    </row>
    <row r="60" spans="1:3" x14ac:dyDescent="0.25">
      <c r="A60" t="str">
        <f t="shared" si="0"/>
        <v>1.5100%</v>
      </c>
      <c r="B60">
        <f t="shared" si="2"/>
        <v>1.510000000000003E-2</v>
      </c>
      <c r="C60">
        <v>978.4362111178981</v>
      </c>
    </row>
    <row r="61" spans="1:3" x14ac:dyDescent="0.25">
      <c r="A61" t="str">
        <f t="shared" si="0"/>
        <v>1.6100%</v>
      </c>
      <c r="B61">
        <f t="shared" si="2"/>
        <v>1.6100000000000031E-2</v>
      </c>
      <c r="C61">
        <v>978.4362111178981</v>
      </c>
    </row>
    <row r="62" spans="1:3" x14ac:dyDescent="0.25">
      <c r="A62" t="str">
        <f t="shared" si="0"/>
        <v>1.7100%</v>
      </c>
      <c r="B62">
        <f t="shared" si="2"/>
        <v>1.7100000000000032E-2</v>
      </c>
      <c r="C62">
        <v>978.4362111178981</v>
      </c>
    </row>
    <row r="63" spans="1:3" x14ac:dyDescent="0.25">
      <c r="A63" t="str">
        <f t="shared" si="0"/>
        <v>1.8100%</v>
      </c>
      <c r="B63">
        <f t="shared" si="2"/>
        <v>1.8100000000000033E-2</v>
      </c>
      <c r="C63">
        <v>978.4362111178981</v>
      </c>
    </row>
    <row r="64" spans="1:3" x14ac:dyDescent="0.25">
      <c r="A64" t="str">
        <f t="shared" si="0"/>
        <v>1.9100%</v>
      </c>
      <c r="B64">
        <f t="shared" si="2"/>
        <v>1.9100000000000034E-2</v>
      </c>
      <c r="C64">
        <v>978.43621111789764</v>
      </c>
    </row>
    <row r="65" spans="1:3" x14ac:dyDescent="0.25">
      <c r="A65" t="str">
        <f t="shared" si="0"/>
        <v>2.0100%</v>
      </c>
      <c r="B65">
        <f t="shared" si="2"/>
        <v>2.0100000000000035E-2</v>
      </c>
      <c r="C65">
        <v>978.4362111178981</v>
      </c>
    </row>
    <row r="66" spans="1:3" x14ac:dyDescent="0.25">
      <c r="A66" t="str">
        <f t="shared" si="0"/>
        <v>2.1100%</v>
      </c>
      <c r="B66">
        <f t="shared" si="2"/>
        <v>2.1100000000000035E-2</v>
      </c>
      <c r="C66">
        <v>978.43621111789776</v>
      </c>
    </row>
    <row r="67" spans="1:3" x14ac:dyDescent="0.25">
      <c r="A67" t="str">
        <f t="shared" si="0"/>
        <v>2.2100%</v>
      </c>
      <c r="B67">
        <f t="shared" si="2"/>
        <v>2.2100000000000036E-2</v>
      </c>
      <c r="C67">
        <v>978.4362111178981</v>
      </c>
    </row>
    <row r="68" spans="1:3" x14ac:dyDescent="0.25">
      <c r="A68" t="str">
        <f t="shared" si="0"/>
        <v>2.3100%</v>
      </c>
      <c r="B68">
        <f t="shared" si="2"/>
        <v>2.3100000000000037E-2</v>
      </c>
      <c r="C68">
        <v>978.43621111789798</v>
      </c>
    </row>
    <row r="69" spans="1:3" x14ac:dyDescent="0.25">
      <c r="A69" t="str">
        <f t="shared" ref="A69:A104" si="3">TEXT(B69,"0.0000%")</f>
        <v>2.4100%</v>
      </c>
      <c r="B69">
        <f t="shared" si="2"/>
        <v>2.4100000000000038E-2</v>
      </c>
      <c r="C69">
        <v>978.4362111178981</v>
      </c>
    </row>
    <row r="70" spans="1:3" x14ac:dyDescent="0.25">
      <c r="A70" t="str">
        <f t="shared" si="3"/>
        <v>2.5100%</v>
      </c>
      <c r="B70">
        <f t="shared" ref="B70:B104" si="4">B69+0.001</f>
        <v>2.5100000000000039E-2</v>
      </c>
      <c r="C70">
        <v>978.4362111178981</v>
      </c>
    </row>
    <row r="71" spans="1:3" x14ac:dyDescent="0.25">
      <c r="A71" t="str">
        <f t="shared" si="3"/>
        <v>2.6100%</v>
      </c>
      <c r="B71">
        <f t="shared" si="4"/>
        <v>2.610000000000004E-2</v>
      </c>
      <c r="C71">
        <v>978.4362111178981</v>
      </c>
    </row>
    <row r="72" spans="1:3" x14ac:dyDescent="0.25">
      <c r="A72" t="str">
        <f t="shared" si="3"/>
        <v>2.7100%</v>
      </c>
      <c r="B72">
        <f t="shared" si="4"/>
        <v>2.7100000000000041E-2</v>
      </c>
      <c r="C72">
        <v>978.43621111789764</v>
      </c>
    </row>
    <row r="73" spans="1:3" x14ac:dyDescent="0.25">
      <c r="A73" t="str">
        <f t="shared" si="3"/>
        <v>2.8100%</v>
      </c>
      <c r="B73">
        <f t="shared" si="4"/>
        <v>2.8100000000000042E-2</v>
      </c>
      <c r="C73">
        <v>978.4362111178981</v>
      </c>
    </row>
    <row r="74" spans="1:3" x14ac:dyDescent="0.25">
      <c r="A74" t="str">
        <f t="shared" si="3"/>
        <v>2.9100%</v>
      </c>
      <c r="B74">
        <f t="shared" si="4"/>
        <v>2.9100000000000042E-2</v>
      </c>
      <c r="C74">
        <v>978.4362111178981</v>
      </c>
    </row>
    <row r="75" spans="1:3" x14ac:dyDescent="0.25">
      <c r="A75" t="str">
        <f t="shared" si="3"/>
        <v>3.0100%</v>
      </c>
      <c r="B75">
        <f t="shared" si="4"/>
        <v>3.0100000000000043E-2</v>
      </c>
      <c r="C75">
        <v>978.43621111789741</v>
      </c>
    </row>
    <row r="76" spans="1:3" x14ac:dyDescent="0.25">
      <c r="A76" t="str">
        <f t="shared" si="3"/>
        <v>3.1100%</v>
      </c>
      <c r="B76">
        <f t="shared" si="4"/>
        <v>3.1100000000000044E-2</v>
      </c>
      <c r="C76">
        <v>978.43621111789776</v>
      </c>
    </row>
    <row r="77" spans="1:3" x14ac:dyDescent="0.25">
      <c r="A77" t="str">
        <f t="shared" si="3"/>
        <v>3.2100%</v>
      </c>
      <c r="B77">
        <f t="shared" si="4"/>
        <v>3.2100000000000045E-2</v>
      </c>
      <c r="C77">
        <v>978.4362111178981</v>
      </c>
    </row>
    <row r="78" spans="1:3" x14ac:dyDescent="0.25">
      <c r="A78" t="str">
        <f t="shared" si="3"/>
        <v>3.3100%</v>
      </c>
      <c r="B78">
        <f t="shared" si="4"/>
        <v>3.3100000000000046E-2</v>
      </c>
      <c r="C78">
        <v>978.43621111789798</v>
      </c>
    </row>
    <row r="79" spans="1:3" x14ac:dyDescent="0.25">
      <c r="A79" t="str">
        <f t="shared" si="3"/>
        <v>3.4100%</v>
      </c>
      <c r="B79">
        <f t="shared" si="4"/>
        <v>3.4100000000000047E-2</v>
      </c>
      <c r="C79">
        <v>978.4362111178981</v>
      </c>
    </row>
    <row r="80" spans="1:3" x14ac:dyDescent="0.25">
      <c r="A80" t="str">
        <f t="shared" si="3"/>
        <v>3.5100%</v>
      </c>
      <c r="B80">
        <f t="shared" si="4"/>
        <v>3.5100000000000048E-2</v>
      </c>
      <c r="C80">
        <v>978.4362111178981</v>
      </c>
    </row>
    <row r="81" spans="1:3" x14ac:dyDescent="0.25">
      <c r="A81" t="str">
        <f t="shared" si="3"/>
        <v>3.6100%</v>
      </c>
      <c r="B81">
        <f t="shared" si="4"/>
        <v>3.6100000000000049E-2</v>
      </c>
      <c r="C81">
        <v>978.43621111789832</v>
      </c>
    </row>
    <row r="82" spans="1:3" x14ac:dyDescent="0.25">
      <c r="A82" t="str">
        <f t="shared" si="3"/>
        <v>3.7100%</v>
      </c>
      <c r="B82">
        <f t="shared" si="4"/>
        <v>3.710000000000005E-2</v>
      </c>
      <c r="C82">
        <v>978.4362111178981</v>
      </c>
    </row>
    <row r="83" spans="1:3" x14ac:dyDescent="0.25">
      <c r="A83" t="str">
        <f t="shared" si="3"/>
        <v>3.8100%</v>
      </c>
      <c r="B83">
        <f t="shared" si="4"/>
        <v>3.810000000000005E-2</v>
      </c>
      <c r="C83">
        <v>978.43621111789832</v>
      </c>
    </row>
    <row r="84" spans="1:3" x14ac:dyDescent="0.25">
      <c r="A84" t="str">
        <f t="shared" si="3"/>
        <v>3.9100%</v>
      </c>
      <c r="B84">
        <f t="shared" si="4"/>
        <v>3.9100000000000051E-2</v>
      </c>
      <c r="C84">
        <v>978.43621111789832</v>
      </c>
    </row>
    <row r="85" spans="1:3" x14ac:dyDescent="0.25">
      <c r="A85" t="str">
        <f t="shared" si="3"/>
        <v>4.0100%</v>
      </c>
      <c r="B85">
        <f t="shared" si="4"/>
        <v>4.0100000000000052E-2</v>
      </c>
      <c r="C85">
        <v>978.43621111789798</v>
      </c>
    </row>
    <row r="86" spans="1:3" x14ac:dyDescent="0.25">
      <c r="A86" t="str">
        <f t="shared" si="3"/>
        <v>4.1100%</v>
      </c>
      <c r="B86">
        <f t="shared" si="4"/>
        <v>4.1100000000000053E-2</v>
      </c>
      <c r="C86">
        <v>978.4362111178981</v>
      </c>
    </row>
    <row r="87" spans="1:3" x14ac:dyDescent="0.25">
      <c r="A87" t="str">
        <f t="shared" si="3"/>
        <v>4.2100%</v>
      </c>
      <c r="B87">
        <f t="shared" si="4"/>
        <v>4.2100000000000054E-2</v>
      </c>
      <c r="C87">
        <v>978.4362111178981</v>
      </c>
    </row>
    <row r="88" spans="1:3" x14ac:dyDescent="0.25">
      <c r="A88" t="str">
        <f t="shared" si="3"/>
        <v>4.3100%</v>
      </c>
      <c r="B88">
        <f t="shared" si="4"/>
        <v>4.3100000000000055E-2</v>
      </c>
      <c r="C88">
        <v>978.43621111789798</v>
      </c>
    </row>
    <row r="89" spans="1:3" x14ac:dyDescent="0.25">
      <c r="A89" t="str">
        <f t="shared" si="3"/>
        <v>4.4100%</v>
      </c>
      <c r="B89">
        <f t="shared" si="4"/>
        <v>4.4100000000000056E-2</v>
      </c>
      <c r="C89">
        <v>978.43621111789832</v>
      </c>
    </row>
    <row r="90" spans="1:3" x14ac:dyDescent="0.25">
      <c r="A90" t="str">
        <f t="shared" si="3"/>
        <v>4.5100%</v>
      </c>
      <c r="B90">
        <f t="shared" si="4"/>
        <v>4.5100000000000057E-2</v>
      </c>
      <c r="C90">
        <v>978.4362111178981</v>
      </c>
    </row>
    <row r="91" spans="1:3" x14ac:dyDescent="0.25">
      <c r="A91" t="str">
        <f t="shared" si="3"/>
        <v>4.6100%</v>
      </c>
      <c r="B91">
        <f t="shared" si="4"/>
        <v>4.6100000000000058E-2</v>
      </c>
      <c r="C91">
        <v>978.4362111178981</v>
      </c>
    </row>
    <row r="92" spans="1:3" x14ac:dyDescent="0.25">
      <c r="A92" t="str">
        <f t="shared" si="3"/>
        <v>4.7100%</v>
      </c>
      <c r="B92">
        <f t="shared" si="4"/>
        <v>4.7100000000000058E-2</v>
      </c>
      <c r="C92">
        <v>978.43621111789832</v>
      </c>
    </row>
    <row r="93" spans="1:3" x14ac:dyDescent="0.25">
      <c r="A93" t="str">
        <f t="shared" si="3"/>
        <v>4.8100%</v>
      </c>
      <c r="B93">
        <f t="shared" si="4"/>
        <v>4.8100000000000059E-2</v>
      </c>
      <c r="C93">
        <v>978.4362111178981</v>
      </c>
    </row>
    <row r="94" spans="1:3" x14ac:dyDescent="0.25">
      <c r="A94" t="str">
        <f t="shared" si="3"/>
        <v>4.9100%</v>
      </c>
      <c r="B94">
        <f t="shared" si="4"/>
        <v>4.910000000000006E-2</v>
      </c>
      <c r="C94">
        <v>978.43621111789798</v>
      </c>
    </row>
    <row r="95" spans="1:3" x14ac:dyDescent="0.25">
      <c r="A95" t="str">
        <f t="shared" si="3"/>
        <v>5.0100%</v>
      </c>
      <c r="B95">
        <f t="shared" si="4"/>
        <v>5.0100000000000061E-2</v>
      </c>
      <c r="C95">
        <v>978.43621111789798</v>
      </c>
    </row>
    <row r="96" spans="1:3" x14ac:dyDescent="0.25">
      <c r="A96" t="str">
        <f t="shared" si="3"/>
        <v>5.1100%</v>
      </c>
      <c r="B96">
        <f t="shared" si="4"/>
        <v>5.1100000000000062E-2</v>
      </c>
      <c r="C96">
        <v>978.43621111789832</v>
      </c>
    </row>
    <row r="97" spans="1:3" x14ac:dyDescent="0.25">
      <c r="A97" t="str">
        <f t="shared" si="3"/>
        <v>5.2100%</v>
      </c>
      <c r="B97">
        <f t="shared" si="4"/>
        <v>5.2100000000000063E-2</v>
      </c>
      <c r="C97">
        <v>978.43621111789798</v>
      </c>
    </row>
    <row r="98" spans="1:3" x14ac:dyDescent="0.25">
      <c r="A98" t="str">
        <f t="shared" si="3"/>
        <v>5.3100%</v>
      </c>
      <c r="B98">
        <f t="shared" si="4"/>
        <v>5.3100000000000064E-2</v>
      </c>
      <c r="C98">
        <v>978.43621111789832</v>
      </c>
    </row>
    <row r="99" spans="1:3" x14ac:dyDescent="0.25">
      <c r="A99" t="str">
        <f t="shared" si="3"/>
        <v>5.4100%</v>
      </c>
      <c r="B99">
        <f t="shared" si="4"/>
        <v>5.4100000000000065E-2</v>
      </c>
      <c r="C99">
        <v>978.43621111789798</v>
      </c>
    </row>
    <row r="100" spans="1:3" x14ac:dyDescent="0.25">
      <c r="A100" t="str">
        <f t="shared" si="3"/>
        <v>5.5100%</v>
      </c>
      <c r="B100">
        <f t="shared" si="4"/>
        <v>5.5100000000000066E-2</v>
      </c>
      <c r="C100">
        <v>978.43621111789798</v>
      </c>
    </row>
    <row r="101" spans="1:3" x14ac:dyDescent="0.25">
      <c r="A101" t="str">
        <f t="shared" si="3"/>
        <v>5.6100%</v>
      </c>
      <c r="B101">
        <f t="shared" si="4"/>
        <v>5.6100000000000066E-2</v>
      </c>
      <c r="C101">
        <v>978.43621111789832</v>
      </c>
    </row>
    <row r="102" spans="1:3" x14ac:dyDescent="0.25">
      <c r="A102" t="str">
        <f t="shared" si="3"/>
        <v>5.7100%</v>
      </c>
      <c r="B102">
        <f t="shared" si="4"/>
        <v>5.7100000000000067E-2</v>
      </c>
      <c r="C102">
        <v>978.4362111178981</v>
      </c>
    </row>
    <row r="103" spans="1:3" x14ac:dyDescent="0.25">
      <c r="A103" t="str">
        <f t="shared" si="3"/>
        <v>5.8100%</v>
      </c>
      <c r="B103">
        <f t="shared" si="4"/>
        <v>5.8100000000000068E-2</v>
      </c>
      <c r="C103">
        <v>978.4362111178981</v>
      </c>
    </row>
    <row r="104" spans="1:3" x14ac:dyDescent="0.25">
      <c r="A104" t="str">
        <f t="shared" si="3"/>
        <v>5.9100%</v>
      </c>
      <c r="B104">
        <f t="shared" si="4"/>
        <v>5.9100000000000069E-2</v>
      </c>
      <c r="C104">
        <v>978.43621111789832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heet11.black_scholes_sensitivity_in_r3">
                <anchor moveWithCells="1" sizeWithCells="1">
                  <from>
                    <xdr:col>4</xdr:col>
                    <xdr:colOff>57150</xdr:colOff>
                    <xdr:row>3</xdr:row>
                    <xdr:rowOff>66675</xdr:rowOff>
                  </from>
                  <to>
                    <xdr:col>5</xdr:col>
                    <xdr:colOff>419100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 me</vt:lpstr>
      <vt:lpstr>Parameter Page</vt:lpstr>
      <vt:lpstr>Changes in S1</vt:lpstr>
      <vt:lpstr>Proxy Delta_S1</vt:lpstr>
      <vt:lpstr>Proxy Delta_S2</vt:lpstr>
      <vt:lpstr>Proxy Delta_S3</vt:lpstr>
      <vt:lpstr>Changes in S2</vt:lpstr>
      <vt:lpstr>Changes in S3</vt:lpstr>
      <vt:lpstr>Changes in sigma_S1</vt:lpstr>
      <vt:lpstr>Proxy Vega 1</vt:lpstr>
      <vt:lpstr>Changes_in_sigma_S2</vt:lpstr>
      <vt:lpstr>Proxy vega 2</vt:lpstr>
      <vt:lpstr>Changes_in_sigma_S3</vt:lpstr>
      <vt:lpstr>Changes in r(1)</vt:lpstr>
      <vt:lpstr>Changes in r(2)</vt:lpstr>
      <vt:lpstr>changes in r(3)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LEUNG, Chi Shun</dc:creator>
  <cp:lastModifiedBy>CHENG, Tsun Him Kenneth</cp:lastModifiedBy>
  <dcterms:created xsi:type="dcterms:W3CDTF">2018-11-16T13:31:42Z</dcterms:created>
  <dcterms:modified xsi:type="dcterms:W3CDTF">2018-11-26T16:20:36Z</dcterms:modified>
</cp:coreProperties>
</file>