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\Desktop\Heston+Jump Calibration\UKX SVJ Calibration\"/>
    </mc:Choice>
  </mc:AlternateContent>
  <xr:revisionPtr revIDLastSave="0" documentId="13_ncr:1_{FE9E0D41-ADA6-4C0C-80C5-A580B74A5EB1}" xr6:coauthVersionLast="40" xr6:coauthVersionMax="40" xr10:uidLastSave="{00000000-0000-0000-0000-000000000000}"/>
  <bookViews>
    <workbookView xWindow="0" yWindow="0" windowWidth="19200" windowHeight="7440" xr2:uid="{00000000-000D-0000-FFFF-FFFF00000000}"/>
  </bookViews>
  <sheets>
    <sheet name="Calibration" sheetId="2" r:id="rId1"/>
    <sheet name="06_19_20 (1.5year) call" sheetId="14" r:id="rId2"/>
    <sheet name="12_20_19 (1year) call" sheetId="15" r:id="rId3"/>
    <sheet name="Parameter_dist" sheetId="10" r:id="rId4"/>
  </sheets>
  <functionGroups builtInGroupCount="19"/>
  <externalReferences>
    <externalReference r:id="rId5"/>
  </externalReferences>
  <definedNames>
    <definedName name="SpreadsheetBuilder_1" hidden="1">#REF!</definedName>
    <definedName name="SpreadsheetBuilder_4" hidden="1">#REF!</definedName>
    <definedName name="SpreadsheetBuilder_6" hidden="1">#REF!</definedName>
    <definedName name="SpreadsheetBuilder_8" hidden="1">#REF!</definedName>
    <definedName name="SpreadsheetBuilder_9" hidden="1">#REF!</definedName>
    <definedName name="test">Calibration!$D$10:$D$15</definedName>
    <definedName name="texst">Calibration!$D$10:$D$14</definedName>
    <definedName name="Weighting_Scheme">Calibration!$Z$5:$Z$6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38" i="2" l="1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N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35" i="15"/>
  <c r="J35" i="15" s="1"/>
  <c r="K35" i="15" s="1"/>
  <c r="L35" i="15" s="1"/>
  <c r="I34" i="15"/>
  <c r="J34" i="15" s="1"/>
  <c r="K34" i="15" s="1"/>
  <c r="L34" i="15" s="1"/>
  <c r="I33" i="15"/>
  <c r="J33" i="15" s="1"/>
  <c r="K33" i="15" s="1"/>
  <c r="L33" i="15" s="1"/>
  <c r="I32" i="15"/>
  <c r="J32" i="15" s="1"/>
  <c r="K32" i="15" s="1"/>
  <c r="L32" i="15" s="1"/>
  <c r="I31" i="15"/>
  <c r="J31" i="15" s="1"/>
  <c r="K31" i="15" s="1"/>
  <c r="L31" i="15" s="1"/>
  <c r="I30" i="15"/>
  <c r="J30" i="15" s="1"/>
  <c r="K30" i="15" s="1"/>
  <c r="L30" i="15" s="1"/>
  <c r="I29" i="15"/>
  <c r="J29" i="15" s="1"/>
  <c r="K29" i="15" s="1"/>
  <c r="L29" i="15" s="1"/>
  <c r="I28" i="15"/>
  <c r="J28" i="15" s="1"/>
  <c r="K28" i="15" s="1"/>
  <c r="L28" i="15" s="1"/>
  <c r="I27" i="15"/>
  <c r="J27" i="15" s="1"/>
  <c r="K27" i="15" s="1"/>
  <c r="L27" i="15" s="1"/>
  <c r="I26" i="15"/>
  <c r="J26" i="15" s="1"/>
  <c r="K26" i="15" s="1"/>
  <c r="L26" i="15" s="1"/>
  <c r="I25" i="15"/>
  <c r="J25" i="15" s="1"/>
  <c r="K25" i="15" s="1"/>
  <c r="L25" i="15" s="1"/>
  <c r="I24" i="15"/>
  <c r="J24" i="15" s="1"/>
  <c r="K24" i="15" s="1"/>
  <c r="L24" i="15" s="1"/>
  <c r="I23" i="15"/>
  <c r="J23" i="15" s="1"/>
  <c r="K23" i="15" s="1"/>
  <c r="L23" i="15" s="1"/>
  <c r="I22" i="15"/>
  <c r="J22" i="15" s="1"/>
  <c r="K22" i="15" s="1"/>
  <c r="L22" i="15" s="1"/>
  <c r="I21" i="15"/>
  <c r="J21" i="15" s="1"/>
  <c r="K21" i="15" s="1"/>
  <c r="L21" i="15" s="1"/>
  <c r="I20" i="15"/>
  <c r="J20" i="15" s="1"/>
  <c r="K20" i="15" s="1"/>
  <c r="L20" i="15" s="1"/>
  <c r="I19" i="15"/>
  <c r="J19" i="15" s="1"/>
  <c r="K19" i="15" s="1"/>
  <c r="L19" i="15" s="1"/>
  <c r="I18" i="15"/>
  <c r="J18" i="15" s="1"/>
  <c r="K18" i="15" s="1"/>
  <c r="L18" i="15" s="1"/>
  <c r="I17" i="15"/>
  <c r="J17" i="15" s="1"/>
  <c r="K17" i="15" s="1"/>
  <c r="L17" i="15" s="1"/>
  <c r="I16" i="15"/>
  <c r="J16" i="15" s="1"/>
  <c r="K16" i="15" s="1"/>
  <c r="L16" i="15" s="1"/>
  <c r="I15" i="15"/>
  <c r="J15" i="15" s="1"/>
  <c r="K15" i="15" s="1"/>
  <c r="L15" i="15" s="1"/>
  <c r="I14" i="15"/>
  <c r="J14" i="15" s="1"/>
  <c r="K14" i="15" s="1"/>
  <c r="L14" i="15" s="1"/>
  <c r="I13" i="15"/>
  <c r="J13" i="15" s="1"/>
  <c r="K13" i="15" s="1"/>
  <c r="L13" i="15" s="1"/>
  <c r="I12" i="15"/>
  <c r="J12" i="15" s="1"/>
  <c r="K12" i="15" s="1"/>
  <c r="L12" i="15" s="1"/>
  <c r="I11" i="15"/>
  <c r="J11" i="15" s="1"/>
  <c r="K11" i="15" s="1"/>
  <c r="L11" i="15" s="1"/>
  <c r="I10" i="15"/>
  <c r="J10" i="15" s="1"/>
  <c r="K10" i="15" s="1"/>
  <c r="L10" i="15" s="1"/>
  <c r="I9" i="15"/>
  <c r="J9" i="15" s="1"/>
  <c r="K9" i="15" s="1"/>
  <c r="L9" i="15" s="1"/>
  <c r="I8" i="15"/>
  <c r="J8" i="15" s="1"/>
  <c r="K8" i="15" s="1"/>
  <c r="L8" i="15" s="1"/>
  <c r="I7" i="15"/>
  <c r="J7" i="15" s="1"/>
  <c r="K7" i="15" s="1"/>
  <c r="L7" i="15" s="1"/>
  <c r="I6" i="15"/>
  <c r="J6" i="15" s="1"/>
  <c r="K6" i="15" s="1"/>
  <c r="L6" i="15" s="1"/>
  <c r="I5" i="15"/>
  <c r="J5" i="15" s="1"/>
  <c r="K5" i="15" s="1"/>
  <c r="L5" i="15" s="1"/>
  <c r="I4" i="15"/>
  <c r="J4" i="15" s="1"/>
  <c r="K4" i="15" s="1"/>
  <c r="L4" i="15" s="1"/>
  <c r="O3" i="15"/>
  <c r="I3" i="15"/>
  <c r="J3" i="15" s="1"/>
  <c r="K3" i="15" s="1"/>
  <c r="L3" i="15" s="1"/>
  <c r="I19" i="14"/>
  <c r="J19" i="14" s="1"/>
  <c r="K19" i="14" s="1"/>
  <c r="L19" i="14" s="1"/>
  <c r="I18" i="14"/>
  <c r="J18" i="14" s="1"/>
  <c r="K18" i="14" s="1"/>
  <c r="L18" i="14" s="1"/>
  <c r="I17" i="14"/>
  <c r="J17" i="14" s="1"/>
  <c r="K17" i="14" s="1"/>
  <c r="L17" i="14" s="1"/>
  <c r="I16" i="14"/>
  <c r="J16" i="14" s="1"/>
  <c r="K16" i="14" s="1"/>
  <c r="L16" i="14" s="1"/>
  <c r="I15" i="14"/>
  <c r="J15" i="14" s="1"/>
  <c r="K15" i="14" s="1"/>
  <c r="L15" i="14" s="1"/>
  <c r="I14" i="14"/>
  <c r="J14" i="14" s="1"/>
  <c r="K14" i="14" s="1"/>
  <c r="L14" i="14" s="1"/>
  <c r="I13" i="14"/>
  <c r="J13" i="14" s="1"/>
  <c r="K13" i="14" s="1"/>
  <c r="L13" i="14" s="1"/>
  <c r="I12" i="14"/>
  <c r="J12" i="14" s="1"/>
  <c r="K12" i="14" s="1"/>
  <c r="L12" i="14" s="1"/>
  <c r="I11" i="14"/>
  <c r="J11" i="14" s="1"/>
  <c r="K11" i="14" s="1"/>
  <c r="L11" i="14" s="1"/>
  <c r="I10" i="14"/>
  <c r="J10" i="14" s="1"/>
  <c r="K10" i="14" s="1"/>
  <c r="L10" i="14" s="1"/>
  <c r="I9" i="14"/>
  <c r="J9" i="14" s="1"/>
  <c r="K9" i="14" s="1"/>
  <c r="L9" i="14" s="1"/>
  <c r="I8" i="14"/>
  <c r="J8" i="14" s="1"/>
  <c r="K8" i="14" s="1"/>
  <c r="L8" i="14" s="1"/>
  <c r="I7" i="14"/>
  <c r="J7" i="14" s="1"/>
  <c r="K7" i="14" s="1"/>
  <c r="L7" i="14" s="1"/>
  <c r="I6" i="14"/>
  <c r="J6" i="14" s="1"/>
  <c r="K6" i="14" s="1"/>
  <c r="L6" i="14" s="1"/>
  <c r="I5" i="14"/>
  <c r="J5" i="14" s="1"/>
  <c r="K5" i="14" s="1"/>
  <c r="L5" i="14" s="1"/>
  <c r="I4" i="14"/>
  <c r="J4" i="14" s="1"/>
  <c r="K4" i="14" s="1"/>
  <c r="L4" i="14" s="1"/>
  <c r="O3" i="14"/>
  <c r="I3" i="14"/>
  <c r="J3" i="14" s="1"/>
  <c r="K3" i="14" s="1"/>
  <c r="L3" i="14" s="1"/>
  <c r="A4" i="10" l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3" i="10"/>
  <c r="AC3" i="2" l="1"/>
  <c r="AB7" i="2" l="1"/>
  <c r="AC7" i="2" s="1"/>
  <c r="AD7" i="2" s="1"/>
  <c r="AB8" i="2"/>
  <c r="AC8" i="2" s="1"/>
  <c r="AD8" i="2" s="1"/>
  <c r="AB12" i="2"/>
  <c r="AC12" i="2" s="1"/>
  <c r="AD12" i="2" s="1"/>
  <c r="AB16" i="2"/>
  <c r="AC16" i="2" s="1"/>
  <c r="AD16" i="2" s="1"/>
  <c r="AB20" i="2"/>
  <c r="AC20" i="2" s="1"/>
  <c r="AD20" i="2" s="1"/>
  <c r="AB24" i="2"/>
  <c r="AC24" i="2" s="1"/>
  <c r="AD24" i="2" s="1"/>
  <c r="AB28" i="2"/>
  <c r="AC28" i="2" s="1"/>
  <c r="AD28" i="2" s="1"/>
  <c r="AB32" i="2"/>
  <c r="AC32" i="2" s="1"/>
  <c r="AD32" i="2" s="1"/>
  <c r="AB36" i="2"/>
  <c r="AC36" i="2" s="1"/>
  <c r="AD36" i="2" s="1"/>
  <c r="AB40" i="2"/>
  <c r="AC40" i="2" s="1"/>
  <c r="AD40" i="2" s="1"/>
  <c r="AB44" i="2"/>
  <c r="AC44" i="2" s="1"/>
  <c r="AD44" i="2" s="1"/>
  <c r="AB48" i="2"/>
  <c r="AC48" i="2" s="1"/>
  <c r="AD48" i="2" s="1"/>
  <c r="AB52" i="2"/>
  <c r="AC52" i="2" s="1"/>
  <c r="AD52" i="2" s="1"/>
  <c r="AB56" i="2"/>
  <c r="AC56" i="2" s="1"/>
  <c r="AD56" i="2" s="1"/>
  <c r="AB60" i="2"/>
  <c r="AC60" i="2" s="1"/>
  <c r="AD60" i="2" s="1"/>
  <c r="AB9" i="2"/>
  <c r="AC9" i="2" s="1"/>
  <c r="AD9" i="2" s="1"/>
  <c r="AB13" i="2"/>
  <c r="AC13" i="2" s="1"/>
  <c r="AD13" i="2" s="1"/>
  <c r="AB17" i="2"/>
  <c r="AC17" i="2" s="1"/>
  <c r="AD17" i="2" s="1"/>
  <c r="AB21" i="2"/>
  <c r="AC21" i="2" s="1"/>
  <c r="AD21" i="2" s="1"/>
  <c r="AB25" i="2"/>
  <c r="AC25" i="2" s="1"/>
  <c r="AD25" i="2" s="1"/>
  <c r="AB29" i="2"/>
  <c r="AC29" i="2" s="1"/>
  <c r="AD29" i="2" s="1"/>
  <c r="AB33" i="2"/>
  <c r="AC33" i="2" s="1"/>
  <c r="AD33" i="2" s="1"/>
  <c r="AB37" i="2"/>
  <c r="AC37" i="2" s="1"/>
  <c r="AD37" i="2" s="1"/>
  <c r="AB41" i="2"/>
  <c r="AC41" i="2" s="1"/>
  <c r="AD41" i="2" s="1"/>
  <c r="AB45" i="2"/>
  <c r="AC45" i="2" s="1"/>
  <c r="AD45" i="2" s="1"/>
  <c r="AB49" i="2"/>
  <c r="AC49" i="2" s="1"/>
  <c r="AD49" i="2" s="1"/>
  <c r="AB53" i="2"/>
  <c r="AC53" i="2" s="1"/>
  <c r="AD53" i="2" s="1"/>
  <c r="AB57" i="2"/>
  <c r="AC57" i="2" s="1"/>
  <c r="AD57" i="2" s="1"/>
  <c r="AB61" i="2"/>
  <c r="AC61" i="2" s="1"/>
  <c r="AD61" i="2" s="1"/>
  <c r="AB10" i="2"/>
  <c r="AC10" i="2" s="1"/>
  <c r="AD10" i="2" s="1"/>
  <c r="AB14" i="2"/>
  <c r="AC14" i="2" s="1"/>
  <c r="AD14" i="2" s="1"/>
  <c r="AB18" i="2"/>
  <c r="AC18" i="2" s="1"/>
  <c r="AD18" i="2" s="1"/>
  <c r="AB22" i="2"/>
  <c r="AC22" i="2" s="1"/>
  <c r="AD22" i="2" s="1"/>
  <c r="AB26" i="2"/>
  <c r="AC26" i="2" s="1"/>
  <c r="AD26" i="2" s="1"/>
  <c r="AB30" i="2"/>
  <c r="AC30" i="2" s="1"/>
  <c r="AD30" i="2" s="1"/>
  <c r="AB34" i="2"/>
  <c r="AC34" i="2" s="1"/>
  <c r="AD34" i="2" s="1"/>
  <c r="AB38" i="2"/>
  <c r="AC38" i="2" s="1"/>
  <c r="AD38" i="2" s="1"/>
  <c r="AB42" i="2"/>
  <c r="AC42" i="2" s="1"/>
  <c r="AD42" i="2" s="1"/>
  <c r="AB46" i="2"/>
  <c r="AC46" i="2" s="1"/>
  <c r="AD46" i="2" s="1"/>
  <c r="AB50" i="2"/>
  <c r="AC50" i="2" s="1"/>
  <c r="AD50" i="2" s="1"/>
  <c r="AB54" i="2"/>
  <c r="AC54" i="2" s="1"/>
  <c r="AD54" i="2" s="1"/>
  <c r="AB58" i="2"/>
  <c r="AC58" i="2" s="1"/>
  <c r="AD58" i="2" s="1"/>
  <c r="AB6" i="2"/>
  <c r="AC6" i="2" s="1"/>
  <c r="AD6" i="2" s="1"/>
  <c r="AB11" i="2"/>
  <c r="AC11" i="2" s="1"/>
  <c r="AD11" i="2" s="1"/>
  <c r="AB15" i="2"/>
  <c r="AC15" i="2" s="1"/>
  <c r="AD15" i="2" s="1"/>
  <c r="AB19" i="2"/>
  <c r="AC19" i="2" s="1"/>
  <c r="AD19" i="2" s="1"/>
  <c r="AB23" i="2"/>
  <c r="AC23" i="2" s="1"/>
  <c r="AD23" i="2" s="1"/>
  <c r="AB27" i="2"/>
  <c r="AC27" i="2" s="1"/>
  <c r="AD27" i="2" s="1"/>
  <c r="AB31" i="2"/>
  <c r="AC31" i="2" s="1"/>
  <c r="AD31" i="2" s="1"/>
  <c r="AB35" i="2"/>
  <c r="AC35" i="2" s="1"/>
  <c r="AD35" i="2" s="1"/>
  <c r="AB39" i="2"/>
  <c r="AC39" i="2" s="1"/>
  <c r="AD39" i="2" s="1"/>
  <c r="AB43" i="2"/>
  <c r="AC43" i="2" s="1"/>
  <c r="AD43" i="2" s="1"/>
  <c r="AB47" i="2"/>
  <c r="AC47" i="2" s="1"/>
  <c r="AD47" i="2" s="1"/>
  <c r="AB51" i="2"/>
  <c r="AC51" i="2" s="1"/>
  <c r="AD51" i="2" s="1"/>
  <c r="AB55" i="2"/>
  <c r="AC55" i="2" s="1"/>
  <c r="AD55" i="2" s="1"/>
  <c r="AB59" i="2"/>
  <c r="AC59" i="2" s="1"/>
  <c r="AD59" i="2" s="1"/>
  <c r="AB5" i="2"/>
  <c r="AC5" i="2" s="1"/>
  <c r="AD5" i="2" s="1"/>
  <c r="F6" i="2" l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C28" i="2"/>
  <c r="V45" i="2"/>
  <c r="V33" i="2"/>
  <c r="V56" i="2"/>
  <c r="V29" i="2"/>
  <c r="V83" i="2"/>
  <c r="V47" i="2"/>
  <c r="V26" i="2"/>
  <c r="V40" i="2"/>
  <c r="V77" i="2"/>
  <c r="V25" i="2"/>
  <c r="V37" i="2"/>
  <c r="V44" i="2"/>
  <c r="V24" i="2"/>
  <c r="V85" i="2"/>
  <c r="V68" i="2"/>
  <c r="V70" i="2"/>
  <c r="V82" i="2"/>
  <c r="V30" i="2"/>
  <c r="V39" i="2"/>
  <c r="V59" i="2"/>
  <c r="V88" i="2"/>
  <c r="V52" i="2"/>
  <c r="V66" i="2"/>
  <c r="V86" i="2"/>
  <c r="V61" i="2"/>
  <c r="V34" i="2"/>
  <c r="V42" i="2"/>
  <c r="V46" i="2"/>
  <c r="V48" i="2"/>
  <c r="V41" i="2"/>
  <c r="V35" i="2"/>
  <c r="V36" i="2"/>
  <c r="V79" i="2"/>
  <c r="V80" i="2"/>
  <c r="V28" i="2"/>
  <c r="V76" i="2"/>
  <c r="V75" i="2"/>
  <c r="V53" i="2"/>
  <c r="V54" i="2"/>
  <c r="V87" i="2"/>
  <c r="V38" i="2"/>
  <c r="V62" i="2"/>
  <c r="V60" i="2"/>
  <c r="V84" i="2"/>
  <c r="V32" i="2"/>
  <c r="V55" i="2"/>
  <c r="V65" i="2"/>
  <c r="V58" i="2"/>
  <c r="V74" i="2"/>
  <c r="V63" i="2"/>
  <c r="V71" i="2"/>
  <c r="V43" i="2"/>
  <c r="V72" i="2"/>
  <c r="V64" i="2"/>
  <c r="V67" i="2"/>
  <c r="V27" i="2"/>
  <c r="V49" i="2"/>
  <c r="V57" i="2"/>
  <c r="V78" i="2"/>
  <c r="V51" i="2"/>
  <c r="V31" i="2"/>
  <c r="V69" i="2"/>
  <c r="V81" i="2"/>
  <c r="V23" i="2"/>
  <c r="V73" i="2"/>
  <c r="V50" i="2"/>
  <c r="V16" i="2"/>
  <c r="V8" i="2"/>
  <c r="V11" i="2"/>
  <c r="V10" i="2"/>
  <c r="V17" i="2"/>
  <c r="V20" i="2"/>
  <c r="V12" i="2"/>
  <c r="V7" i="2"/>
  <c r="V18" i="2"/>
  <c r="V13" i="2"/>
  <c r="V14" i="2"/>
  <c r="V6" i="2"/>
  <c r="V22" i="2"/>
  <c r="V21" i="2"/>
  <c r="V15" i="2"/>
  <c r="V9" i="2"/>
  <c r="V19" i="2"/>
  <c r="V5" i="2"/>
  <c r="C5" i="2" l="1"/>
  <c r="V2" i="2"/>
  <c r="N19" i="2" l="1"/>
  <c r="N15" i="2"/>
  <c r="N11" i="2"/>
  <c r="N7" i="2"/>
  <c r="N17" i="2"/>
  <c r="N16" i="2"/>
  <c r="N8" i="2"/>
  <c r="N18" i="2"/>
  <c r="N14" i="2"/>
  <c r="N10" i="2"/>
  <c r="N6" i="2"/>
  <c r="N5" i="2"/>
  <c r="N13" i="2"/>
  <c r="N9" i="2"/>
  <c r="N12" i="2"/>
  <c r="W87" i="2"/>
  <c r="W85" i="2"/>
  <c r="W83" i="2"/>
  <c r="W84" i="2"/>
  <c r="W88" i="2"/>
  <c r="W86" i="2"/>
  <c r="W7" i="2"/>
  <c r="W81" i="2"/>
  <c r="W79" i="2"/>
  <c r="W77" i="2"/>
  <c r="W75" i="2"/>
  <c r="W73" i="2"/>
  <c r="W71" i="2"/>
  <c r="W69" i="2"/>
  <c r="W67" i="2"/>
  <c r="W65" i="2"/>
  <c r="W82" i="2"/>
  <c r="W80" i="2"/>
  <c r="W78" i="2"/>
  <c r="W76" i="2"/>
  <c r="W74" i="2"/>
  <c r="W72" i="2"/>
  <c r="W70" i="2"/>
  <c r="W68" i="2"/>
  <c r="W66" i="2"/>
  <c r="W60" i="2"/>
  <c r="W64" i="2"/>
  <c r="W56" i="2"/>
  <c r="W48" i="2"/>
  <c r="W41" i="2"/>
  <c r="W33" i="2"/>
  <c r="W25" i="2"/>
  <c r="W61" i="2"/>
  <c r="W53" i="2"/>
  <c r="W44" i="2"/>
  <c r="W36" i="2"/>
  <c r="W28" i="2"/>
  <c r="W20" i="2"/>
  <c r="W12" i="2"/>
  <c r="W19" i="2"/>
  <c r="W11" i="2"/>
  <c r="W52" i="2"/>
  <c r="W45" i="2"/>
  <c r="W37" i="2"/>
  <c r="W29" i="2"/>
  <c r="W21" i="2"/>
  <c r="W57" i="2"/>
  <c r="W49" i="2"/>
  <c r="W40" i="2"/>
  <c r="W32" i="2"/>
  <c r="W24" i="2"/>
  <c r="W16" i="2"/>
  <c r="W8" i="2"/>
  <c r="W15" i="2"/>
  <c r="W62" i="2"/>
  <c r="W58" i="2"/>
  <c r="W54" i="2"/>
  <c r="W50" i="2"/>
  <c r="W46" i="2"/>
  <c r="W43" i="2"/>
  <c r="W39" i="2"/>
  <c r="W35" i="2"/>
  <c r="W31" i="2"/>
  <c r="W27" i="2"/>
  <c r="W23" i="2"/>
  <c r="W63" i="2"/>
  <c r="W59" i="2"/>
  <c r="W55" i="2"/>
  <c r="W51" i="2"/>
  <c r="W47" i="2"/>
  <c r="W42" i="2"/>
  <c r="W38" i="2"/>
  <c r="W34" i="2"/>
  <c r="W30" i="2"/>
  <c r="W26" i="2"/>
  <c r="W22" i="2"/>
  <c r="W18" i="2"/>
  <c r="W14" i="2"/>
  <c r="W10" i="2"/>
  <c r="W6" i="2"/>
  <c r="W17" i="2"/>
  <c r="W13" i="2"/>
  <c r="W9" i="2"/>
  <c r="W5" i="2"/>
</calcChain>
</file>

<file path=xl/sharedStrings.xml><?xml version="1.0" encoding="utf-8"?>
<sst xmlns="http://schemas.openxmlformats.org/spreadsheetml/2006/main" count="163" uniqueCount="128">
  <si>
    <t>Calibration Date</t>
    <phoneticPr fontId="1" type="noConversion"/>
  </si>
  <si>
    <t>Market parameters</t>
    <phoneticPr fontId="1" type="noConversion"/>
  </si>
  <si>
    <t>Current Spot</t>
    <phoneticPr fontId="1" type="noConversion"/>
  </si>
  <si>
    <t>Parameter Bounds</t>
    <phoneticPr fontId="1" type="noConversion"/>
  </si>
  <si>
    <t>Lower</t>
    <phoneticPr fontId="1" type="noConversion"/>
  </si>
  <si>
    <t>κ</t>
    <phoneticPr fontId="1" type="noConversion"/>
  </si>
  <si>
    <t>θ</t>
    <phoneticPr fontId="1" type="noConversion"/>
  </si>
  <si>
    <t>ε</t>
    <phoneticPr fontId="1" type="noConversion"/>
  </si>
  <si>
    <t>ρ</t>
    <phoneticPr fontId="1" type="noConversion"/>
  </si>
  <si>
    <t>Upper</t>
    <phoneticPr fontId="1" type="noConversion"/>
  </si>
  <si>
    <t>DE settings</t>
    <phoneticPr fontId="1" type="noConversion"/>
  </si>
  <si>
    <t>No. of Population</t>
    <phoneticPr fontId="1" type="noConversion"/>
  </si>
  <si>
    <t>No. of Generation</t>
    <phoneticPr fontId="1" type="noConversion"/>
  </si>
  <si>
    <t>Crossover Rate</t>
    <phoneticPr fontId="1" type="noConversion"/>
  </si>
  <si>
    <t>Mutation Scale (F)</t>
    <phoneticPr fontId="1" type="noConversion"/>
  </si>
  <si>
    <t>Stopping Precision</t>
    <phoneticPr fontId="1" type="noConversion"/>
  </si>
  <si>
    <t>Observation Table</t>
    <phoneticPr fontId="1" type="noConversion"/>
  </si>
  <si>
    <t>No.</t>
    <phoneticPr fontId="1" type="noConversion"/>
  </si>
  <si>
    <t>Strike</t>
    <phoneticPr fontId="1" type="noConversion"/>
  </si>
  <si>
    <t>Type</t>
    <phoneticPr fontId="1" type="noConversion"/>
  </si>
  <si>
    <t>Time to Maturity</t>
    <phoneticPr fontId="1" type="noConversion"/>
  </si>
  <si>
    <t>Weight</t>
    <phoneticPr fontId="1" type="noConversion"/>
  </si>
  <si>
    <t>Weighting Scheme</t>
    <phoneticPr fontId="1" type="noConversion"/>
  </si>
  <si>
    <t>Volatility</t>
  </si>
  <si>
    <t>USDHKD</t>
  </si>
  <si>
    <t>EURUSD</t>
  </si>
  <si>
    <t>USDCNY</t>
  </si>
  <si>
    <t>AUDUSD</t>
  </si>
  <si>
    <t>GBPUSD</t>
  </si>
  <si>
    <t>NZDUSD</t>
  </si>
  <si>
    <t>USDCHF</t>
  </si>
  <si>
    <t>USDJPY</t>
  </si>
  <si>
    <t>CHFHKD</t>
  </si>
  <si>
    <t>Vega</t>
    <phoneticPr fontId="1" type="noConversion"/>
  </si>
  <si>
    <t>Output</t>
    <phoneticPr fontId="1" type="noConversion"/>
  </si>
  <si>
    <t>Equal</t>
    <phoneticPr fontId="1" type="noConversion"/>
  </si>
  <si>
    <t>Vega</t>
    <phoneticPr fontId="1" type="noConversion"/>
  </si>
  <si>
    <t>E. Weight</t>
  </si>
  <si>
    <t>V. Weight</t>
  </si>
  <si>
    <t>Model Price</t>
    <phoneticPr fontId="1" type="noConversion"/>
  </si>
  <si>
    <t>Market Price</t>
    <phoneticPr fontId="1" type="noConversion"/>
  </si>
  <si>
    <t>Difference</t>
    <phoneticPr fontId="1" type="noConversion"/>
  </si>
  <si>
    <t>% Error</t>
    <phoneticPr fontId="1" type="noConversion"/>
  </si>
  <si>
    <t>Market Option Price</t>
    <phoneticPr fontId="1" type="noConversion"/>
  </si>
  <si>
    <r>
      <t>V</t>
    </r>
    <r>
      <rPr>
        <b/>
        <vertAlign val="subscript"/>
        <sz val="12"/>
        <color theme="1"/>
        <rFont val="Arial"/>
        <family val="2"/>
      </rPr>
      <t>0</t>
    </r>
  </si>
  <si>
    <t>Index Name</t>
  </si>
  <si>
    <t>Observed data</t>
  </si>
  <si>
    <t>UKX</t>
  </si>
  <si>
    <t>UK interest rate</t>
  </si>
  <si>
    <t>d2</t>
  </si>
  <si>
    <t>d1</t>
  </si>
  <si>
    <t>price</t>
  </si>
  <si>
    <t>imp vol</t>
  </si>
  <si>
    <t>var</t>
  </si>
  <si>
    <t>λ</t>
  </si>
  <si>
    <t>μ</t>
  </si>
  <si>
    <t>σ</t>
  </si>
  <si>
    <t>recal sample size</t>
  </si>
  <si>
    <t>q</t>
  </si>
  <si>
    <t>Strike</t>
  </si>
  <si>
    <t>Ticker</t>
  </si>
  <si>
    <t>Mid</t>
  </si>
  <si>
    <t>Last</t>
  </si>
  <si>
    <t>IVM</t>
  </si>
  <si>
    <t>Volm</t>
  </si>
  <si>
    <t>sDM</t>
  </si>
  <si>
    <t>VL</t>
  </si>
  <si>
    <t>BS call price</t>
  </si>
  <si>
    <t>S_0</t>
  </si>
  <si>
    <t>From Bloomberg</t>
  </si>
  <si>
    <t>19-Jun-20 (578d); CSize 10</t>
  </si>
  <si>
    <t>r</t>
  </si>
  <si>
    <t>From https://www.investing.com/rates-bonds/uk-2-year-bond-yield</t>
  </si>
  <si>
    <t>UKX 6/19/20 C6300</t>
  </si>
  <si>
    <t>T</t>
  </si>
  <si>
    <t>UKX 6/19/20 C6400</t>
  </si>
  <si>
    <t>UKX 6/19/20 C6500</t>
  </si>
  <si>
    <t>UKX 6/19/20 C6600</t>
  </si>
  <si>
    <t>UKX 6/19/20 C6700</t>
  </si>
  <si>
    <t>UKX 6/19/20 C6800</t>
  </si>
  <si>
    <t>UKX 6/19/20 C6900</t>
  </si>
  <si>
    <t>UKX 6/19/20 C7000</t>
  </si>
  <si>
    <t>UKX 6/19/20 C7100</t>
  </si>
  <si>
    <t>UKX 6/19/20 C7200</t>
  </si>
  <si>
    <t>UKX 6/19/20 C7300</t>
  </si>
  <si>
    <t>UKX 6/19/20 C7350</t>
  </si>
  <si>
    <t>UKX 6/19/20 C7400</t>
  </si>
  <si>
    <t>UKX 6/19/20 C7500</t>
  </si>
  <si>
    <t>UKX 6/19/20 C7600</t>
  </si>
  <si>
    <t>UKX 6/19/20 C7700</t>
  </si>
  <si>
    <t>UKX 6/19/20 C7800</t>
  </si>
  <si>
    <t>20-Dec-19 (396d); CSize 10</t>
  </si>
  <si>
    <t>From https://www.investing.com/rates-bonds/uk-1-year-bond-yield</t>
  </si>
  <si>
    <t>UKX 12/20/19 C6200</t>
  </si>
  <si>
    <t>UKX 12/20/19 C6250</t>
  </si>
  <si>
    <t>UKX 12/20/19 C6275</t>
  </si>
  <si>
    <t>UKX 12/20/19 C6300</t>
  </si>
  <si>
    <t>UKX 12/20/19 C6350</t>
  </si>
  <si>
    <t>UKX 12/20/19 C6400</t>
  </si>
  <si>
    <t>UKX 12/20/19 C6430</t>
  </si>
  <si>
    <t>UKX 12/20/19 C6490</t>
  </si>
  <si>
    <t>UKX 12/20/19 C6500</t>
  </si>
  <si>
    <t>UKX 12/20/19 C6550</t>
  </si>
  <si>
    <t>UKX 12/20/19 C6600</t>
  </si>
  <si>
    <t>UKX 12/20/19 C6700</t>
  </si>
  <si>
    <t>UKX 12/20/19 C6800</t>
  </si>
  <si>
    <t>UKX 12/20/19 C6900</t>
  </si>
  <si>
    <t>UKX 12/20/19 C7000</t>
  </si>
  <si>
    <t>UKX 12/20/19 C7049</t>
  </si>
  <si>
    <t>UKX 12/20/19 C7050</t>
  </si>
  <si>
    <t>UKX 12/20/19 C7100</t>
  </si>
  <si>
    <t>UKX 12/20/19 C7150</t>
  </si>
  <si>
    <t>UKX 12/20/19 C7200</t>
  </si>
  <si>
    <t>UKX 12/20/19 C7250</t>
  </si>
  <si>
    <t>UKX 12/20/19 C7270</t>
  </si>
  <si>
    <t>UKX 12/20/19 C7300</t>
  </si>
  <si>
    <t>UKX 12/20/19 C7337</t>
  </si>
  <si>
    <t>UKX 12/20/19 C7350</t>
  </si>
  <si>
    <t>UKX 12/20/19 C7400</t>
  </si>
  <si>
    <t>UKX 12/20/19 C7500</t>
  </si>
  <si>
    <t>UKX 12/20/19 C7600</t>
  </si>
  <si>
    <t>UKX 12/20/19 C7700</t>
  </si>
  <si>
    <t>UKX 12/20/19 C7800</t>
  </si>
  <si>
    <t>UKX 12/20/19 C7900</t>
  </si>
  <si>
    <t>UKX 12/20/19 C8000</t>
  </si>
  <si>
    <t>UKX 12/20/19 C8100</t>
  </si>
  <si>
    <t>Stock Price</t>
  </si>
  <si>
    <t>Equal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</si>
</sst>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%"/>
  </numFmts>
  <fonts count="14">
    <font>
      <sz val="11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1"/>
      <color rgb="FF000000"/>
      <name val="Trebuchet MS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2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4F81BD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>
      <alignment horizontal="left" wrapText="1"/>
    </xf>
    <xf numFmtId="0" fontId="8" fillId="0" borderId="0"/>
    <xf numFmtId="9" fontId="9" fillId="0" borderId="0" applyFont="0" applyFill="0" applyBorder="0" applyAlignment="0" applyProtection="0"/>
    <xf numFmtId="0" fontId="8" fillId="0" borderId="0"/>
    <xf numFmtId="0" fontId="12" fillId="4" borderId="0"/>
  </cellStyleXfs>
  <cellXfs count="61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0" fontId="4" fillId="3" borderId="6" xfId="0" applyNumberFormat="1" applyFont="1" applyFill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10" fontId="4" fillId="3" borderId="7" xfId="0" applyNumberFormat="1" applyFont="1" applyFill="1" applyBorder="1" applyAlignment="1">
      <alignment horizontal="center" vertical="center"/>
    </xf>
    <xf numFmtId="164" fontId="4" fillId="3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2"/>
    <xf numFmtId="165" fontId="4" fillId="0" borderId="0" xfId="3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4" borderId="0" xfId="5" applyNumberFormat="1" applyFont="1" applyFill="1" applyBorder="1" applyAlignment="1" applyProtection="1"/>
    <xf numFmtId="0" fontId="12" fillId="4" borderId="21" xfId="5" applyNumberFormat="1" applyFont="1" applyFill="1" applyBorder="1" applyAlignment="1" applyProtection="1"/>
    <xf numFmtId="0" fontId="8" fillId="0" borderId="22" xfId="2" applyBorder="1"/>
    <xf numFmtId="0" fontId="13" fillId="0" borderId="0" xfId="5" applyNumberFormat="1" applyFont="1" applyFill="1" applyBorder="1" applyAlignment="1" applyProtection="1"/>
    <xf numFmtId="0" fontId="8" fillId="0" borderId="0" xfId="2"/>
    <xf numFmtId="0" fontId="12" fillId="4" borderId="19" xfId="5" applyNumberFormat="1" applyFont="1" applyFill="1" applyBorder="1" applyAlignment="1" applyProtection="1"/>
    <xf numFmtId="0" fontId="8" fillId="0" borderId="5" xfId="2" applyNumberFormat="1" applyBorder="1"/>
    <xf numFmtId="0" fontId="12" fillId="4" borderId="20" xfId="5" applyNumberFormat="1" applyFont="1" applyFill="1" applyBorder="1" applyAlignment="1" applyProtection="1"/>
    <xf numFmtId="0" fontId="8" fillId="0" borderId="9" xfId="2" applyNumberFormat="1" applyBorder="1"/>
    <xf numFmtId="14" fontId="8" fillId="0" borderId="0" xfId="2" applyNumberFormat="1"/>
    <xf numFmtId="0" fontId="8" fillId="0" borderId="23" xfId="2" applyBorder="1"/>
    <xf numFmtId="0" fontId="8" fillId="0" borderId="24" xfId="2" applyBorder="1"/>
    <xf numFmtId="0" fontId="8" fillId="0" borderId="25" xfId="2" applyBorder="1"/>
    <xf numFmtId="0" fontId="8" fillId="0" borderId="0" xfId="2" applyBorder="1"/>
    <xf numFmtId="0" fontId="8" fillId="0" borderId="5" xfId="2" applyBorder="1"/>
    <xf numFmtId="0" fontId="8" fillId="0" borderId="0" xfId="2" applyFill="1" applyBorder="1"/>
    <xf numFmtId="0" fontId="8" fillId="0" borderId="26" xfId="2" applyBorder="1"/>
    <xf numFmtId="0" fontId="8" fillId="0" borderId="8" xfId="2" applyBorder="1"/>
    <xf numFmtId="0" fontId="8" fillId="0" borderId="9" xfId="2" applyBorder="1"/>
    <xf numFmtId="10" fontId="8" fillId="0" borderId="5" xfId="2" applyNumberFormat="1" applyBorder="1"/>
  </cellXfs>
  <cellStyles count="6">
    <cellStyle name="blp_column_header" xfId="5" xr:uid="{A75E81D1-1969-4F0C-9CDF-0C21D543648A}"/>
    <cellStyle name="Normal" xfId="0" builtinId="0"/>
    <cellStyle name="Normal 2" xfId="1" xr:uid="{00000000-0005-0000-0000-000001000000}"/>
    <cellStyle name="Normal 3" xfId="2" xr:uid="{00000000-0005-0000-0000-000002000000}"/>
    <cellStyle name="Normal 4" xfId="4" xr:uid="{F321AE42-1A5C-44E9-B54A-B09E244B71A4}"/>
    <cellStyle name="Percent" xfId="3" builtinId="5"/>
  </cellStyles>
  <dxfs count="0"/>
  <tableStyles count="0" defaultTableStyle="TableStyleMedium9" defaultPivotStyle="PivotStyleLight16"/>
  <colors>
    <mruColors>
      <color rgb="FFCCFFCC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UKX BS Call price (1.5 years)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'06_19_20 (1.5year) call'!$I$5:$I$18</c:f>
              <c:numCache>
                <c:formatCode>General</c:formatCode>
                <c:ptCount val="14"/>
                <c:pt idx="0">
                  <c:v>6500</c:v>
                </c:pt>
                <c:pt idx="1">
                  <c:v>6600</c:v>
                </c:pt>
                <c:pt idx="2">
                  <c:v>6700</c:v>
                </c:pt>
                <c:pt idx="3">
                  <c:v>6800</c:v>
                </c:pt>
                <c:pt idx="4">
                  <c:v>6900</c:v>
                </c:pt>
                <c:pt idx="5">
                  <c:v>7000</c:v>
                </c:pt>
                <c:pt idx="6">
                  <c:v>7100</c:v>
                </c:pt>
                <c:pt idx="7">
                  <c:v>7200</c:v>
                </c:pt>
                <c:pt idx="8">
                  <c:v>7300</c:v>
                </c:pt>
                <c:pt idx="9">
                  <c:v>7350</c:v>
                </c:pt>
                <c:pt idx="10">
                  <c:v>7400</c:v>
                </c:pt>
                <c:pt idx="11">
                  <c:v>7500</c:v>
                </c:pt>
                <c:pt idx="12">
                  <c:v>7600</c:v>
                </c:pt>
                <c:pt idx="13">
                  <c:v>7700</c:v>
                </c:pt>
              </c:numCache>
            </c:numRef>
          </c:cat>
          <c:val>
            <c:numRef>
              <c:f>'06_19_20 (1.5year) call'!$L$5:$L$18</c:f>
              <c:numCache>
                <c:formatCode>General</c:formatCode>
                <c:ptCount val="14"/>
                <c:pt idx="0">
                  <c:v>867.04443184780075</c:v>
                </c:pt>
                <c:pt idx="1">
                  <c:v>796.07765149646229</c:v>
                </c:pt>
                <c:pt idx="2">
                  <c:v>727.98048624480543</c:v>
                </c:pt>
                <c:pt idx="3">
                  <c:v>663.55502028393767</c:v>
                </c:pt>
                <c:pt idx="4">
                  <c:v>602.58608242076298</c:v>
                </c:pt>
                <c:pt idx="5">
                  <c:v>545.28743654363825</c:v>
                </c:pt>
                <c:pt idx="6">
                  <c:v>490.73911462269325</c:v>
                </c:pt>
                <c:pt idx="7">
                  <c:v>439.59955391426593</c:v>
                </c:pt>
                <c:pt idx="8">
                  <c:v>391.70701917227188</c:v>
                </c:pt>
                <c:pt idx="9">
                  <c:v>369.05815685635753</c:v>
                </c:pt>
                <c:pt idx="10">
                  <c:v>347.51104313808037</c:v>
                </c:pt>
                <c:pt idx="11">
                  <c:v>310.14415362245018</c:v>
                </c:pt>
                <c:pt idx="12">
                  <c:v>272.71785950608455</c:v>
                </c:pt>
                <c:pt idx="13">
                  <c:v>239.2321611350917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84-44D5-93B7-4E19A25C8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678095"/>
        <c:axId val="2048031439"/>
      </c:lineChart>
      <c:catAx>
        <c:axId val="208667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031439"/>
        <c:crosses val="autoZero"/>
        <c:auto val="1"/>
        <c:lblAlgn val="ctr"/>
        <c:lblOffset val="100"/>
        <c:noMultiLvlLbl val="0"/>
      </c:catAx>
      <c:valAx>
        <c:axId val="204803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7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UKX</a:t>
            </a:r>
            <a:r>
              <a:rPr lang="en-US" baseline="0"/>
              <a:t> Implied Volatility (1.5 years)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UKX Implied volatility (1.5 years)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'06_19_20 (1.5year) call'!$I$5:$I$18</c:f>
              <c:numCache>
                <c:formatCode>General</c:formatCode>
                <c:ptCount val="14"/>
                <c:pt idx="0">
                  <c:v>6500</c:v>
                </c:pt>
                <c:pt idx="1">
                  <c:v>6600</c:v>
                </c:pt>
                <c:pt idx="2">
                  <c:v>6700</c:v>
                </c:pt>
                <c:pt idx="3">
                  <c:v>6800</c:v>
                </c:pt>
                <c:pt idx="4">
                  <c:v>6900</c:v>
                </c:pt>
                <c:pt idx="5">
                  <c:v>7000</c:v>
                </c:pt>
                <c:pt idx="6">
                  <c:v>7100</c:v>
                </c:pt>
                <c:pt idx="7">
                  <c:v>7200</c:v>
                </c:pt>
                <c:pt idx="8">
                  <c:v>7300</c:v>
                </c:pt>
                <c:pt idx="9">
                  <c:v>7350</c:v>
                </c:pt>
                <c:pt idx="10">
                  <c:v>7400</c:v>
                </c:pt>
                <c:pt idx="11">
                  <c:v>7500</c:v>
                </c:pt>
                <c:pt idx="12">
                  <c:v>7600</c:v>
                </c:pt>
                <c:pt idx="13">
                  <c:v>7700</c:v>
                </c:pt>
              </c:numCache>
            </c:numRef>
          </c:cat>
          <c:val>
            <c:numRef>
              <c:f>'06_19_20 (1.5year) call'!$E$5:$E$18</c:f>
              <c:numCache>
                <c:formatCode>General</c:formatCode>
                <c:ptCount val="14"/>
                <c:pt idx="0">
                  <c:v>15.533057212829601</c:v>
                </c:pt>
                <c:pt idx="1">
                  <c:v>15.217466354370099</c:v>
                </c:pt>
                <c:pt idx="2">
                  <c:v>14.920085906982401</c:v>
                </c:pt>
                <c:pt idx="3">
                  <c:v>14.658659934997599</c:v>
                </c:pt>
                <c:pt idx="4">
                  <c:v>14.420640945434601</c:v>
                </c:pt>
                <c:pt idx="5">
                  <c:v>14.2074899673462</c:v>
                </c:pt>
                <c:pt idx="6">
                  <c:v>13.9897899627685</c:v>
                </c:pt>
                <c:pt idx="7">
                  <c:v>13.7837572097778</c:v>
                </c:pt>
                <c:pt idx="8">
                  <c:v>13.583014488220201</c:v>
                </c:pt>
                <c:pt idx="9">
                  <c:v>13.4864854812622</c:v>
                </c:pt>
                <c:pt idx="10">
                  <c:v>13.3991432189941</c:v>
                </c:pt>
                <c:pt idx="11">
                  <c:v>13.3227214813232</c:v>
                </c:pt>
                <c:pt idx="12">
                  <c:v>13.1581106185913</c:v>
                </c:pt>
                <c:pt idx="13">
                  <c:v>13.0217943191528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82-4B24-B881-5CB785DB7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678095"/>
        <c:axId val="2048031439"/>
      </c:lineChart>
      <c:catAx>
        <c:axId val="208667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031439"/>
        <c:crosses val="autoZero"/>
        <c:auto val="1"/>
        <c:lblAlgn val="ctr"/>
        <c:lblOffset val="100"/>
        <c:noMultiLvlLbl val="0"/>
      </c:catAx>
      <c:valAx>
        <c:axId val="2048031439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7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UKX BS Call price (1 years)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call'!$I$11:$I$29</c:f>
              <c:numCache>
                <c:formatCode>General</c:formatCode>
                <c:ptCount val="19"/>
                <c:pt idx="0">
                  <c:v>6500</c:v>
                </c:pt>
                <c:pt idx="1">
                  <c:v>6550</c:v>
                </c:pt>
                <c:pt idx="2">
                  <c:v>6600</c:v>
                </c:pt>
                <c:pt idx="3">
                  <c:v>6700</c:v>
                </c:pt>
                <c:pt idx="4">
                  <c:v>6800</c:v>
                </c:pt>
                <c:pt idx="5">
                  <c:v>6900</c:v>
                </c:pt>
                <c:pt idx="6">
                  <c:v>7000</c:v>
                </c:pt>
                <c:pt idx="7">
                  <c:v>7049</c:v>
                </c:pt>
                <c:pt idx="8">
                  <c:v>7050</c:v>
                </c:pt>
                <c:pt idx="9">
                  <c:v>7100</c:v>
                </c:pt>
                <c:pt idx="10">
                  <c:v>7150</c:v>
                </c:pt>
                <c:pt idx="11">
                  <c:v>7200</c:v>
                </c:pt>
                <c:pt idx="12">
                  <c:v>7250</c:v>
                </c:pt>
                <c:pt idx="13">
                  <c:v>7270</c:v>
                </c:pt>
                <c:pt idx="14">
                  <c:v>7300</c:v>
                </c:pt>
                <c:pt idx="15">
                  <c:v>7337</c:v>
                </c:pt>
                <c:pt idx="16">
                  <c:v>7350</c:v>
                </c:pt>
                <c:pt idx="17">
                  <c:v>7400</c:v>
                </c:pt>
                <c:pt idx="18">
                  <c:v>7500</c:v>
                </c:pt>
              </c:numCache>
            </c:numRef>
          </c:cat>
          <c:val>
            <c:numRef>
              <c:f>'12_20_19 (1year) call'!$L$11:$L$29</c:f>
              <c:numCache>
                <c:formatCode>General</c:formatCode>
                <c:ptCount val="19"/>
                <c:pt idx="0">
                  <c:v>786.58348788219064</c:v>
                </c:pt>
                <c:pt idx="1">
                  <c:v>744.88563609830726</c:v>
                </c:pt>
                <c:pt idx="2">
                  <c:v>708.55298795724411</c:v>
                </c:pt>
                <c:pt idx="3">
                  <c:v>638.1076320954844</c:v>
                </c:pt>
                <c:pt idx="4">
                  <c:v>570.56950052266166</c:v>
                </c:pt>
                <c:pt idx="5">
                  <c:v>507.3306552429417</c:v>
                </c:pt>
                <c:pt idx="6">
                  <c:v>447.49728167819694</c:v>
                </c:pt>
                <c:pt idx="7">
                  <c:v>419.8494563691529</c:v>
                </c:pt>
                <c:pt idx="8">
                  <c:v>419.2224364461631</c:v>
                </c:pt>
                <c:pt idx="9">
                  <c:v>392.42426886281783</c:v>
                </c:pt>
                <c:pt idx="10">
                  <c:v>365.73807393801599</c:v>
                </c:pt>
                <c:pt idx="11">
                  <c:v>340.56529297378438</c:v>
                </c:pt>
                <c:pt idx="12">
                  <c:v>316.36922185192543</c:v>
                </c:pt>
                <c:pt idx="13">
                  <c:v>307.16726131220867</c:v>
                </c:pt>
                <c:pt idx="14">
                  <c:v>293.75947803127519</c:v>
                </c:pt>
                <c:pt idx="15">
                  <c:v>277.47368668577701</c:v>
                </c:pt>
                <c:pt idx="16">
                  <c:v>272.18591150972179</c:v>
                </c:pt>
                <c:pt idx="17">
                  <c:v>251.67209587107118</c:v>
                </c:pt>
                <c:pt idx="18">
                  <c:v>213.61167683413987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B4-4C08-BB33-00EEDBDBB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678095"/>
        <c:axId val="2048031439"/>
      </c:lineChart>
      <c:catAx>
        <c:axId val="208667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031439"/>
        <c:crosses val="autoZero"/>
        <c:auto val="1"/>
        <c:lblAlgn val="ctr"/>
        <c:lblOffset val="100"/>
        <c:noMultiLvlLbl val="0"/>
      </c:catAx>
      <c:valAx>
        <c:axId val="204803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7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UKX</a:t>
            </a:r>
            <a:r>
              <a:rPr lang="en-US" baseline="0"/>
              <a:t> Implied Volatility (1.5 years)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UKX Implied volatility (1 years)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call'!$I$11:$I$29</c:f>
              <c:numCache>
                <c:formatCode>General</c:formatCode>
                <c:ptCount val="19"/>
                <c:pt idx="0">
                  <c:v>6500</c:v>
                </c:pt>
                <c:pt idx="1">
                  <c:v>6550</c:v>
                </c:pt>
                <c:pt idx="2">
                  <c:v>6600</c:v>
                </c:pt>
                <c:pt idx="3">
                  <c:v>6700</c:v>
                </c:pt>
                <c:pt idx="4">
                  <c:v>6800</c:v>
                </c:pt>
                <c:pt idx="5">
                  <c:v>6900</c:v>
                </c:pt>
                <c:pt idx="6">
                  <c:v>7000</c:v>
                </c:pt>
                <c:pt idx="7">
                  <c:v>7049</c:v>
                </c:pt>
                <c:pt idx="8">
                  <c:v>7050</c:v>
                </c:pt>
                <c:pt idx="9">
                  <c:v>7100</c:v>
                </c:pt>
                <c:pt idx="10">
                  <c:v>7150</c:v>
                </c:pt>
                <c:pt idx="11">
                  <c:v>7200</c:v>
                </c:pt>
                <c:pt idx="12">
                  <c:v>7250</c:v>
                </c:pt>
                <c:pt idx="13">
                  <c:v>7270</c:v>
                </c:pt>
                <c:pt idx="14">
                  <c:v>7300</c:v>
                </c:pt>
                <c:pt idx="15">
                  <c:v>7337</c:v>
                </c:pt>
                <c:pt idx="16">
                  <c:v>7350</c:v>
                </c:pt>
                <c:pt idx="17">
                  <c:v>7400</c:v>
                </c:pt>
                <c:pt idx="18">
                  <c:v>7500</c:v>
                </c:pt>
              </c:numCache>
            </c:numRef>
          </c:cat>
          <c:val>
            <c:numRef>
              <c:f>'12_20_19 (1year) call'!$E$11:$E$29</c:f>
              <c:numCache>
                <c:formatCode>General</c:formatCode>
                <c:ptCount val="19"/>
                <c:pt idx="0">
                  <c:v>16.0928764343262</c:v>
                </c:pt>
                <c:pt idx="1">
                  <c:v>15.7184038162231</c:v>
                </c:pt>
                <c:pt idx="2">
                  <c:v>15.5320692062378</c:v>
                </c:pt>
                <c:pt idx="3">
                  <c:v>15.1681356430054</c:v>
                </c:pt>
                <c:pt idx="4">
                  <c:v>14.8065586090088</c:v>
                </c:pt>
                <c:pt idx="5">
                  <c:v>14.4876260757446</c:v>
                </c:pt>
                <c:pt idx="6">
                  <c:v>14.1711616516113</c:v>
                </c:pt>
                <c:pt idx="7">
                  <c:v>14.0294599533081</c:v>
                </c:pt>
                <c:pt idx="8">
                  <c:v>14.024138450622599</c:v>
                </c:pt>
                <c:pt idx="9">
                  <c:v>13.8963708877563</c:v>
                </c:pt>
                <c:pt idx="10">
                  <c:v>13.741135597229</c:v>
                </c:pt>
                <c:pt idx="11">
                  <c:v>13.6051750183106</c:v>
                </c:pt>
                <c:pt idx="12">
                  <c:v>13.469901084899901</c:v>
                </c:pt>
                <c:pt idx="13">
                  <c:v>13.4228019714356</c:v>
                </c:pt>
                <c:pt idx="14">
                  <c:v>13.3557596206665</c:v>
                </c:pt>
                <c:pt idx="15">
                  <c:v>13.2652091979981</c:v>
                </c:pt>
                <c:pt idx="16">
                  <c:v>13.244021415710399</c:v>
                </c:pt>
                <c:pt idx="17">
                  <c:v>13.135490417480501</c:v>
                </c:pt>
                <c:pt idx="18">
                  <c:v>12.921067237854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1-4D60-A97F-54E50700F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678095"/>
        <c:axId val="2048031439"/>
      </c:lineChart>
      <c:catAx>
        <c:axId val="208667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031439"/>
        <c:crosses val="autoZero"/>
        <c:auto val="1"/>
        <c:lblAlgn val="ctr"/>
        <c:lblOffset val="100"/>
        <c:noMultiLvlLbl val="0"/>
      </c:catAx>
      <c:valAx>
        <c:axId val="2048031439"/>
        <c:scaling>
          <c:orientation val="minMax"/>
          <c:max val="17.2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7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69850</xdr:colOff>
          <xdr:row>19</xdr:row>
          <xdr:rowOff>25400</xdr:rowOff>
        </xdr:from>
        <xdr:to>
          <xdr:col>4</xdr:col>
          <xdr:colOff>317500</xdr:colOff>
          <xdr:row>20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Run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24</xdr:row>
          <xdr:rowOff>69850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Display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21</xdr:row>
          <xdr:rowOff>88900</xdr:rowOff>
        </xdr:from>
        <xdr:to>
          <xdr:col>4</xdr:col>
          <xdr:colOff>336550</xdr:colOff>
          <xdr:row>23</xdr:row>
          <xdr:rowOff>127000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recal n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5</xdr:row>
      <xdr:rowOff>180975</xdr:rowOff>
    </xdr:from>
    <xdr:to>
      <xdr:col>16</xdr:col>
      <xdr:colOff>104774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114D5D-07BD-4C4E-93DE-C15831A31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16</xdr:col>
      <xdr:colOff>95250</xdr:colOff>
      <xdr:row>31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559F32-D379-4AC3-8910-9D2ED643A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6</xdr:row>
      <xdr:rowOff>0</xdr:rowOff>
    </xdr:from>
    <xdr:to>
      <xdr:col>16</xdr:col>
      <xdr:colOff>104774</xdr:colOff>
      <xdr:row>18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87A6BC-D345-4E8B-A97A-C666723B6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19</xdr:row>
      <xdr:rowOff>9525</xdr:rowOff>
    </xdr:from>
    <xdr:to>
      <xdr:col>16</xdr:col>
      <xdr:colOff>95250</xdr:colOff>
      <xdr:row>31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135A51-F470-4443-84E4-58812FD6F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KX%20Call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6_19_20 (1.5year) call"/>
      <sheetName val="12_20_19 (1year) call"/>
    </sheetNames>
    <sheetDataSet>
      <sheetData sheetId="0">
        <row r="5">
          <cell r="E5">
            <v>15.533057212829601</v>
          </cell>
          <cell r="I5">
            <v>6500</v>
          </cell>
          <cell r="L5">
            <v>867.04443184780075</v>
          </cell>
        </row>
        <row r="6">
          <cell r="E6">
            <v>15.217466354370099</v>
          </cell>
          <cell r="I6">
            <v>6600</v>
          </cell>
          <cell r="L6">
            <v>796.07765149646229</v>
          </cell>
        </row>
        <row r="7">
          <cell r="E7">
            <v>14.920085906982401</v>
          </cell>
          <cell r="I7">
            <v>6700</v>
          </cell>
          <cell r="L7">
            <v>727.98048624480543</v>
          </cell>
        </row>
        <row r="8">
          <cell r="E8">
            <v>14.658659934997599</v>
          </cell>
          <cell r="I8">
            <v>6800</v>
          </cell>
          <cell r="L8">
            <v>663.55502028393767</v>
          </cell>
        </row>
        <row r="9">
          <cell r="E9">
            <v>14.420640945434601</v>
          </cell>
          <cell r="I9">
            <v>6900</v>
          </cell>
          <cell r="L9">
            <v>602.58608242076298</v>
          </cell>
        </row>
        <row r="10">
          <cell r="E10">
            <v>14.2074899673462</v>
          </cell>
          <cell r="I10">
            <v>7000</v>
          </cell>
          <cell r="L10">
            <v>545.28743654363825</v>
          </cell>
        </row>
        <row r="11">
          <cell r="E11">
            <v>13.9897899627685</v>
          </cell>
          <cell r="I11">
            <v>7100</v>
          </cell>
          <cell r="L11">
            <v>490.73911462269325</v>
          </cell>
        </row>
        <row r="12">
          <cell r="E12">
            <v>13.7837572097778</v>
          </cell>
          <cell r="I12">
            <v>7200</v>
          </cell>
          <cell r="L12">
            <v>439.59955391426593</v>
          </cell>
        </row>
        <row r="13">
          <cell r="E13">
            <v>13.583014488220201</v>
          </cell>
          <cell r="I13">
            <v>7300</v>
          </cell>
          <cell r="L13">
            <v>391.70701917227188</v>
          </cell>
        </row>
        <row r="14">
          <cell r="E14">
            <v>13.4864854812622</v>
          </cell>
          <cell r="I14">
            <v>7350</v>
          </cell>
          <cell r="L14">
            <v>369.05815685635753</v>
          </cell>
        </row>
        <row r="15">
          <cell r="E15">
            <v>13.3991432189941</v>
          </cell>
          <cell r="I15">
            <v>7400</v>
          </cell>
          <cell r="L15">
            <v>347.51104313808037</v>
          </cell>
        </row>
        <row r="16">
          <cell r="E16">
            <v>13.3227214813232</v>
          </cell>
          <cell r="I16">
            <v>7500</v>
          </cell>
          <cell r="L16">
            <v>310.14415362245018</v>
          </cell>
        </row>
        <row r="17">
          <cell r="E17">
            <v>13.1581106185913</v>
          </cell>
          <cell r="I17">
            <v>7600</v>
          </cell>
          <cell r="L17">
            <v>272.71785950608455</v>
          </cell>
        </row>
        <row r="18">
          <cell r="E18">
            <v>13.0217943191528</v>
          </cell>
          <cell r="I18">
            <v>7700</v>
          </cell>
          <cell r="L18">
            <v>239.2321611350917</v>
          </cell>
        </row>
      </sheetData>
      <sheetData sheetId="1">
        <row r="11">
          <cell r="E11">
            <v>16.0928764343262</v>
          </cell>
          <cell r="I11">
            <v>6500</v>
          </cell>
          <cell r="L11">
            <v>786.58348788219064</v>
          </cell>
        </row>
        <row r="12">
          <cell r="E12">
            <v>15.7184038162231</v>
          </cell>
          <cell r="I12">
            <v>6550</v>
          </cell>
          <cell r="L12">
            <v>744.88563609830726</v>
          </cell>
        </row>
        <row r="13">
          <cell r="E13">
            <v>15.5320692062378</v>
          </cell>
          <cell r="I13">
            <v>6600</v>
          </cell>
          <cell r="L13">
            <v>708.55298795724411</v>
          </cell>
        </row>
        <row r="14">
          <cell r="E14">
            <v>15.1681356430054</v>
          </cell>
          <cell r="I14">
            <v>6700</v>
          </cell>
          <cell r="L14">
            <v>638.1076320954844</v>
          </cell>
        </row>
        <row r="15">
          <cell r="E15">
            <v>14.8065586090088</v>
          </cell>
          <cell r="I15">
            <v>6800</v>
          </cell>
          <cell r="L15">
            <v>570.56950052266166</v>
          </cell>
        </row>
        <row r="16">
          <cell r="E16">
            <v>14.4876260757446</v>
          </cell>
          <cell r="I16">
            <v>6900</v>
          </cell>
          <cell r="L16">
            <v>507.3306552429417</v>
          </cell>
        </row>
        <row r="17">
          <cell r="E17">
            <v>14.1711616516113</v>
          </cell>
          <cell r="I17">
            <v>7000</v>
          </cell>
          <cell r="L17">
            <v>447.49728167819694</v>
          </cell>
        </row>
        <row r="18">
          <cell r="E18">
            <v>14.0294599533081</v>
          </cell>
          <cell r="I18">
            <v>7049</v>
          </cell>
          <cell r="L18">
            <v>419.8494563691529</v>
          </cell>
        </row>
        <row r="19">
          <cell r="E19">
            <v>14.024138450622599</v>
          </cell>
          <cell r="I19">
            <v>7050</v>
          </cell>
          <cell r="L19">
            <v>419.2224364461631</v>
          </cell>
        </row>
        <row r="20">
          <cell r="E20">
            <v>13.8963708877563</v>
          </cell>
          <cell r="I20">
            <v>7100</v>
          </cell>
          <cell r="L20">
            <v>392.42426886281783</v>
          </cell>
        </row>
        <row r="21">
          <cell r="E21">
            <v>13.741135597229</v>
          </cell>
          <cell r="I21">
            <v>7150</v>
          </cell>
          <cell r="L21">
            <v>365.73807393801599</v>
          </cell>
        </row>
        <row r="22">
          <cell r="E22">
            <v>13.6051750183106</v>
          </cell>
          <cell r="I22">
            <v>7200</v>
          </cell>
          <cell r="L22">
            <v>340.56529297378438</v>
          </cell>
        </row>
        <row r="23">
          <cell r="E23">
            <v>13.469901084899901</v>
          </cell>
          <cell r="I23">
            <v>7250</v>
          </cell>
          <cell r="L23">
            <v>316.36922185192543</v>
          </cell>
        </row>
        <row r="24">
          <cell r="E24">
            <v>13.4228019714356</v>
          </cell>
          <cell r="I24">
            <v>7270</v>
          </cell>
          <cell r="L24">
            <v>307.16726131220867</v>
          </cell>
        </row>
        <row r="25">
          <cell r="E25">
            <v>13.3557596206665</v>
          </cell>
          <cell r="I25">
            <v>7300</v>
          </cell>
          <cell r="L25">
            <v>293.75947803127519</v>
          </cell>
        </row>
        <row r="26">
          <cell r="E26">
            <v>13.2652091979981</v>
          </cell>
          <cell r="I26">
            <v>7337</v>
          </cell>
          <cell r="L26">
            <v>277.47368668577701</v>
          </cell>
        </row>
        <row r="27">
          <cell r="E27">
            <v>13.244021415710399</v>
          </cell>
          <cell r="I27">
            <v>7350</v>
          </cell>
          <cell r="L27">
            <v>272.18591150972179</v>
          </cell>
        </row>
        <row r="28">
          <cell r="E28">
            <v>13.135490417480501</v>
          </cell>
          <cell r="I28">
            <v>7400</v>
          </cell>
          <cell r="L28">
            <v>251.67209587107118</v>
          </cell>
        </row>
        <row r="29">
          <cell r="E29">
            <v>12.921067237854</v>
          </cell>
          <cell r="I29">
            <v>7500</v>
          </cell>
          <cell r="L29">
            <v>213.61167683413987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AD154"/>
  <sheetViews>
    <sheetView tabSelected="1" zoomScale="81" zoomScaleNormal="81" workbookViewId="0"/>
  </sheetViews>
  <sheetFormatPr defaultColWidth="9.1796875" defaultRowHeight="15.5"/>
  <cols>
    <col min="1" max="1" width="9.1796875" style="1" customWidth="1"/>
    <col min="2" max="2" width="20.7265625" style="1" customWidth="1"/>
    <col min="3" max="3" width="14.26953125" style="1" bestFit="1" customWidth="1"/>
    <col min="4" max="4" width="15.7265625" style="1" customWidth="1"/>
    <col min="5" max="6" width="9.1796875" style="1"/>
    <col min="7" max="7" width="24.1796875" style="1" bestFit="1" customWidth="1"/>
    <col min="8" max="8" width="21" style="1" bestFit="1" customWidth="1"/>
    <col min="9" max="9" width="17.1796875" style="1" bestFit="1" customWidth="1"/>
    <col min="10" max="10" width="10.7265625" style="1" customWidth="1"/>
    <col min="11" max="11" width="7.7265625" style="1" customWidth="1"/>
    <col min="12" max="12" width="12.7265625" style="1" customWidth="1"/>
    <col min="13" max="13" width="18.7265625" style="1" customWidth="1"/>
    <col min="14" max="14" width="9.1796875" style="1"/>
    <col min="15" max="15" width="4" style="2" customWidth="1"/>
    <col min="16" max="17" width="14.54296875" style="1" bestFit="1" customWidth="1"/>
    <col min="18" max="18" width="13.453125" style="1" bestFit="1" customWidth="1"/>
    <col min="19" max="19" width="9.453125" style="1" bestFit="1" customWidth="1"/>
    <col min="20" max="20" width="10.7265625" style="1" bestFit="1" customWidth="1"/>
    <col min="21" max="21" width="9.1796875" style="1"/>
    <col min="22" max="22" width="9.1796875" style="1" hidden="1" customWidth="1"/>
    <col min="23" max="23" width="10.54296875" style="1" hidden="1" customWidth="1"/>
    <col min="24" max="24" width="10.1796875" style="1" hidden="1" customWidth="1"/>
    <col min="25" max="25" width="9.1796875" style="3" hidden="1" customWidth="1"/>
    <col min="26" max="27" width="9.1796875" style="1" hidden="1" customWidth="1"/>
    <col min="28" max="28" width="9.1796875" style="1"/>
    <col min="29" max="29" width="14.54296875" style="1" bestFit="1" customWidth="1"/>
    <col min="30" max="16384" width="9.1796875" style="1"/>
  </cols>
  <sheetData>
    <row r="2" spans="2:30">
      <c r="V2" s="1" t="e">
        <f>SUM(V5:V64)</f>
        <v>#VALUE!</v>
      </c>
      <c r="AB2" s="1" t="s">
        <v>53</v>
      </c>
      <c r="AC2" s="1">
        <v>9.6582999999999999E-3</v>
      </c>
    </row>
    <row r="3" spans="2:30" ht="16" thickBot="1">
      <c r="B3" s="4" t="s">
        <v>0</v>
      </c>
      <c r="C3" s="5">
        <v>43423</v>
      </c>
      <c r="F3" s="40" t="s">
        <v>16</v>
      </c>
      <c r="G3" s="40"/>
      <c r="AB3" s="1" t="s">
        <v>52</v>
      </c>
      <c r="AC3" s="24">
        <f>SQRT(AC2)</f>
        <v>9.8276650329567089E-2</v>
      </c>
    </row>
    <row r="4" spans="2:30" ht="16.5" thickTop="1" thickBot="1">
      <c r="B4" s="4" t="s">
        <v>45</v>
      </c>
      <c r="C4" s="1" t="s">
        <v>47</v>
      </c>
      <c r="F4" s="6" t="s">
        <v>17</v>
      </c>
      <c r="G4" s="7" t="s">
        <v>43</v>
      </c>
      <c r="H4" s="7" t="s">
        <v>48</v>
      </c>
      <c r="I4" s="7" t="s">
        <v>126</v>
      </c>
      <c r="J4" s="7" t="s">
        <v>18</v>
      </c>
      <c r="K4" s="7" t="s">
        <v>19</v>
      </c>
      <c r="L4" s="7" t="s">
        <v>58</v>
      </c>
      <c r="M4" s="7" t="s">
        <v>20</v>
      </c>
      <c r="N4" s="8" t="s">
        <v>21</v>
      </c>
      <c r="P4" s="9" t="s">
        <v>40</v>
      </c>
      <c r="Q4" s="9" t="s">
        <v>39</v>
      </c>
      <c r="R4" s="9" t="s">
        <v>41</v>
      </c>
      <c r="S4" s="9" t="s">
        <v>42</v>
      </c>
      <c r="T4" s="9" t="s">
        <v>23</v>
      </c>
      <c r="V4" s="1" t="s">
        <v>33</v>
      </c>
      <c r="W4" s="1" t="s">
        <v>38</v>
      </c>
      <c r="X4" s="1" t="s">
        <v>37</v>
      </c>
      <c r="AB4" s="1" t="s">
        <v>49</v>
      </c>
      <c r="AC4" s="1" t="s">
        <v>50</v>
      </c>
      <c r="AD4" s="1" t="s">
        <v>51</v>
      </c>
    </row>
    <row r="5" spans="2:30">
      <c r="B5" s="1" t="s">
        <v>46</v>
      </c>
      <c r="C5" s="1">
        <f>COUNT($G:$G)</f>
        <v>34</v>
      </c>
      <c r="F5" s="10">
        <v>1</v>
      </c>
      <c r="G5" s="11">
        <v>954.44273458865791</v>
      </c>
      <c r="H5" s="11">
        <v>6.8700000000000002E-3</v>
      </c>
      <c r="I5" s="11">
        <f>$C$7</f>
        <v>7000.89</v>
      </c>
      <c r="J5" s="11">
        <v>6400</v>
      </c>
      <c r="K5" s="11">
        <v>1</v>
      </c>
      <c r="L5" s="11">
        <v>0</v>
      </c>
      <c r="M5" s="11">
        <v>1.6403162055335969</v>
      </c>
      <c r="N5" s="12">
        <f>1/$C$5</f>
        <v>2.9411764705882353E-2</v>
      </c>
      <c r="P5" s="13"/>
      <c r="Q5" s="13"/>
      <c r="R5" s="13"/>
      <c r="S5" s="14"/>
      <c r="T5" s="15"/>
      <c r="V5" s="1" t="e">
        <f>BSVegaF(I5,J5,M5,H5,L5)</f>
        <v>#VALUE!</v>
      </c>
      <c r="W5" s="1" t="e">
        <f>V5/$V$2</f>
        <v>#VALUE!</v>
      </c>
      <c r="X5" s="1">
        <v>1</v>
      </c>
      <c r="Y5" s="3" t="s">
        <v>24</v>
      </c>
      <c r="Z5" s="1" t="s">
        <v>35</v>
      </c>
      <c r="AB5" s="1">
        <f>((LN($C$7/$J5)+($H5-0.5*($AC$3)^2)*$M5))/($AC$3*SQRT($M5))</f>
        <v>0.73956199835098801</v>
      </c>
      <c r="AC5" s="1">
        <f>AB5+$AC$3*SQRT($M5)</f>
        <v>0.86542965109745473</v>
      </c>
      <c r="AD5" s="1">
        <f>$C$7*_xlfn.NORM.S.DIST($AC5,1)-$J5*EXP(-$H5*$M5)*_xlfn.NORM.S.DIST($AB5,1)</f>
        <v>772.75524731833229</v>
      </c>
    </row>
    <row r="6" spans="2:30">
      <c r="B6" s="4" t="s">
        <v>1</v>
      </c>
      <c r="F6" s="10">
        <f>F5+1</f>
        <v>2</v>
      </c>
      <c r="G6" s="13">
        <v>867.04443184780075</v>
      </c>
      <c r="H6" s="13">
        <v>6.8700000000000002E-3</v>
      </c>
      <c r="I6" s="13">
        <f t="shared" ref="I6:I38" si="0">$C$7</f>
        <v>7000.89</v>
      </c>
      <c r="J6" s="13">
        <v>6500</v>
      </c>
      <c r="K6" s="13">
        <v>1</v>
      </c>
      <c r="L6" s="13">
        <v>0</v>
      </c>
      <c r="M6" s="13">
        <v>1.6403162055335969</v>
      </c>
      <c r="N6" s="16">
        <f t="shared" ref="N6:N38" si="1">1/$C$5</f>
        <v>2.9411764705882353E-2</v>
      </c>
      <c r="P6" s="13"/>
      <c r="Q6" s="13"/>
      <c r="R6" s="13"/>
      <c r="S6" s="14"/>
      <c r="T6" s="15"/>
      <c r="V6" s="1" t="e">
        <f t="shared" ref="V6:V69" si="2">BSVegaF(I6,J6,M6,H6,L6)</f>
        <v>#VALUE!</v>
      </c>
      <c r="W6" s="1" t="e">
        <f t="shared" ref="W6:W69" si="3">V6/$V$2</f>
        <v>#VALUE!</v>
      </c>
      <c r="X6" s="1">
        <v>1</v>
      </c>
      <c r="Y6" s="3" t="s">
        <v>25</v>
      </c>
      <c r="Z6" s="1" t="s">
        <v>36</v>
      </c>
      <c r="AB6" s="1">
        <f>((LN($C$7/$J6)+($H6-0.5*($AC$3)^2)*$M6))/($AC$3*SQRT($M6))</f>
        <v>0.61638351525656709</v>
      </c>
      <c r="AC6" s="1">
        <f t="shared" ref="AC6:AC61" si="4">AB6+$AC$3*SQRT($M6)</f>
        <v>0.74225116800303381</v>
      </c>
      <c r="AD6" s="1">
        <f t="shared" ref="AD6:AD61" si="5">$C$7*_xlfn.NORM.S.DIST($AC6,1)-$J6*EXP(-$H6*$M6)*_xlfn.NORM.S.DIST($AB6,1)</f>
        <v>698.50478081673191</v>
      </c>
    </row>
    <row r="7" spans="2:30">
      <c r="B7" s="1" t="s">
        <v>2</v>
      </c>
      <c r="C7" s="1">
        <v>7000.89</v>
      </c>
      <c r="F7" s="10">
        <f t="shared" ref="F7:F70" si="6">F6+1</f>
        <v>3</v>
      </c>
      <c r="G7" s="13">
        <v>796.07765149646229</v>
      </c>
      <c r="H7" s="13">
        <v>6.8700000000000002E-3</v>
      </c>
      <c r="I7" s="13">
        <f t="shared" si="0"/>
        <v>7000.89</v>
      </c>
      <c r="J7" s="13">
        <v>6600</v>
      </c>
      <c r="K7" s="13">
        <v>1</v>
      </c>
      <c r="L7" s="13">
        <v>0</v>
      </c>
      <c r="M7" s="13">
        <v>1.6403162055335969</v>
      </c>
      <c r="N7" s="16">
        <f t="shared" si="1"/>
        <v>2.9411764705882353E-2</v>
      </c>
      <c r="P7" s="13"/>
      <c r="Q7" s="13"/>
      <c r="R7" s="13"/>
      <c r="S7" s="14"/>
      <c r="T7" s="15"/>
      <c r="V7" s="1" t="e">
        <f t="shared" si="2"/>
        <v>#VALUE!</v>
      </c>
      <c r="W7" s="1" t="e">
        <f t="shared" si="3"/>
        <v>#VALUE!</v>
      </c>
      <c r="X7" s="1">
        <v>1</v>
      </c>
      <c r="Y7" s="3" t="s">
        <v>26</v>
      </c>
      <c r="AB7" s="1">
        <f t="shared" ref="AB7:AB61" si="7">((LN($C$7/$J7)+($H7-0.5*($AC$3)^2)*$M7))/($AC$3*SQRT($M7))</f>
        <v>0.4950856933170299</v>
      </c>
      <c r="AC7" s="1">
        <f t="shared" si="4"/>
        <v>0.62095334606349661</v>
      </c>
      <c r="AD7" s="1">
        <f t="shared" si="5"/>
        <v>628.23762823858578</v>
      </c>
    </row>
    <row r="8" spans="2:30">
      <c r="F8" s="10">
        <f t="shared" si="6"/>
        <v>4</v>
      </c>
      <c r="G8" s="13">
        <v>727.98048624480543</v>
      </c>
      <c r="H8" s="13">
        <v>6.8700000000000002E-3</v>
      </c>
      <c r="I8" s="13">
        <f t="shared" si="0"/>
        <v>7000.89</v>
      </c>
      <c r="J8" s="13">
        <v>6700</v>
      </c>
      <c r="K8" s="13">
        <v>1</v>
      </c>
      <c r="L8" s="13">
        <v>0</v>
      </c>
      <c r="M8" s="13">
        <v>1.6403162055335969</v>
      </c>
      <c r="N8" s="16">
        <f t="shared" si="1"/>
        <v>2.9411764705882353E-2</v>
      </c>
      <c r="P8" s="13"/>
      <c r="Q8" s="13"/>
      <c r="R8" s="13"/>
      <c r="S8" s="14"/>
      <c r="T8" s="15"/>
      <c r="V8" s="1" t="e">
        <f t="shared" si="2"/>
        <v>#VALUE!</v>
      </c>
      <c r="W8" s="1" t="e">
        <f t="shared" si="3"/>
        <v>#VALUE!</v>
      </c>
      <c r="X8" s="1">
        <v>1</v>
      </c>
      <c r="Y8" s="3" t="s">
        <v>27</v>
      </c>
      <c r="AB8" s="1">
        <f t="shared" si="7"/>
        <v>0.37561196804758995</v>
      </c>
      <c r="AC8" s="1">
        <f t="shared" si="4"/>
        <v>0.50147962079405672</v>
      </c>
      <c r="AD8" s="1">
        <f t="shared" si="5"/>
        <v>562.16667553367733</v>
      </c>
    </row>
    <row r="9" spans="2:30">
      <c r="B9" s="4" t="s">
        <v>3</v>
      </c>
      <c r="C9" s="4" t="s">
        <v>4</v>
      </c>
      <c r="D9" s="4" t="s">
        <v>9</v>
      </c>
      <c r="F9" s="10">
        <f t="shared" si="6"/>
        <v>5</v>
      </c>
      <c r="G9" s="13">
        <v>663.55502028393767</v>
      </c>
      <c r="H9" s="13">
        <v>6.8700000000000002E-3</v>
      </c>
      <c r="I9" s="13">
        <f t="shared" si="0"/>
        <v>7000.89</v>
      </c>
      <c r="J9" s="13">
        <v>6800</v>
      </c>
      <c r="K9" s="13">
        <v>1</v>
      </c>
      <c r="L9" s="13">
        <v>0</v>
      </c>
      <c r="M9" s="13">
        <v>1.6403162055335969</v>
      </c>
      <c r="N9" s="16">
        <f t="shared" si="1"/>
        <v>2.9411764705882353E-2</v>
      </c>
      <c r="P9" s="13"/>
      <c r="Q9" s="13"/>
      <c r="R9" s="13"/>
      <c r="S9" s="14"/>
      <c r="T9" s="15"/>
      <c r="V9" s="1" t="e">
        <f t="shared" si="2"/>
        <v>#VALUE!</v>
      </c>
      <c r="W9" s="1" t="e">
        <f t="shared" si="3"/>
        <v>#VALUE!</v>
      </c>
      <c r="X9" s="1">
        <v>1</v>
      </c>
      <c r="Y9" s="3" t="s">
        <v>28</v>
      </c>
      <c r="AB9" s="1">
        <f t="shared" si="7"/>
        <v>0.25790828912873071</v>
      </c>
      <c r="AC9" s="1">
        <f t="shared" si="4"/>
        <v>0.38377594187519748</v>
      </c>
      <c r="AD9" s="1">
        <f t="shared" si="5"/>
        <v>500.44982174995948</v>
      </c>
    </row>
    <row r="10" spans="2:30">
      <c r="B10" s="4" t="s">
        <v>5</v>
      </c>
      <c r="C10" s="1">
        <v>0</v>
      </c>
      <c r="D10" s="1">
        <v>20</v>
      </c>
      <c r="F10" s="10">
        <f t="shared" si="6"/>
        <v>6</v>
      </c>
      <c r="G10" s="13">
        <v>602.58608242076298</v>
      </c>
      <c r="H10" s="13">
        <v>6.8700000000000002E-3</v>
      </c>
      <c r="I10" s="13">
        <f t="shared" si="0"/>
        <v>7000.89</v>
      </c>
      <c r="J10" s="13">
        <v>6900</v>
      </c>
      <c r="K10" s="13">
        <v>1</v>
      </c>
      <c r="L10" s="13">
        <v>0</v>
      </c>
      <c r="M10" s="13">
        <v>1.6403162055335969</v>
      </c>
      <c r="N10" s="16">
        <f t="shared" si="1"/>
        <v>2.9411764705882353E-2</v>
      </c>
      <c r="P10" s="13"/>
      <c r="Q10" s="13"/>
      <c r="R10" s="13"/>
      <c r="S10" s="14"/>
      <c r="T10" s="15"/>
      <c r="V10" s="1" t="e">
        <f t="shared" si="2"/>
        <v>#VALUE!</v>
      </c>
      <c r="W10" s="1" t="e">
        <f t="shared" si="3"/>
        <v>#VALUE!</v>
      </c>
      <c r="X10" s="1">
        <v>1</v>
      </c>
      <c r="Y10" s="3" t="s">
        <v>29</v>
      </c>
      <c r="AB10" s="1">
        <f t="shared" si="7"/>
        <v>0.14192297358019335</v>
      </c>
      <c r="AC10" s="1">
        <f t="shared" si="4"/>
        <v>0.26779062632666006</v>
      </c>
      <c r="AD10" s="1">
        <f t="shared" si="5"/>
        <v>443.18599999976686</v>
      </c>
    </row>
    <row r="11" spans="2:30">
      <c r="B11" s="4" t="s">
        <v>6</v>
      </c>
      <c r="C11" s="1">
        <v>0</v>
      </c>
      <c r="D11" s="1">
        <v>1</v>
      </c>
      <c r="F11" s="10">
        <f t="shared" si="6"/>
        <v>7</v>
      </c>
      <c r="G11" s="13">
        <v>545.28743654363825</v>
      </c>
      <c r="H11" s="13">
        <v>6.8700000000000002E-3</v>
      </c>
      <c r="I11" s="13">
        <f t="shared" si="0"/>
        <v>7000.89</v>
      </c>
      <c r="J11" s="13">
        <v>7000</v>
      </c>
      <c r="K11" s="13">
        <v>1</v>
      </c>
      <c r="L11" s="13">
        <v>0</v>
      </c>
      <c r="M11" s="13">
        <v>1.6403162055335969</v>
      </c>
      <c r="N11" s="16">
        <f t="shared" si="1"/>
        <v>2.9411764705882353E-2</v>
      </c>
      <c r="P11" s="13"/>
      <c r="Q11" s="13"/>
      <c r="R11" s="13"/>
      <c r="S11" s="14"/>
      <c r="T11" s="15"/>
      <c r="V11" s="1" t="e">
        <f t="shared" si="2"/>
        <v>#VALUE!</v>
      </c>
      <c r="W11" s="1" t="e">
        <f t="shared" si="3"/>
        <v>#VALUE!</v>
      </c>
      <c r="X11" s="1">
        <v>1</v>
      </c>
      <c r="Y11" s="3" t="s">
        <v>31</v>
      </c>
      <c r="AB11" s="1">
        <f t="shared" si="7"/>
        <v>2.7606569499134079E-2</v>
      </c>
      <c r="AC11" s="1">
        <f t="shared" si="4"/>
        <v>0.15347422224560081</v>
      </c>
      <c r="AD11" s="1">
        <f t="shared" si="5"/>
        <v>390.41375326759999</v>
      </c>
    </row>
    <row r="12" spans="2:30" ht="17.5">
      <c r="B12" s="4" t="s">
        <v>44</v>
      </c>
      <c r="C12" s="1">
        <v>0</v>
      </c>
      <c r="D12" s="1">
        <v>1</v>
      </c>
      <c r="F12" s="10">
        <f t="shared" si="6"/>
        <v>8</v>
      </c>
      <c r="G12" s="13">
        <v>490.73911462269325</v>
      </c>
      <c r="H12" s="13">
        <v>6.8700000000000002E-3</v>
      </c>
      <c r="I12" s="13">
        <f t="shared" si="0"/>
        <v>7000.89</v>
      </c>
      <c r="J12" s="13">
        <v>7100</v>
      </c>
      <c r="K12" s="13">
        <v>1</v>
      </c>
      <c r="L12" s="13">
        <v>0</v>
      </c>
      <c r="M12" s="13">
        <v>1.6403162055335969</v>
      </c>
      <c r="N12" s="16">
        <f t="shared" si="1"/>
        <v>2.9411764705882353E-2</v>
      </c>
      <c r="P12" s="13"/>
      <c r="Q12" s="13"/>
      <c r="R12" s="13"/>
      <c r="S12" s="14"/>
      <c r="T12" s="15"/>
      <c r="V12" s="1" t="e">
        <f t="shared" si="2"/>
        <v>#VALUE!</v>
      </c>
      <c r="W12" s="1" t="e">
        <f t="shared" si="3"/>
        <v>#VALUE!</v>
      </c>
      <c r="X12" s="1">
        <v>1</v>
      </c>
      <c r="Y12" s="3" t="s">
        <v>30</v>
      </c>
      <c r="AB12" s="1">
        <f t="shared" si="7"/>
        <v>-8.5088270536760088E-2</v>
      </c>
      <c r="AC12" s="1">
        <f t="shared" si="4"/>
        <v>4.0779382209706658E-2</v>
      </c>
      <c r="AD12" s="1">
        <f t="shared" si="5"/>
        <v>342.112280143112</v>
      </c>
    </row>
    <row r="13" spans="2:30">
      <c r="B13" s="4" t="s">
        <v>7</v>
      </c>
      <c r="C13" s="1">
        <v>0</v>
      </c>
      <c r="D13" s="1">
        <v>1</v>
      </c>
      <c r="F13" s="10">
        <f t="shared" si="6"/>
        <v>9</v>
      </c>
      <c r="G13" s="13">
        <v>439.59955391426593</v>
      </c>
      <c r="H13" s="13">
        <v>6.8700000000000002E-3</v>
      </c>
      <c r="I13" s="13">
        <f t="shared" si="0"/>
        <v>7000.89</v>
      </c>
      <c r="J13" s="13">
        <v>7200</v>
      </c>
      <c r="K13" s="13">
        <v>1</v>
      </c>
      <c r="L13" s="13">
        <v>0</v>
      </c>
      <c r="M13" s="13">
        <v>1.6403162055335969</v>
      </c>
      <c r="N13" s="16">
        <f t="shared" si="1"/>
        <v>2.9411764705882353E-2</v>
      </c>
      <c r="P13" s="13"/>
      <c r="Q13" s="13"/>
      <c r="R13" s="13"/>
      <c r="S13" s="14"/>
      <c r="T13" s="15"/>
      <c r="V13" s="1" t="e">
        <f t="shared" si="2"/>
        <v>#VALUE!</v>
      </c>
      <c r="W13" s="1" t="e">
        <f t="shared" si="3"/>
        <v>#VALUE!</v>
      </c>
      <c r="X13" s="1">
        <v>1</v>
      </c>
      <c r="Y13" s="3" t="s">
        <v>32</v>
      </c>
      <c r="AB13" s="1">
        <f t="shared" si="7"/>
        <v>-0.1962069072123177</v>
      </c>
      <c r="AC13" s="1">
        <f t="shared" si="4"/>
        <v>-7.0339254465850959E-2</v>
      </c>
      <c r="AD13" s="1">
        <f t="shared" si="5"/>
        <v>298.20471146854288</v>
      </c>
    </row>
    <row r="14" spans="2:30">
      <c r="B14" s="4" t="s">
        <v>8</v>
      </c>
      <c r="C14" s="1">
        <v>-1</v>
      </c>
      <c r="D14" s="1">
        <v>1</v>
      </c>
      <c r="F14" s="10">
        <f t="shared" si="6"/>
        <v>10</v>
      </c>
      <c r="G14" s="13">
        <v>391.70701917227188</v>
      </c>
      <c r="H14" s="13">
        <v>6.8700000000000002E-3</v>
      </c>
      <c r="I14" s="13">
        <f t="shared" si="0"/>
        <v>7000.89</v>
      </c>
      <c r="J14" s="13">
        <v>7300</v>
      </c>
      <c r="K14" s="13">
        <v>1</v>
      </c>
      <c r="L14" s="13">
        <v>0</v>
      </c>
      <c r="M14" s="13">
        <v>1.6403162055335969</v>
      </c>
      <c r="N14" s="16">
        <f t="shared" si="1"/>
        <v>2.9411764705882353E-2</v>
      </c>
      <c r="P14" s="13"/>
      <c r="Q14" s="13"/>
      <c r="R14" s="13"/>
      <c r="S14" s="14"/>
      <c r="T14" s="15"/>
      <c r="V14" s="1" t="e">
        <f t="shared" si="2"/>
        <v>#VALUE!</v>
      </c>
      <c r="W14" s="1" t="e">
        <f t="shared" si="3"/>
        <v>#VALUE!</v>
      </c>
      <c r="X14" s="1">
        <v>1</v>
      </c>
      <c r="AB14" s="1">
        <f t="shared" si="7"/>
        <v>-0.3057928240969322</v>
      </c>
      <c r="AC14" s="1">
        <f t="shared" si="4"/>
        <v>-0.17992517135046546</v>
      </c>
      <c r="AD14" s="1">
        <f t="shared" si="5"/>
        <v>258.56326068788394</v>
      </c>
    </row>
    <row r="15" spans="2:30">
      <c r="B15" s="26" t="s">
        <v>54</v>
      </c>
      <c r="C15" s="1">
        <v>0</v>
      </c>
      <c r="D15" s="1">
        <v>1</v>
      </c>
      <c r="F15" s="10">
        <f t="shared" si="6"/>
        <v>11</v>
      </c>
      <c r="G15" s="13">
        <v>369.05815685635753</v>
      </c>
      <c r="H15" s="13">
        <v>6.8700000000000002E-3</v>
      </c>
      <c r="I15" s="13">
        <f t="shared" si="0"/>
        <v>7000.89</v>
      </c>
      <c r="J15" s="13">
        <v>7350</v>
      </c>
      <c r="K15" s="13">
        <v>1</v>
      </c>
      <c r="L15" s="13">
        <v>0</v>
      </c>
      <c r="M15" s="13">
        <v>1.6403162055335969</v>
      </c>
      <c r="N15" s="16">
        <f t="shared" si="1"/>
        <v>2.9411764705882353E-2</v>
      </c>
      <c r="P15" s="13"/>
      <c r="Q15" s="13"/>
      <c r="R15" s="13"/>
      <c r="S15" s="14"/>
      <c r="T15" s="15"/>
      <c r="V15" s="1" t="e">
        <f t="shared" si="2"/>
        <v>#VALUE!</v>
      </c>
      <c r="W15" s="1" t="e">
        <f t="shared" si="3"/>
        <v>#VALUE!</v>
      </c>
      <c r="X15" s="1">
        <v>1</v>
      </c>
      <c r="AB15" s="1">
        <f t="shared" si="7"/>
        <v>-0.36002411324434508</v>
      </c>
      <c r="AC15" s="1">
        <f t="shared" si="4"/>
        <v>-0.23415646049787833</v>
      </c>
      <c r="AD15" s="1">
        <f t="shared" si="5"/>
        <v>240.29007325929751</v>
      </c>
    </row>
    <row r="16" spans="2:30">
      <c r="B16" s="25" t="s">
        <v>55</v>
      </c>
      <c r="C16" s="27">
        <v>-10</v>
      </c>
      <c r="D16" s="27">
        <v>10</v>
      </c>
      <c r="F16" s="10">
        <f t="shared" si="6"/>
        <v>12</v>
      </c>
      <c r="G16" s="13">
        <v>347.51104313808037</v>
      </c>
      <c r="H16" s="13">
        <v>6.8700000000000002E-3</v>
      </c>
      <c r="I16" s="13">
        <f t="shared" si="0"/>
        <v>7000.89</v>
      </c>
      <c r="J16" s="13">
        <v>7400</v>
      </c>
      <c r="K16" s="13">
        <v>1</v>
      </c>
      <c r="L16" s="13">
        <v>0</v>
      </c>
      <c r="M16" s="13">
        <v>1.6403162055335969</v>
      </c>
      <c r="N16" s="16">
        <f t="shared" si="1"/>
        <v>2.9411764705882353E-2</v>
      </c>
      <c r="P16" s="13"/>
      <c r="Q16" s="13"/>
      <c r="R16" s="13"/>
      <c r="S16" s="14"/>
      <c r="T16" s="15"/>
      <c r="V16" s="1" t="e">
        <f t="shared" si="2"/>
        <v>#VALUE!</v>
      </c>
      <c r="W16" s="1" t="e">
        <f t="shared" si="3"/>
        <v>#VALUE!</v>
      </c>
      <c r="X16" s="1">
        <v>1</v>
      </c>
      <c r="AB16" s="1">
        <f t="shared" si="7"/>
        <v>-0.41388772980860289</v>
      </c>
      <c r="AC16" s="1">
        <f t="shared" si="4"/>
        <v>-0.28802007706213617</v>
      </c>
      <c r="AD16" s="1">
        <f t="shared" si="5"/>
        <v>223.01581387048009</v>
      </c>
    </row>
    <row r="17" spans="2:30">
      <c r="B17" s="25" t="s">
        <v>56</v>
      </c>
      <c r="C17" s="1">
        <v>0</v>
      </c>
      <c r="D17" s="27">
        <v>1</v>
      </c>
      <c r="F17" s="10">
        <f t="shared" si="6"/>
        <v>13</v>
      </c>
      <c r="G17" s="13">
        <v>310.14415362245018</v>
      </c>
      <c r="H17" s="13">
        <v>6.8700000000000002E-3</v>
      </c>
      <c r="I17" s="13">
        <f t="shared" si="0"/>
        <v>7000.89</v>
      </c>
      <c r="J17" s="13">
        <v>7500</v>
      </c>
      <c r="K17" s="13">
        <v>1</v>
      </c>
      <c r="L17" s="13">
        <v>0</v>
      </c>
      <c r="M17" s="13">
        <v>1.6403162055335969</v>
      </c>
      <c r="N17" s="16">
        <f t="shared" si="1"/>
        <v>2.9411764705882353E-2</v>
      </c>
      <c r="P17" s="13"/>
      <c r="Q17" s="13"/>
      <c r="R17" s="13"/>
      <c r="S17" s="14"/>
      <c r="T17" s="15"/>
      <c r="V17" s="1" t="e">
        <f t="shared" si="2"/>
        <v>#VALUE!</v>
      </c>
      <c r="W17" s="1" t="e">
        <f t="shared" si="3"/>
        <v>#VALUE!</v>
      </c>
      <c r="X17" s="1">
        <v>1</v>
      </c>
      <c r="AB17" s="1">
        <f t="shared" si="7"/>
        <v>-0.52053165332069384</v>
      </c>
      <c r="AC17" s="1">
        <f t="shared" si="4"/>
        <v>-0.39466400057422713</v>
      </c>
      <c r="AD17" s="1">
        <f t="shared" si="5"/>
        <v>191.35349048290527</v>
      </c>
    </row>
    <row r="18" spans="2:30">
      <c r="F18" s="10">
        <f t="shared" si="6"/>
        <v>14</v>
      </c>
      <c r="G18" s="13">
        <v>272.71785950608455</v>
      </c>
      <c r="H18" s="13">
        <v>6.8700000000000002E-3</v>
      </c>
      <c r="I18" s="13">
        <f t="shared" si="0"/>
        <v>7000.89</v>
      </c>
      <c r="J18" s="13">
        <v>7600</v>
      </c>
      <c r="K18" s="13">
        <v>1</v>
      </c>
      <c r="L18" s="13">
        <v>0</v>
      </c>
      <c r="M18" s="13">
        <v>1.6403162055335969</v>
      </c>
      <c r="N18" s="16">
        <f t="shared" si="1"/>
        <v>2.9411764705882353E-2</v>
      </c>
      <c r="P18" s="13"/>
      <c r="Q18" s="13"/>
      <c r="R18" s="13"/>
      <c r="S18" s="14"/>
      <c r="T18" s="15"/>
      <c r="V18" s="1" t="e">
        <f t="shared" si="2"/>
        <v>#VALUE!</v>
      </c>
      <c r="W18" s="1" t="e">
        <f t="shared" si="3"/>
        <v>#VALUE!</v>
      </c>
      <c r="X18" s="1">
        <v>1</v>
      </c>
      <c r="AB18" s="1">
        <f t="shared" si="7"/>
        <v>-0.62576303295641544</v>
      </c>
      <c r="AC18" s="1">
        <f t="shared" si="4"/>
        <v>-0.49989538020994873</v>
      </c>
      <c r="AD18" s="1">
        <f t="shared" si="5"/>
        <v>163.33870940336283</v>
      </c>
    </row>
    <row r="19" spans="2:30">
      <c r="B19" s="4" t="s">
        <v>10</v>
      </c>
      <c r="F19" s="10">
        <f t="shared" si="6"/>
        <v>15</v>
      </c>
      <c r="G19" s="13">
        <v>239.2321611350917</v>
      </c>
      <c r="H19" s="13">
        <v>6.8700000000000002E-3</v>
      </c>
      <c r="I19" s="13">
        <f t="shared" si="0"/>
        <v>7000.89</v>
      </c>
      <c r="J19" s="13">
        <v>7700</v>
      </c>
      <c r="K19" s="13">
        <v>1</v>
      </c>
      <c r="L19" s="13">
        <v>0</v>
      </c>
      <c r="M19" s="13">
        <v>1.6403162055335969</v>
      </c>
      <c r="N19" s="16">
        <f t="shared" si="1"/>
        <v>2.9411764705882353E-2</v>
      </c>
      <c r="P19" s="13"/>
      <c r="Q19" s="13"/>
      <c r="R19" s="13"/>
      <c r="S19" s="14"/>
      <c r="T19" s="15"/>
      <c r="V19" s="1" t="e">
        <f t="shared" si="2"/>
        <v>#VALUE!</v>
      </c>
      <c r="W19" s="1" t="e">
        <f t="shared" si="3"/>
        <v>#VALUE!</v>
      </c>
      <c r="X19" s="1">
        <v>1</v>
      </c>
      <c r="AB19" s="1">
        <f t="shared" si="7"/>
        <v>-0.72961879956615538</v>
      </c>
      <c r="AC19" s="1">
        <f t="shared" si="4"/>
        <v>-0.60375114681968867</v>
      </c>
      <c r="AD19" s="1">
        <f t="shared" si="5"/>
        <v>138.71332985546223</v>
      </c>
    </row>
    <row r="20" spans="2:30">
      <c r="B20" s="1" t="s">
        <v>11</v>
      </c>
      <c r="C20" s="1">
        <v>75</v>
      </c>
      <c r="F20" s="10">
        <f t="shared" si="6"/>
        <v>16</v>
      </c>
      <c r="G20" s="13">
        <v>447.49728167819694</v>
      </c>
      <c r="H20" s="13">
        <v>7.2500000000000004E-3</v>
      </c>
      <c r="I20" s="13">
        <f t="shared" si="0"/>
        <v>7000.89</v>
      </c>
      <c r="J20" s="13">
        <v>7000</v>
      </c>
      <c r="K20" s="13">
        <v>1</v>
      </c>
      <c r="L20" s="13">
        <v>0</v>
      </c>
      <c r="M20" s="13">
        <v>1.1264822134387351</v>
      </c>
      <c r="N20" s="16">
        <f t="shared" si="1"/>
        <v>2.9411764705882353E-2</v>
      </c>
      <c r="P20" s="13"/>
      <c r="Q20" s="13"/>
      <c r="R20" s="13"/>
      <c r="S20" s="14"/>
      <c r="T20" s="15"/>
      <c r="V20" s="1" t="e">
        <f t="shared" si="2"/>
        <v>#VALUE!</v>
      </c>
      <c r="W20" s="1" t="e">
        <f t="shared" si="3"/>
        <v>#VALUE!</v>
      </c>
      <c r="X20" s="1">
        <v>1</v>
      </c>
      <c r="AB20" s="1">
        <f t="shared" si="7"/>
        <v>2.736331615182036E-2</v>
      </c>
      <c r="AC20" s="1">
        <f t="shared" si="4"/>
        <v>0.13167009043832267</v>
      </c>
      <c r="AD20" s="1">
        <f t="shared" si="5"/>
        <v>319.81764892478168</v>
      </c>
    </row>
    <row r="21" spans="2:30">
      <c r="B21" s="1" t="s">
        <v>12</v>
      </c>
      <c r="C21" s="1">
        <v>1500</v>
      </c>
      <c r="F21" s="10">
        <f t="shared" si="6"/>
        <v>17</v>
      </c>
      <c r="G21" s="13">
        <v>419.8494563691529</v>
      </c>
      <c r="H21" s="13">
        <v>7.2500000000000004E-3</v>
      </c>
      <c r="I21" s="13">
        <f t="shared" si="0"/>
        <v>7000.89</v>
      </c>
      <c r="J21" s="13">
        <v>7049</v>
      </c>
      <c r="K21" s="13">
        <v>1</v>
      </c>
      <c r="L21" s="13">
        <v>0</v>
      </c>
      <c r="M21" s="13">
        <v>1.1264822134387351</v>
      </c>
      <c r="N21" s="16">
        <f t="shared" si="1"/>
        <v>2.9411764705882353E-2</v>
      </c>
      <c r="P21" s="13"/>
      <c r="Q21" s="13"/>
      <c r="R21" s="13"/>
      <c r="S21" s="14"/>
      <c r="T21" s="15"/>
      <c r="V21" s="1" t="e">
        <f t="shared" si="2"/>
        <v>#VALUE!</v>
      </c>
      <c r="W21" s="1" t="e">
        <f t="shared" si="3"/>
        <v>#VALUE!</v>
      </c>
      <c r="X21" s="1">
        <v>1</v>
      </c>
      <c r="AB21" s="1">
        <f t="shared" si="7"/>
        <v>-3.9512625359564436E-2</v>
      </c>
      <c r="AC21" s="1">
        <f t="shared" si="4"/>
        <v>6.4794148926937856E-2</v>
      </c>
      <c r="AD21" s="1">
        <f t="shared" si="5"/>
        <v>295.63543898560965</v>
      </c>
    </row>
    <row r="22" spans="2:30">
      <c r="B22" s="1" t="s">
        <v>13</v>
      </c>
      <c r="C22" s="1">
        <v>0.5</v>
      </c>
      <c r="F22" s="10">
        <f t="shared" si="6"/>
        <v>18</v>
      </c>
      <c r="G22" s="13">
        <v>419.2224364461631</v>
      </c>
      <c r="H22" s="13">
        <v>7.2500000000000004E-3</v>
      </c>
      <c r="I22" s="13">
        <f t="shared" si="0"/>
        <v>7000.89</v>
      </c>
      <c r="J22" s="13">
        <v>7050</v>
      </c>
      <c r="K22" s="13">
        <v>1</v>
      </c>
      <c r="L22" s="13">
        <v>0</v>
      </c>
      <c r="M22" s="13">
        <v>1.1264822134387351</v>
      </c>
      <c r="N22" s="16">
        <f t="shared" si="1"/>
        <v>2.9411764705882353E-2</v>
      </c>
      <c r="P22" s="13"/>
      <c r="Q22" s="13"/>
      <c r="R22" s="13"/>
      <c r="S22" s="14"/>
      <c r="T22" s="15"/>
      <c r="V22" s="1" t="e">
        <f t="shared" si="2"/>
        <v>#VALUE!</v>
      </c>
      <c r="W22" s="1" t="e">
        <f t="shared" si="3"/>
        <v>#VALUE!</v>
      </c>
      <c r="X22" s="1">
        <v>1</v>
      </c>
      <c r="AB22" s="1">
        <f t="shared" si="7"/>
        <v>-4.0872594866905615E-2</v>
      </c>
      <c r="AC22" s="1">
        <f t="shared" si="4"/>
        <v>6.3434179419596684E-2</v>
      </c>
      <c r="AD22" s="1">
        <f t="shared" si="5"/>
        <v>295.15540568898541</v>
      </c>
    </row>
    <row r="23" spans="2:30">
      <c r="B23" s="1" t="s">
        <v>14</v>
      </c>
      <c r="C23" s="1">
        <v>0.8</v>
      </c>
      <c r="F23" s="10">
        <f t="shared" si="6"/>
        <v>19</v>
      </c>
      <c r="G23" s="13">
        <v>392.42426886281783</v>
      </c>
      <c r="H23" s="13">
        <v>7.2500000000000004E-3</v>
      </c>
      <c r="I23" s="13">
        <f t="shared" si="0"/>
        <v>7000.89</v>
      </c>
      <c r="J23" s="13">
        <v>7100</v>
      </c>
      <c r="K23" s="13">
        <v>1</v>
      </c>
      <c r="L23" s="13">
        <v>0</v>
      </c>
      <c r="M23" s="13">
        <v>1.1264822134387351</v>
      </c>
      <c r="N23" s="16">
        <f t="shared" si="1"/>
        <v>2.9411764705882353E-2</v>
      </c>
      <c r="P23" s="13"/>
      <c r="Q23" s="13"/>
      <c r="R23" s="13"/>
      <c r="S23" s="14"/>
      <c r="T23" s="15"/>
      <c r="V23" s="1" t="e">
        <f t="shared" si="2"/>
        <v>#VALUE!</v>
      </c>
      <c r="W23" s="1" t="e">
        <f t="shared" si="3"/>
        <v>#VALUE!</v>
      </c>
      <c r="X23" s="1">
        <v>1</v>
      </c>
      <c r="AB23" s="1">
        <f t="shared" si="7"/>
        <v>-0.10862626927045736</v>
      </c>
      <c r="AC23" s="1">
        <f t="shared" si="4"/>
        <v>-4.3194949839550634E-3</v>
      </c>
      <c r="AD23" s="1">
        <f t="shared" si="5"/>
        <v>271.83678591694115</v>
      </c>
    </row>
    <row r="24" spans="2:30">
      <c r="B24" s="1" t="s">
        <v>15</v>
      </c>
      <c r="C24" s="1">
        <v>1.0000000000000001E-5</v>
      </c>
      <c r="F24" s="10">
        <f t="shared" si="6"/>
        <v>20</v>
      </c>
      <c r="G24" s="13">
        <v>365.73807393801599</v>
      </c>
      <c r="H24" s="13">
        <v>7.2500000000000004E-3</v>
      </c>
      <c r="I24" s="13">
        <f t="shared" si="0"/>
        <v>7000.89</v>
      </c>
      <c r="J24" s="13">
        <v>7150</v>
      </c>
      <c r="K24" s="13">
        <v>1</v>
      </c>
      <c r="L24" s="13">
        <v>0</v>
      </c>
      <c r="M24" s="13">
        <v>1.1264822134387351</v>
      </c>
      <c r="N24" s="16">
        <f t="shared" si="1"/>
        <v>2.9411764705882353E-2</v>
      </c>
      <c r="P24" s="13"/>
      <c r="Q24" s="13"/>
      <c r="R24" s="13"/>
      <c r="S24" s="14"/>
      <c r="T24" s="15"/>
      <c r="V24" s="1" t="e">
        <f t="shared" si="2"/>
        <v>#VALUE!</v>
      </c>
      <c r="W24" s="1" t="e">
        <f t="shared" si="3"/>
        <v>#VALUE!</v>
      </c>
      <c r="X24" s="1">
        <v>1</v>
      </c>
      <c r="AB24" s="1">
        <f t="shared" si="7"/>
        <v>-0.17590447537595164</v>
      </c>
      <c r="AC24" s="1">
        <f t="shared" si="4"/>
        <v>-7.1597701089449337E-2</v>
      </c>
      <c r="AD24" s="1">
        <f t="shared" si="5"/>
        <v>249.84561032617512</v>
      </c>
    </row>
    <row r="25" spans="2:30">
      <c r="F25" s="10">
        <f t="shared" si="6"/>
        <v>21</v>
      </c>
      <c r="G25" s="13">
        <v>340.56529297378438</v>
      </c>
      <c r="H25" s="13">
        <v>7.2500000000000004E-3</v>
      </c>
      <c r="I25" s="13">
        <f t="shared" si="0"/>
        <v>7000.89</v>
      </c>
      <c r="J25" s="13">
        <v>7200</v>
      </c>
      <c r="K25" s="13">
        <v>1</v>
      </c>
      <c r="L25" s="13">
        <v>0</v>
      </c>
      <c r="M25" s="13">
        <v>1.1264822134387351</v>
      </c>
      <c r="N25" s="16">
        <f t="shared" si="1"/>
        <v>2.9411764705882353E-2</v>
      </c>
      <c r="P25" s="13"/>
      <c r="Q25" s="13"/>
      <c r="R25" s="13"/>
      <c r="S25" s="14"/>
      <c r="T25" s="15"/>
      <c r="V25" s="1" t="e">
        <f t="shared" si="2"/>
        <v>#VALUE!</v>
      </c>
      <c r="W25" s="1" t="e">
        <f t="shared" si="3"/>
        <v>#VALUE!</v>
      </c>
      <c r="X25" s="1">
        <v>1</v>
      </c>
      <c r="AB25" s="1">
        <f t="shared" si="7"/>
        <v>-0.24271384000026913</v>
      </c>
      <c r="AC25" s="1">
        <f t="shared" si="4"/>
        <v>-0.13840706571376682</v>
      </c>
      <c r="AD25" s="1">
        <f t="shared" si="5"/>
        <v>229.1600657651552</v>
      </c>
    </row>
    <row r="26" spans="2:30">
      <c r="B26" s="1" t="s">
        <v>22</v>
      </c>
      <c r="C26" s="1" t="s">
        <v>127</v>
      </c>
      <c r="F26" s="10">
        <f t="shared" si="6"/>
        <v>22</v>
      </c>
      <c r="G26" s="13">
        <v>316.36922185192543</v>
      </c>
      <c r="H26" s="13">
        <v>7.2500000000000004E-3</v>
      </c>
      <c r="I26" s="13">
        <f t="shared" si="0"/>
        <v>7000.89</v>
      </c>
      <c r="J26" s="13">
        <v>7250</v>
      </c>
      <c r="K26" s="13">
        <v>1</v>
      </c>
      <c r="L26" s="13">
        <v>0</v>
      </c>
      <c r="M26" s="13">
        <v>1.1264822134387351</v>
      </c>
      <c r="N26" s="16">
        <f t="shared" si="1"/>
        <v>2.9411764705882353E-2</v>
      </c>
      <c r="P26" s="13"/>
      <c r="Q26" s="13"/>
      <c r="R26" s="13"/>
      <c r="S26" s="14"/>
      <c r="T26" s="15"/>
      <c r="V26" s="1" t="e">
        <f t="shared" si="2"/>
        <v>#VALUE!</v>
      </c>
      <c r="W26" s="1" t="e">
        <f t="shared" si="3"/>
        <v>#VALUE!</v>
      </c>
      <c r="X26" s="1">
        <v>1</v>
      </c>
      <c r="AB26" s="1">
        <f t="shared" si="7"/>
        <v>-0.30906085237709885</v>
      </c>
      <c r="AC26" s="1">
        <f t="shared" si="4"/>
        <v>-0.20475407809059654</v>
      </c>
      <c r="AD26" s="1">
        <f t="shared" si="5"/>
        <v>209.75310960047409</v>
      </c>
    </row>
    <row r="27" spans="2:30">
      <c r="F27" s="10">
        <f t="shared" si="6"/>
        <v>23</v>
      </c>
      <c r="G27" s="13">
        <v>307.16726131220867</v>
      </c>
      <c r="H27" s="13">
        <v>7.2500000000000004E-3</v>
      </c>
      <c r="I27" s="13">
        <f t="shared" si="0"/>
        <v>7000.89</v>
      </c>
      <c r="J27" s="13">
        <v>7270</v>
      </c>
      <c r="K27" s="13">
        <v>1</v>
      </c>
      <c r="L27" s="13">
        <v>0</v>
      </c>
      <c r="M27" s="13">
        <v>1.1264822134387351</v>
      </c>
      <c r="N27" s="16">
        <f t="shared" si="1"/>
        <v>2.9411764705882353E-2</v>
      </c>
      <c r="P27" s="13"/>
      <c r="Q27" s="13"/>
      <c r="R27" s="13"/>
      <c r="S27" s="14"/>
      <c r="T27" s="15"/>
      <c r="V27" s="1" t="e">
        <f t="shared" si="2"/>
        <v>#VALUE!</v>
      </c>
      <c r="W27" s="1" t="e">
        <f t="shared" si="3"/>
        <v>#VALUE!</v>
      </c>
      <c r="X27" s="1">
        <v>1</v>
      </c>
      <c r="AB27" s="1">
        <f t="shared" si="7"/>
        <v>-0.33547162672697772</v>
      </c>
      <c r="AC27" s="1">
        <f t="shared" si="4"/>
        <v>-0.23116485244047541</v>
      </c>
      <c r="AD27" s="1">
        <f t="shared" si="5"/>
        <v>202.34135414432058</v>
      </c>
    </row>
    <row r="28" spans="2:30">
      <c r="B28" s="4" t="s">
        <v>34</v>
      </c>
      <c r="C28" s="1" t="str">
        <f>C4</f>
        <v>UKX</v>
      </c>
      <c r="F28" s="10">
        <f t="shared" si="6"/>
        <v>24</v>
      </c>
      <c r="G28" s="13">
        <v>293.75947803127519</v>
      </c>
      <c r="H28" s="13">
        <v>7.2500000000000004E-3</v>
      </c>
      <c r="I28" s="13">
        <f t="shared" si="0"/>
        <v>7000.89</v>
      </c>
      <c r="J28" s="13">
        <v>7300</v>
      </c>
      <c r="K28" s="13">
        <v>1</v>
      </c>
      <c r="L28" s="13">
        <v>0</v>
      </c>
      <c r="M28" s="13">
        <v>1.1264822134387351</v>
      </c>
      <c r="N28" s="16">
        <f t="shared" si="1"/>
        <v>2.9411764705882353E-2</v>
      </c>
      <c r="P28" s="13"/>
      <c r="Q28" s="13"/>
      <c r="R28" s="13"/>
      <c r="S28" s="14"/>
      <c r="T28" s="15"/>
      <c r="V28" s="1" t="e">
        <f t="shared" si="2"/>
        <v>#VALUE!</v>
      </c>
      <c r="W28" s="1" t="e">
        <f t="shared" si="3"/>
        <v>#VALUE!</v>
      </c>
      <c r="X28" s="1">
        <v>1</v>
      </c>
      <c r="AB28" s="1">
        <f t="shared" si="7"/>
        <v>-0.37495186793936852</v>
      </c>
      <c r="AC28" s="1">
        <f t="shared" si="4"/>
        <v>-0.27064509365286621</v>
      </c>
      <c r="AD28" s="1">
        <f t="shared" si="5"/>
        <v>191.592924519804</v>
      </c>
    </row>
    <row r="29" spans="2:30">
      <c r="B29" s="28" t="s">
        <v>5</v>
      </c>
      <c r="C29" s="1">
        <v>19.692587145800001</v>
      </c>
      <c r="F29" s="10">
        <f t="shared" si="6"/>
        <v>25</v>
      </c>
      <c r="G29" s="13">
        <v>277.47368668577701</v>
      </c>
      <c r="H29" s="13">
        <v>7.2500000000000004E-3</v>
      </c>
      <c r="I29" s="13">
        <f t="shared" si="0"/>
        <v>7000.89</v>
      </c>
      <c r="J29" s="13">
        <v>7337</v>
      </c>
      <c r="K29" s="13">
        <v>1</v>
      </c>
      <c r="L29" s="13">
        <v>0</v>
      </c>
      <c r="M29" s="13">
        <v>1.1264822134387351</v>
      </c>
      <c r="N29" s="16">
        <f t="shared" si="1"/>
        <v>2.9411764705882353E-2</v>
      </c>
      <c r="P29" s="13"/>
      <c r="Q29" s="13"/>
      <c r="R29" s="13"/>
      <c r="S29" s="14"/>
      <c r="T29" s="15"/>
      <c r="V29" s="1" t="e">
        <f t="shared" si="2"/>
        <v>#VALUE!</v>
      </c>
      <c r="W29" s="1" t="e">
        <f t="shared" si="3"/>
        <v>#VALUE!</v>
      </c>
      <c r="X29" s="1">
        <v>1</v>
      </c>
      <c r="AB29" s="1">
        <f t="shared" si="7"/>
        <v>-0.42342131407165046</v>
      </c>
      <c r="AC29" s="1">
        <f t="shared" si="4"/>
        <v>-0.31911453978514814</v>
      </c>
      <c r="AD29" s="1">
        <f t="shared" si="5"/>
        <v>178.93598187002453</v>
      </c>
    </row>
    <row r="30" spans="2:30">
      <c r="B30" s="28" t="s">
        <v>6</v>
      </c>
      <c r="C30" s="1">
        <v>1.1234533200000001E-2</v>
      </c>
      <c r="F30" s="10">
        <f t="shared" si="6"/>
        <v>26</v>
      </c>
      <c r="G30" s="13">
        <v>272.18591150972179</v>
      </c>
      <c r="H30" s="13">
        <v>7.2500000000000004E-3</v>
      </c>
      <c r="I30" s="13">
        <f t="shared" si="0"/>
        <v>7000.89</v>
      </c>
      <c r="J30" s="13">
        <v>7350</v>
      </c>
      <c r="K30" s="13">
        <v>1</v>
      </c>
      <c r="L30" s="13">
        <v>0</v>
      </c>
      <c r="M30" s="13">
        <v>1.1264822134387351</v>
      </c>
      <c r="N30" s="16">
        <f t="shared" si="1"/>
        <v>2.9411764705882353E-2</v>
      </c>
      <c r="P30" s="13"/>
      <c r="Q30" s="13"/>
      <c r="R30" s="13"/>
      <c r="S30" s="14"/>
      <c r="T30" s="15"/>
      <c r="V30" s="1" t="e">
        <f t="shared" si="2"/>
        <v>#VALUE!</v>
      </c>
      <c r="W30" s="1" t="e">
        <f t="shared" si="3"/>
        <v>#VALUE!</v>
      </c>
      <c r="X30" s="1">
        <v>1</v>
      </c>
      <c r="AB30" s="1">
        <f t="shared" si="7"/>
        <v>-0.44039311197257702</v>
      </c>
      <c r="AC30" s="1">
        <f t="shared" si="4"/>
        <v>-0.33608633768607471</v>
      </c>
      <c r="AD30" s="1">
        <f t="shared" si="5"/>
        <v>174.64341261384016</v>
      </c>
    </row>
    <row r="31" spans="2:30" ht="17.5">
      <c r="B31" s="28" t="s">
        <v>44</v>
      </c>
      <c r="C31" s="1">
        <v>6.8523226199999995E-2</v>
      </c>
      <c r="F31" s="10">
        <f t="shared" si="6"/>
        <v>27</v>
      </c>
      <c r="G31" s="13">
        <v>251.67209587107118</v>
      </c>
      <c r="H31" s="13">
        <v>7.2500000000000004E-3</v>
      </c>
      <c r="I31" s="13">
        <f t="shared" si="0"/>
        <v>7000.89</v>
      </c>
      <c r="J31" s="13">
        <v>7400</v>
      </c>
      <c r="K31" s="13">
        <v>1</v>
      </c>
      <c r="L31" s="13">
        <v>0</v>
      </c>
      <c r="M31" s="13">
        <v>1.1264822134387351</v>
      </c>
      <c r="N31" s="16">
        <f t="shared" si="1"/>
        <v>2.9411764705882353E-2</v>
      </c>
      <c r="P31" s="13"/>
      <c r="Q31" s="13"/>
      <c r="R31" s="13"/>
      <c r="S31" s="14"/>
      <c r="T31" s="15"/>
      <c r="V31" s="1" t="e">
        <f t="shared" si="2"/>
        <v>#VALUE!</v>
      </c>
      <c r="W31" s="1" t="e">
        <f t="shared" si="3"/>
        <v>#VALUE!</v>
      </c>
      <c r="X31" s="1">
        <v>1</v>
      </c>
      <c r="AB31" s="1">
        <f t="shared" si="7"/>
        <v>-0.50539068314429092</v>
      </c>
      <c r="AC31" s="1">
        <f t="shared" si="4"/>
        <v>-0.40108390885778861</v>
      </c>
      <c r="AD31" s="1">
        <f t="shared" si="5"/>
        <v>158.86471753951037</v>
      </c>
    </row>
    <row r="32" spans="2:30">
      <c r="B32" s="28" t="s">
        <v>7</v>
      </c>
      <c r="C32" s="1">
        <v>0.40233500420000001</v>
      </c>
      <c r="F32" s="10">
        <f t="shared" si="6"/>
        <v>28</v>
      </c>
      <c r="G32" s="13">
        <v>213.61167683413987</v>
      </c>
      <c r="H32" s="13">
        <v>7.2500000000000004E-3</v>
      </c>
      <c r="I32" s="13">
        <f t="shared" si="0"/>
        <v>7000.89</v>
      </c>
      <c r="J32" s="13">
        <v>7500</v>
      </c>
      <c r="K32" s="13">
        <v>1</v>
      </c>
      <c r="L32" s="13">
        <v>0</v>
      </c>
      <c r="M32" s="13">
        <v>1.1264822134387351</v>
      </c>
      <c r="N32" s="16">
        <f t="shared" si="1"/>
        <v>2.9411764705882353E-2</v>
      </c>
      <c r="P32" s="13"/>
      <c r="Q32" s="13"/>
      <c r="R32" s="13"/>
      <c r="S32" s="14"/>
      <c r="T32" s="15"/>
      <c r="V32" s="1" t="e">
        <f t="shared" si="2"/>
        <v>#VALUE!</v>
      </c>
      <c r="W32" s="1" t="e">
        <f t="shared" si="3"/>
        <v>#VALUE!</v>
      </c>
      <c r="X32" s="1">
        <v>1</v>
      </c>
      <c r="AB32" s="1">
        <f t="shared" si="7"/>
        <v>-0.63407858883363044</v>
      </c>
      <c r="AC32" s="1">
        <f t="shared" si="4"/>
        <v>-0.52977181454712818</v>
      </c>
      <c r="AD32" s="1">
        <f t="shared" si="5"/>
        <v>130.64480271597313</v>
      </c>
    </row>
    <row r="33" spans="2:30">
      <c r="B33" s="28" t="s">
        <v>8</v>
      </c>
      <c r="C33" s="1">
        <v>-0.60107984699999994</v>
      </c>
      <c r="F33" s="10">
        <f t="shared" si="6"/>
        <v>29</v>
      </c>
      <c r="G33" s="13">
        <v>186.39816184539222</v>
      </c>
      <c r="H33" s="13">
        <v>7.2500000000000004E-3</v>
      </c>
      <c r="I33" s="13">
        <f t="shared" si="0"/>
        <v>7000.89</v>
      </c>
      <c r="J33" s="13">
        <v>7600</v>
      </c>
      <c r="K33" s="13">
        <v>1</v>
      </c>
      <c r="L33" s="13">
        <v>0</v>
      </c>
      <c r="M33" s="13">
        <v>1.1264822134387351</v>
      </c>
      <c r="N33" s="16">
        <f t="shared" si="1"/>
        <v>2.9411764705882353E-2</v>
      </c>
      <c r="P33" s="13"/>
      <c r="Q33" s="13"/>
      <c r="R33" s="13"/>
      <c r="S33" s="14"/>
      <c r="T33" s="15"/>
      <c r="V33" s="1" t="e">
        <f t="shared" si="2"/>
        <v>#VALUE!</v>
      </c>
      <c r="W33" s="1" t="e">
        <f t="shared" si="3"/>
        <v>#VALUE!</v>
      </c>
      <c r="X33" s="1">
        <v>1</v>
      </c>
      <c r="AB33" s="1">
        <f t="shared" si="7"/>
        <v>-0.76106196877825016</v>
      </c>
      <c r="AC33" s="1">
        <f t="shared" si="4"/>
        <v>-0.65675519449174791</v>
      </c>
      <c r="AD33" s="1">
        <f t="shared" si="5"/>
        <v>106.55974305507107</v>
      </c>
    </row>
    <row r="34" spans="2:30">
      <c r="B34" s="26" t="s">
        <v>54</v>
      </c>
      <c r="C34" s="1">
        <v>2.0470037699999999E-2</v>
      </c>
      <c r="F34" s="10">
        <f t="shared" si="6"/>
        <v>30</v>
      </c>
      <c r="G34" s="13">
        <v>156.30303815435423</v>
      </c>
      <c r="H34" s="13">
        <v>7.2500000000000004E-3</v>
      </c>
      <c r="I34" s="13">
        <f t="shared" si="0"/>
        <v>7000.89</v>
      </c>
      <c r="J34" s="13">
        <v>7700</v>
      </c>
      <c r="K34" s="13">
        <v>1</v>
      </c>
      <c r="L34" s="13">
        <v>0</v>
      </c>
      <c r="M34" s="13">
        <v>1.1264822134387351</v>
      </c>
      <c r="N34" s="16">
        <f t="shared" si="1"/>
        <v>2.9411764705882353E-2</v>
      </c>
      <c r="P34" s="13"/>
      <c r="Q34" s="13"/>
      <c r="R34" s="13"/>
      <c r="S34" s="14"/>
      <c r="T34" s="15"/>
      <c r="V34" s="1" t="e">
        <f t="shared" si="2"/>
        <v>#VALUE!</v>
      </c>
      <c r="W34" s="1" t="e">
        <f t="shared" si="3"/>
        <v>#VALUE!</v>
      </c>
      <c r="X34" s="1">
        <v>1</v>
      </c>
      <c r="AB34" s="1">
        <f t="shared" si="7"/>
        <v>-0.88638538767190134</v>
      </c>
      <c r="AC34" s="1">
        <f t="shared" si="4"/>
        <v>-0.78207861338539908</v>
      </c>
      <c r="AD34" s="1">
        <f t="shared" si="5"/>
        <v>86.21035548686109</v>
      </c>
    </row>
    <row r="35" spans="2:30">
      <c r="B35" s="28" t="s">
        <v>55</v>
      </c>
      <c r="C35" s="1">
        <v>-1.6969324664000001</v>
      </c>
      <c r="F35" s="10">
        <f t="shared" si="6"/>
        <v>31</v>
      </c>
      <c r="G35" s="13">
        <v>130.19570625684378</v>
      </c>
      <c r="H35" s="13">
        <v>7.2500000000000004E-3</v>
      </c>
      <c r="I35" s="13">
        <f t="shared" si="0"/>
        <v>7000.89</v>
      </c>
      <c r="J35" s="13">
        <v>7800</v>
      </c>
      <c r="K35" s="13">
        <v>1</v>
      </c>
      <c r="L35" s="13">
        <v>0</v>
      </c>
      <c r="M35" s="13">
        <v>1.1264822134387351</v>
      </c>
      <c r="N35" s="16">
        <f t="shared" si="1"/>
        <v>2.9411764705882353E-2</v>
      </c>
      <c r="P35" s="13"/>
      <c r="Q35" s="13"/>
      <c r="R35" s="13"/>
      <c r="S35" s="14"/>
      <c r="T35" s="15"/>
      <c r="V35" s="1" t="e">
        <f t="shared" si="2"/>
        <v>#VALUE!</v>
      </c>
      <c r="W35" s="1" t="e">
        <f t="shared" si="3"/>
        <v>#VALUE!</v>
      </c>
      <c r="X35" s="1">
        <v>1</v>
      </c>
      <c r="AB35" s="1">
        <f t="shared" si="7"/>
        <v>-1.0100916850257595</v>
      </c>
      <c r="AC35" s="1">
        <f t="shared" si="4"/>
        <v>-0.90578491073925727</v>
      </c>
      <c r="AD35" s="1">
        <f t="shared" si="5"/>
        <v>69.187552460847655</v>
      </c>
    </row>
    <row r="36" spans="2:30">
      <c r="B36" s="28" t="s">
        <v>56</v>
      </c>
      <c r="C36" s="1">
        <v>1.0443258299999999E-2</v>
      </c>
      <c r="F36" s="10">
        <f t="shared" si="6"/>
        <v>32</v>
      </c>
      <c r="G36" s="13">
        <v>107.70079025287441</v>
      </c>
      <c r="H36" s="13">
        <v>7.2500000000000004E-3</v>
      </c>
      <c r="I36" s="13">
        <f t="shared" si="0"/>
        <v>7000.89</v>
      </c>
      <c r="J36" s="13">
        <v>7900</v>
      </c>
      <c r="K36" s="13">
        <v>1</v>
      </c>
      <c r="L36" s="13">
        <v>0</v>
      </c>
      <c r="M36" s="13">
        <v>1.1264822134387351</v>
      </c>
      <c r="N36" s="16">
        <f t="shared" si="1"/>
        <v>2.9411764705882353E-2</v>
      </c>
      <c r="P36" s="13"/>
      <c r="Q36" s="13"/>
      <c r="R36" s="13"/>
      <c r="S36" s="14"/>
      <c r="T36" s="15"/>
      <c r="V36" s="1" t="e">
        <f t="shared" si="2"/>
        <v>#VALUE!</v>
      </c>
      <c r="W36" s="1" t="e">
        <f t="shared" si="3"/>
        <v>#VALUE!</v>
      </c>
      <c r="X36" s="1">
        <v>1</v>
      </c>
      <c r="AB36" s="1">
        <f t="shared" si="7"/>
        <v>-1.132222063081926</v>
      </c>
      <c r="AC36" s="1">
        <f t="shared" si="4"/>
        <v>-1.0279152887954237</v>
      </c>
      <c r="AD36" s="1">
        <f t="shared" si="5"/>
        <v>55.08620026737276</v>
      </c>
    </row>
    <row r="37" spans="2:30">
      <c r="B37" s="22"/>
      <c r="F37" s="10">
        <f t="shared" si="6"/>
        <v>33</v>
      </c>
      <c r="G37" s="13">
        <v>88.543939357893578</v>
      </c>
      <c r="H37" s="13">
        <v>7.2500000000000004E-3</v>
      </c>
      <c r="I37" s="13">
        <f t="shared" si="0"/>
        <v>7000.89</v>
      </c>
      <c r="J37" s="13">
        <v>8000</v>
      </c>
      <c r="K37" s="13">
        <v>1</v>
      </c>
      <c r="L37" s="13">
        <v>0</v>
      </c>
      <c r="M37" s="13">
        <v>1.1264822134387351</v>
      </c>
      <c r="N37" s="16">
        <f t="shared" si="1"/>
        <v>2.9411764705882353E-2</v>
      </c>
      <c r="P37" s="13"/>
      <c r="Q37" s="13"/>
      <c r="R37" s="13"/>
      <c r="S37" s="14"/>
      <c r="T37" s="15"/>
      <c r="V37" s="1" t="e">
        <f t="shared" si="2"/>
        <v>#VALUE!</v>
      </c>
      <c r="W37" s="1" t="e">
        <f t="shared" si="3"/>
        <v>#VALUE!</v>
      </c>
      <c r="X37" s="1">
        <v>1</v>
      </c>
      <c r="AB37" s="1">
        <f t="shared" si="7"/>
        <v>-1.2528161691973134</v>
      </c>
      <c r="AC37" s="1">
        <f t="shared" si="4"/>
        <v>-1.1485093949108112</v>
      </c>
      <c r="AD37" s="1">
        <f t="shared" si="5"/>
        <v>43.516511632923198</v>
      </c>
    </row>
    <row r="38" spans="2:30">
      <c r="F38" s="10">
        <f t="shared" si="6"/>
        <v>34</v>
      </c>
      <c r="G38" s="13">
        <v>70.599020466102274</v>
      </c>
      <c r="H38" s="13">
        <v>7.2500000000000004E-3</v>
      </c>
      <c r="I38" s="13">
        <f t="shared" si="0"/>
        <v>7000.89</v>
      </c>
      <c r="J38" s="13">
        <v>8100</v>
      </c>
      <c r="K38" s="13">
        <v>1</v>
      </c>
      <c r="L38" s="13">
        <v>0</v>
      </c>
      <c r="M38" s="13">
        <v>1.1264822134387351</v>
      </c>
      <c r="N38" s="16">
        <f t="shared" si="1"/>
        <v>2.9411764705882353E-2</v>
      </c>
      <c r="P38" s="13"/>
      <c r="Q38" s="13"/>
      <c r="R38" s="13"/>
      <c r="S38" s="14"/>
      <c r="T38" s="15"/>
      <c r="V38" s="1" t="e">
        <f t="shared" si="2"/>
        <v>#VALUE!</v>
      </c>
      <c r="W38" s="1" t="e">
        <f t="shared" si="3"/>
        <v>#VALUE!</v>
      </c>
      <c r="X38" s="1">
        <v>1</v>
      </c>
      <c r="AB38" s="1">
        <f t="shared" si="7"/>
        <v>-1.3719121731101165</v>
      </c>
      <c r="AC38" s="1">
        <f t="shared" si="4"/>
        <v>-1.2676053988236142</v>
      </c>
      <c r="AD38" s="1">
        <f t="shared" si="5"/>
        <v>34.112765926229599</v>
      </c>
    </row>
    <row r="39" spans="2:30">
      <c r="F39" s="10">
        <f t="shared" si="6"/>
        <v>35</v>
      </c>
      <c r="G39" s="13"/>
      <c r="H39" s="13"/>
      <c r="I39" s="13"/>
      <c r="J39" s="13"/>
      <c r="K39" s="13"/>
      <c r="L39" s="13"/>
      <c r="M39" s="13"/>
      <c r="N39" s="16"/>
      <c r="P39" s="13"/>
      <c r="Q39" s="13"/>
      <c r="R39" s="13"/>
      <c r="S39" s="14"/>
      <c r="T39" s="15"/>
      <c r="V39" s="1" t="e">
        <f t="shared" si="2"/>
        <v>#VALUE!</v>
      </c>
      <c r="W39" s="1" t="e">
        <f t="shared" si="3"/>
        <v>#VALUE!</v>
      </c>
      <c r="X39" s="1">
        <v>1</v>
      </c>
      <c r="AB39" s="1" t="e">
        <f t="shared" si="7"/>
        <v>#DIV/0!</v>
      </c>
      <c r="AC39" s="1" t="e">
        <f t="shared" si="4"/>
        <v>#DIV/0!</v>
      </c>
      <c r="AD39" s="1" t="e">
        <f t="shared" si="5"/>
        <v>#DIV/0!</v>
      </c>
    </row>
    <row r="40" spans="2:30">
      <c r="F40" s="10">
        <f t="shared" si="6"/>
        <v>36</v>
      </c>
      <c r="G40" s="13"/>
      <c r="H40" s="13"/>
      <c r="I40" s="13"/>
      <c r="J40" s="13"/>
      <c r="K40" s="13"/>
      <c r="L40" s="13"/>
      <c r="M40" s="13"/>
      <c r="N40" s="16"/>
      <c r="P40" s="13"/>
      <c r="Q40" s="13"/>
      <c r="R40" s="13"/>
      <c r="S40" s="14"/>
      <c r="T40" s="15"/>
      <c r="V40" s="1" t="e">
        <f t="shared" si="2"/>
        <v>#VALUE!</v>
      </c>
      <c r="W40" s="1" t="e">
        <f t="shared" si="3"/>
        <v>#VALUE!</v>
      </c>
      <c r="X40" s="1">
        <v>1</v>
      </c>
      <c r="AB40" s="1" t="e">
        <f t="shared" si="7"/>
        <v>#DIV/0!</v>
      </c>
      <c r="AC40" s="1" t="e">
        <f t="shared" si="4"/>
        <v>#DIV/0!</v>
      </c>
      <c r="AD40" s="1" t="e">
        <f t="shared" si="5"/>
        <v>#DIV/0!</v>
      </c>
    </row>
    <row r="41" spans="2:30">
      <c r="F41" s="10">
        <f t="shared" si="6"/>
        <v>37</v>
      </c>
      <c r="G41" s="13"/>
      <c r="H41" s="13"/>
      <c r="I41" s="13"/>
      <c r="J41" s="13"/>
      <c r="K41" s="13"/>
      <c r="L41" s="13"/>
      <c r="M41" s="13"/>
      <c r="N41" s="16"/>
      <c r="P41" s="13"/>
      <c r="Q41" s="13"/>
      <c r="R41" s="13"/>
      <c r="S41" s="14"/>
      <c r="T41" s="15"/>
      <c r="V41" s="1" t="e">
        <f t="shared" si="2"/>
        <v>#VALUE!</v>
      </c>
      <c r="W41" s="1" t="e">
        <f t="shared" si="3"/>
        <v>#VALUE!</v>
      </c>
      <c r="X41" s="1">
        <v>1</v>
      </c>
      <c r="AB41" s="1" t="e">
        <f t="shared" si="7"/>
        <v>#DIV/0!</v>
      </c>
      <c r="AC41" s="1" t="e">
        <f t="shared" si="4"/>
        <v>#DIV/0!</v>
      </c>
      <c r="AD41" s="1" t="e">
        <f t="shared" si="5"/>
        <v>#DIV/0!</v>
      </c>
    </row>
    <row r="42" spans="2:30">
      <c r="F42" s="10">
        <f t="shared" si="6"/>
        <v>38</v>
      </c>
      <c r="G42" s="13"/>
      <c r="H42" s="13"/>
      <c r="I42" s="13"/>
      <c r="J42" s="13"/>
      <c r="K42" s="13"/>
      <c r="L42" s="13"/>
      <c r="M42" s="13"/>
      <c r="N42" s="16"/>
      <c r="P42" s="13"/>
      <c r="Q42" s="13"/>
      <c r="R42" s="13"/>
      <c r="S42" s="14"/>
      <c r="T42" s="15"/>
      <c r="V42" s="1" t="e">
        <f t="shared" si="2"/>
        <v>#VALUE!</v>
      </c>
      <c r="W42" s="1" t="e">
        <f t="shared" si="3"/>
        <v>#VALUE!</v>
      </c>
      <c r="X42" s="1">
        <v>1</v>
      </c>
      <c r="AB42" s="1" t="e">
        <f t="shared" si="7"/>
        <v>#DIV/0!</v>
      </c>
      <c r="AC42" s="1" t="e">
        <f t="shared" si="4"/>
        <v>#DIV/0!</v>
      </c>
      <c r="AD42" s="1" t="e">
        <f t="shared" si="5"/>
        <v>#DIV/0!</v>
      </c>
    </row>
    <row r="43" spans="2:30">
      <c r="F43" s="10">
        <f t="shared" si="6"/>
        <v>39</v>
      </c>
      <c r="G43" s="13"/>
      <c r="H43" s="13"/>
      <c r="I43" s="13"/>
      <c r="J43" s="13"/>
      <c r="K43" s="13"/>
      <c r="L43" s="13"/>
      <c r="M43" s="13"/>
      <c r="N43" s="16"/>
      <c r="P43" s="13"/>
      <c r="Q43" s="13"/>
      <c r="R43" s="13"/>
      <c r="S43" s="14"/>
      <c r="T43" s="15"/>
      <c r="V43" s="1" t="e">
        <f t="shared" si="2"/>
        <v>#VALUE!</v>
      </c>
      <c r="W43" s="1" t="e">
        <f t="shared" si="3"/>
        <v>#VALUE!</v>
      </c>
      <c r="X43" s="1">
        <v>1</v>
      </c>
      <c r="AB43" s="1" t="e">
        <f t="shared" si="7"/>
        <v>#DIV/0!</v>
      </c>
      <c r="AC43" s="1" t="e">
        <f t="shared" si="4"/>
        <v>#DIV/0!</v>
      </c>
      <c r="AD43" s="1" t="e">
        <f t="shared" si="5"/>
        <v>#DIV/0!</v>
      </c>
    </row>
    <row r="44" spans="2:30">
      <c r="F44" s="10">
        <f t="shared" si="6"/>
        <v>40</v>
      </c>
      <c r="G44" s="13"/>
      <c r="H44" s="13"/>
      <c r="I44" s="13"/>
      <c r="J44" s="13"/>
      <c r="K44" s="13"/>
      <c r="L44" s="13"/>
      <c r="M44" s="13"/>
      <c r="N44" s="16"/>
      <c r="P44" s="13"/>
      <c r="Q44" s="13"/>
      <c r="R44" s="13"/>
      <c r="S44" s="14"/>
      <c r="T44" s="15"/>
      <c r="V44" s="1" t="e">
        <f t="shared" si="2"/>
        <v>#VALUE!</v>
      </c>
      <c r="W44" s="1" t="e">
        <f t="shared" si="3"/>
        <v>#VALUE!</v>
      </c>
      <c r="X44" s="1">
        <v>1</v>
      </c>
      <c r="AB44" s="1" t="e">
        <f t="shared" si="7"/>
        <v>#DIV/0!</v>
      </c>
      <c r="AC44" s="1" t="e">
        <f t="shared" si="4"/>
        <v>#DIV/0!</v>
      </c>
      <c r="AD44" s="1" t="e">
        <f t="shared" si="5"/>
        <v>#DIV/0!</v>
      </c>
    </row>
    <row r="45" spans="2:30">
      <c r="F45" s="10">
        <f t="shared" si="6"/>
        <v>41</v>
      </c>
      <c r="G45" s="13"/>
      <c r="H45" s="13"/>
      <c r="I45" s="13"/>
      <c r="J45" s="13"/>
      <c r="K45" s="13"/>
      <c r="L45" s="13"/>
      <c r="M45" s="13"/>
      <c r="N45" s="16"/>
      <c r="P45" s="13"/>
      <c r="Q45" s="13"/>
      <c r="R45" s="13"/>
      <c r="S45" s="14"/>
      <c r="T45" s="15"/>
      <c r="V45" s="1" t="e">
        <f t="shared" si="2"/>
        <v>#VALUE!</v>
      </c>
      <c r="W45" s="1" t="e">
        <f t="shared" si="3"/>
        <v>#VALUE!</v>
      </c>
      <c r="X45" s="1">
        <v>1</v>
      </c>
      <c r="AB45" s="1" t="e">
        <f t="shared" si="7"/>
        <v>#DIV/0!</v>
      </c>
      <c r="AC45" s="1" t="e">
        <f t="shared" si="4"/>
        <v>#DIV/0!</v>
      </c>
      <c r="AD45" s="1" t="e">
        <f t="shared" si="5"/>
        <v>#DIV/0!</v>
      </c>
    </row>
    <row r="46" spans="2:30">
      <c r="F46" s="10">
        <f t="shared" si="6"/>
        <v>42</v>
      </c>
      <c r="G46" s="13"/>
      <c r="H46" s="13"/>
      <c r="I46" s="13"/>
      <c r="J46" s="13"/>
      <c r="K46" s="13"/>
      <c r="L46" s="13"/>
      <c r="M46" s="13"/>
      <c r="N46" s="16"/>
      <c r="P46" s="13"/>
      <c r="Q46" s="13"/>
      <c r="R46" s="13"/>
      <c r="S46" s="14"/>
      <c r="T46" s="15"/>
      <c r="V46" s="1" t="e">
        <f t="shared" si="2"/>
        <v>#VALUE!</v>
      </c>
      <c r="W46" s="1" t="e">
        <f t="shared" si="3"/>
        <v>#VALUE!</v>
      </c>
      <c r="X46" s="1">
        <v>1</v>
      </c>
      <c r="AB46" s="1" t="e">
        <f t="shared" si="7"/>
        <v>#DIV/0!</v>
      </c>
      <c r="AC46" s="1" t="e">
        <f t="shared" si="4"/>
        <v>#DIV/0!</v>
      </c>
      <c r="AD46" s="1" t="e">
        <f t="shared" si="5"/>
        <v>#DIV/0!</v>
      </c>
    </row>
    <row r="47" spans="2:30">
      <c r="F47" s="10">
        <f t="shared" si="6"/>
        <v>43</v>
      </c>
      <c r="G47" s="13"/>
      <c r="H47" s="13"/>
      <c r="I47" s="13"/>
      <c r="J47" s="13"/>
      <c r="K47" s="13"/>
      <c r="L47" s="13"/>
      <c r="M47" s="13"/>
      <c r="N47" s="16"/>
      <c r="P47" s="13"/>
      <c r="Q47" s="13"/>
      <c r="R47" s="13"/>
      <c r="S47" s="14"/>
      <c r="T47" s="15"/>
      <c r="V47" s="1" t="e">
        <f t="shared" si="2"/>
        <v>#VALUE!</v>
      </c>
      <c r="W47" s="1" t="e">
        <f t="shared" si="3"/>
        <v>#VALUE!</v>
      </c>
      <c r="X47" s="1">
        <v>1</v>
      </c>
      <c r="AB47" s="1" t="e">
        <f t="shared" si="7"/>
        <v>#DIV/0!</v>
      </c>
      <c r="AC47" s="1" t="e">
        <f t="shared" si="4"/>
        <v>#DIV/0!</v>
      </c>
      <c r="AD47" s="1" t="e">
        <f t="shared" si="5"/>
        <v>#DIV/0!</v>
      </c>
    </row>
    <row r="48" spans="2:30">
      <c r="F48" s="10">
        <f t="shared" si="6"/>
        <v>44</v>
      </c>
      <c r="G48" s="13"/>
      <c r="H48" s="13"/>
      <c r="I48" s="13"/>
      <c r="J48" s="13"/>
      <c r="K48" s="13"/>
      <c r="L48" s="13"/>
      <c r="M48" s="13"/>
      <c r="N48" s="16"/>
      <c r="P48" s="13"/>
      <c r="Q48" s="13"/>
      <c r="R48" s="13"/>
      <c r="S48" s="14"/>
      <c r="T48" s="15"/>
      <c r="V48" s="1" t="e">
        <f t="shared" si="2"/>
        <v>#VALUE!</v>
      </c>
      <c r="W48" s="1" t="e">
        <f t="shared" si="3"/>
        <v>#VALUE!</v>
      </c>
      <c r="X48" s="1">
        <v>1</v>
      </c>
      <c r="AB48" s="1" t="e">
        <f t="shared" si="7"/>
        <v>#DIV/0!</v>
      </c>
      <c r="AC48" s="1" t="e">
        <f t="shared" si="4"/>
        <v>#DIV/0!</v>
      </c>
      <c r="AD48" s="1" t="e">
        <f t="shared" si="5"/>
        <v>#DIV/0!</v>
      </c>
    </row>
    <row r="49" spans="6:30">
      <c r="F49" s="10">
        <f t="shared" si="6"/>
        <v>45</v>
      </c>
      <c r="G49" s="13"/>
      <c r="H49" s="13"/>
      <c r="I49" s="13"/>
      <c r="J49" s="13"/>
      <c r="K49" s="13"/>
      <c r="L49" s="13"/>
      <c r="M49" s="13"/>
      <c r="N49" s="16"/>
      <c r="P49" s="13"/>
      <c r="Q49" s="13"/>
      <c r="R49" s="13"/>
      <c r="S49" s="14"/>
      <c r="T49" s="15"/>
      <c r="V49" s="1" t="e">
        <f t="shared" si="2"/>
        <v>#VALUE!</v>
      </c>
      <c r="W49" s="1" t="e">
        <f t="shared" si="3"/>
        <v>#VALUE!</v>
      </c>
      <c r="X49" s="1">
        <v>1</v>
      </c>
      <c r="AB49" s="1" t="e">
        <f t="shared" si="7"/>
        <v>#DIV/0!</v>
      </c>
      <c r="AC49" s="1" t="e">
        <f t="shared" si="4"/>
        <v>#DIV/0!</v>
      </c>
      <c r="AD49" s="1" t="e">
        <f t="shared" si="5"/>
        <v>#DIV/0!</v>
      </c>
    </row>
    <row r="50" spans="6:30">
      <c r="F50" s="10">
        <f t="shared" si="6"/>
        <v>46</v>
      </c>
      <c r="G50" s="13"/>
      <c r="H50" s="13"/>
      <c r="I50" s="13"/>
      <c r="J50" s="13"/>
      <c r="K50" s="13"/>
      <c r="L50" s="13"/>
      <c r="M50" s="13"/>
      <c r="N50" s="16"/>
      <c r="P50" s="13"/>
      <c r="Q50" s="13"/>
      <c r="R50" s="13"/>
      <c r="S50" s="14"/>
      <c r="T50" s="15"/>
      <c r="V50" s="1" t="e">
        <f t="shared" si="2"/>
        <v>#VALUE!</v>
      </c>
      <c r="W50" s="1" t="e">
        <f t="shared" si="3"/>
        <v>#VALUE!</v>
      </c>
      <c r="X50" s="1">
        <v>1</v>
      </c>
      <c r="AB50" s="1" t="e">
        <f t="shared" si="7"/>
        <v>#DIV/0!</v>
      </c>
      <c r="AC50" s="1" t="e">
        <f t="shared" si="4"/>
        <v>#DIV/0!</v>
      </c>
      <c r="AD50" s="1" t="e">
        <f t="shared" si="5"/>
        <v>#DIV/0!</v>
      </c>
    </row>
    <row r="51" spans="6:30">
      <c r="F51" s="10">
        <f t="shared" si="6"/>
        <v>47</v>
      </c>
      <c r="G51" s="13"/>
      <c r="H51" s="13"/>
      <c r="I51" s="13"/>
      <c r="J51" s="13"/>
      <c r="K51" s="13"/>
      <c r="L51" s="13"/>
      <c r="M51" s="13"/>
      <c r="N51" s="16"/>
      <c r="P51" s="13"/>
      <c r="Q51" s="13"/>
      <c r="R51" s="13"/>
      <c r="S51" s="14"/>
      <c r="T51" s="15"/>
      <c r="V51" s="1" t="e">
        <f t="shared" si="2"/>
        <v>#VALUE!</v>
      </c>
      <c r="W51" s="1" t="e">
        <f t="shared" si="3"/>
        <v>#VALUE!</v>
      </c>
      <c r="X51" s="1">
        <v>1</v>
      </c>
      <c r="AB51" s="1" t="e">
        <f t="shared" si="7"/>
        <v>#DIV/0!</v>
      </c>
      <c r="AC51" s="1" t="e">
        <f t="shared" si="4"/>
        <v>#DIV/0!</v>
      </c>
      <c r="AD51" s="1" t="e">
        <f t="shared" si="5"/>
        <v>#DIV/0!</v>
      </c>
    </row>
    <row r="52" spans="6:30">
      <c r="F52" s="10">
        <f t="shared" si="6"/>
        <v>48</v>
      </c>
      <c r="G52" s="13"/>
      <c r="H52" s="13"/>
      <c r="I52" s="13"/>
      <c r="J52" s="13"/>
      <c r="K52" s="13"/>
      <c r="L52" s="13"/>
      <c r="M52" s="13"/>
      <c r="N52" s="16"/>
      <c r="P52" s="13"/>
      <c r="Q52" s="13"/>
      <c r="R52" s="13"/>
      <c r="S52" s="14"/>
      <c r="T52" s="15"/>
      <c r="V52" s="1" t="e">
        <f t="shared" si="2"/>
        <v>#VALUE!</v>
      </c>
      <c r="W52" s="1" t="e">
        <f t="shared" si="3"/>
        <v>#VALUE!</v>
      </c>
      <c r="X52" s="1">
        <v>1</v>
      </c>
      <c r="AB52" s="1" t="e">
        <f t="shared" si="7"/>
        <v>#DIV/0!</v>
      </c>
      <c r="AC52" s="1" t="e">
        <f t="shared" si="4"/>
        <v>#DIV/0!</v>
      </c>
      <c r="AD52" s="1" t="e">
        <f t="shared" si="5"/>
        <v>#DIV/0!</v>
      </c>
    </row>
    <row r="53" spans="6:30">
      <c r="F53" s="10">
        <f t="shared" si="6"/>
        <v>49</v>
      </c>
      <c r="G53" s="13"/>
      <c r="H53" s="13"/>
      <c r="I53" s="13"/>
      <c r="J53" s="13"/>
      <c r="K53" s="13"/>
      <c r="L53" s="13"/>
      <c r="M53" s="13"/>
      <c r="N53" s="16"/>
      <c r="P53" s="13"/>
      <c r="Q53" s="13"/>
      <c r="R53" s="13"/>
      <c r="S53" s="14"/>
      <c r="T53" s="15"/>
      <c r="V53" s="1" t="e">
        <f t="shared" si="2"/>
        <v>#VALUE!</v>
      </c>
      <c r="W53" s="1" t="e">
        <f t="shared" si="3"/>
        <v>#VALUE!</v>
      </c>
      <c r="X53" s="1">
        <v>1</v>
      </c>
      <c r="AB53" s="1" t="e">
        <f t="shared" si="7"/>
        <v>#DIV/0!</v>
      </c>
      <c r="AC53" s="1" t="e">
        <f t="shared" si="4"/>
        <v>#DIV/0!</v>
      </c>
      <c r="AD53" s="1" t="e">
        <f t="shared" si="5"/>
        <v>#DIV/0!</v>
      </c>
    </row>
    <row r="54" spans="6:30">
      <c r="F54" s="10">
        <f t="shared" si="6"/>
        <v>50</v>
      </c>
      <c r="G54" s="13"/>
      <c r="H54" s="13"/>
      <c r="I54" s="13"/>
      <c r="J54" s="13"/>
      <c r="K54" s="13"/>
      <c r="L54" s="13"/>
      <c r="M54" s="13"/>
      <c r="N54" s="16"/>
      <c r="P54" s="13"/>
      <c r="Q54" s="13"/>
      <c r="R54" s="13"/>
      <c r="S54" s="14"/>
      <c r="T54" s="15"/>
      <c r="V54" s="1" t="e">
        <f t="shared" si="2"/>
        <v>#VALUE!</v>
      </c>
      <c r="W54" s="1" t="e">
        <f t="shared" si="3"/>
        <v>#VALUE!</v>
      </c>
      <c r="X54" s="1">
        <v>1</v>
      </c>
      <c r="AB54" s="1" t="e">
        <f t="shared" si="7"/>
        <v>#DIV/0!</v>
      </c>
      <c r="AC54" s="1" t="e">
        <f t="shared" si="4"/>
        <v>#DIV/0!</v>
      </c>
      <c r="AD54" s="1" t="e">
        <f t="shared" si="5"/>
        <v>#DIV/0!</v>
      </c>
    </row>
    <row r="55" spans="6:30">
      <c r="F55" s="10">
        <f t="shared" si="6"/>
        <v>51</v>
      </c>
      <c r="G55" s="13"/>
      <c r="H55" s="13"/>
      <c r="I55" s="13"/>
      <c r="J55" s="13"/>
      <c r="K55" s="13"/>
      <c r="L55" s="13"/>
      <c r="M55" s="13"/>
      <c r="N55" s="16"/>
      <c r="P55" s="13"/>
      <c r="Q55" s="13"/>
      <c r="R55" s="13"/>
      <c r="S55" s="14"/>
      <c r="T55" s="15"/>
      <c r="V55" s="1" t="e">
        <f t="shared" si="2"/>
        <v>#VALUE!</v>
      </c>
      <c r="W55" s="1" t="e">
        <f t="shared" si="3"/>
        <v>#VALUE!</v>
      </c>
      <c r="X55" s="1">
        <v>1</v>
      </c>
      <c r="AB55" s="1" t="e">
        <f t="shared" si="7"/>
        <v>#DIV/0!</v>
      </c>
      <c r="AC55" s="1" t="e">
        <f t="shared" si="4"/>
        <v>#DIV/0!</v>
      </c>
      <c r="AD55" s="1" t="e">
        <f t="shared" si="5"/>
        <v>#DIV/0!</v>
      </c>
    </row>
    <row r="56" spans="6:30">
      <c r="F56" s="10">
        <f t="shared" si="6"/>
        <v>52</v>
      </c>
      <c r="G56" s="13"/>
      <c r="H56" s="13"/>
      <c r="I56" s="13"/>
      <c r="J56" s="13"/>
      <c r="K56" s="13"/>
      <c r="L56" s="13"/>
      <c r="M56" s="13"/>
      <c r="N56" s="16"/>
      <c r="P56" s="13"/>
      <c r="Q56" s="13"/>
      <c r="R56" s="13"/>
      <c r="S56" s="14"/>
      <c r="T56" s="15"/>
      <c r="V56" s="1" t="e">
        <f t="shared" si="2"/>
        <v>#VALUE!</v>
      </c>
      <c r="W56" s="1" t="e">
        <f t="shared" si="3"/>
        <v>#VALUE!</v>
      </c>
      <c r="X56" s="1">
        <v>1</v>
      </c>
      <c r="AB56" s="1" t="e">
        <f t="shared" si="7"/>
        <v>#DIV/0!</v>
      </c>
      <c r="AC56" s="1" t="e">
        <f t="shared" si="4"/>
        <v>#DIV/0!</v>
      </c>
      <c r="AD56" s="1" t="e">
        <f t="shared" si="5"/>
        <v>#DIV/0!</v>
      </c>
    </row>
    <row r="57" spans="6:30">
      <c r="F57" s="10">
        <f t="shared" si="6"/>
        <v>53</v>
      </c>
      <c r="G57" s="13"/>
      <c r="H57" s="13"/>
      <c r="I57" s="13"/>
      <c r="J57" s="13"/>
      <c r="K57" s="13"/>
      <c r="L57" s="13"/>
      <c r="M57" s="13"/>
      <c r="N57" s="16"/>
      <c r="P57" s="13"/>
      <c r="Q57" s="13"/>
      <c r="R57" s="13"/>
      <c r="S57" s="14"/>
      <c r="T57" s="15"/>
      <c r="V57" s="1" t="e">
        <f t="shared" si="2"/>
        <v>#VALUE!</v>
      </c>
      <c r="W57" s="1" t="e">
        <f t="shared" si="3"/>
        <v>#VALUE!</v>
      </c>
      <c r="X57" s="1">
        <v>1</v>
      </c>
      <c r="AB57" s="1" t="e">
        <f t="shared" si="7"/>
        <v>#DIV/0!</v>
      </c>
      <c r="AC57" s="1" t="e">
        <f t="shared" si="4"/>
        <v>#DIV/0!</v>
      </c>
      <c r="AD57" s="1" t="e">
        <f t="shared" si="5"/>
        <v>#DIV/0!</v>
      </c>
    </row>
    <row r="58" spans="6:30">
      <c r="F58" s="10">
        <f t="shared" si="6"/>
        <v>54</v>
      </c>
      <c r="G58" s="13"/>
      <c r="H58" s="13"/>
      <c r="I58" s="13"/>
      <c r="J58" s="13"/>
      <c r="K58" s="13"/>
      <c r="L58" s="13"/>
      <c r="M58" s="13"/>
      <c r="N58" s="16"/>
      <c r="P58" s="13"/>
      <c r="Q58" s="13"/>
      <c r="R58" s="13"/>
      <c r="S58" s="14"/>
      <c r="T58" s="15"/>
      <c r="V58" s="1" t="e">
        <f t="shared" si="2"/>
        <v>#VALUE!</v>
      </c>
      <c r="W58" s="1" t="e">
        <f t="shared" si="3"/>
        <v>#VALUE!</v>
      </c>
      <c r="X58" s="1">
        <v>1</v>
      </c>
      <c r="AB58" s="1" t="e">
        <f t="shared" si="7"/>
        <v>#DIV/0!</v>
      </c>
      <c r="AC58" s="1" t="e">
        <f t="shared" si="4"/>
        <v>#DIV/0!</v>
      </c>
      <c r="AD58" s="1" t="e">
        <f t="shared" si="5"/>
        <v>#DIV/0!</v>
      </c>
    </row>
    <row r="59" spans="6:30">
      <c r="F59" s="10">
        <f t="shared" si="6"/>
        <v>55</v>
      </c>
      <c r="G59" s="13"/>
      <c r="H59" s="13"/>
      <c r="I59" s="13"/>
      <c r="J59" s="13"/>
      <c r="K59" s="13"/>
      <c r="L59" s="13"/>
      <c r="M59" s="13"/>
      <c r="N59" s="16"/>
      <c r="P59" s="13"/>
      <c r="Q59" s="13"/>
      <c r="R59" s="13"/>
      <c r="S59" s="14"/>
      <c r="T59" s="15"/>
      <c r="V59" s="1" t="e">
        <f t="shared" si="2"/>
        <v>#VALUE!</v>
      </c>
      <c r="W59" s="1" t="e">
        <f t="shared" si="3"/>
        <v>#VALUE!</v>
      </c>
      <c r="X59" s="1">
        <v>1</v>
      </c>
      <c r="AB59" s="1" t="e">
        <f t="shared" si="7"/>
        <v>#DIV/0!</v>
      </c>
      <c r="AC59" s="1" t="e">
        <f t="shared" si="4"/>
        <v>#DIV/0!</v>
      </c>
      <c r="AD59" s="1" t="e">
        <f t="shared" si="5"/>
        <v>#DIV/0!</v>
      </c>
    </row>
    <row r="60" spans="6:30">
      <c r="F60" s="10">
        <f t="shared" si="6"/>
        <v>56</v>
      </c>
      <c r="G60" s="13"/>
      <c r="H60" s="13"/>
      <c r="I60" s="13"/>
      <c r="J60" s="13"/>
      <c r="K60" s="13"/>
      <c r="L60" s="13"/>
      <c r="M60" s="13"/>
      <c r="N60" s="16"/>
      <c r="P60" s="13"/>
      <c r="Q60" s="13"/>
      <c r="R60" s="13"/>
      <c r="S60" s="14"/>
      <c r="T60" s="15"/>
      <c r="V60" s="1" t="e">
        <f t="shared" si="2"/>
        <v>#VALUE!</v>
      </c>
      <c r="W60" s="1" t="e">
        <f t="shared" si="3"/>
        <v>#VALUE!</v>
      </c>
      <c r="X60" s="1">
        <v>1</v>
      </c>
      <c r="AB60" s="1" t="e">
        <f t="shared" si="7"/>
        <v>#DIV/0!</v>
      </c>
      <c r="AC60" s="1" t="e">
        <f t="shared" si="4"/>
        <v>#DIV/0!</v>
      </c>
      <c r="AD60" s="1" t="e">
        <f t="shared" si="5"/>
        <v>#DIV/0!</v>
      </c>
    </row>
    <row r="61" spans="6:30">
      <c r="F61" s="10">
        <f t="shared" si="6"/>
        <v>57</v>
      </c>
      <c r="G61" s="13"/>
      <c r="H61" s="13"/>
      <c r="I61" s="13"/>
      <c r="J61" s="13"/>
      <c r="K61" s="13"/>
      <c r="L61" s="13"/>
      <c r="M61" s="13"/>
      <c r="N61" s="16"/>
      <c r="P61" s="13"/>
      <c r="Q61" s="13"/>
      <c r="R61" s="13"/>
      <c r="S61" s="14"/>
      <c r="T61" s="15"/>
      <c r="V61" s="1" t="e">
        <f t="shared" si="2"/>
        <v>#VALUE!</v>
      </c>
      <c r="W61" s="1" t="e">
        <f t="shared" si="3"/>
        <v>#VALUE!</v>
      </c>
      <c r="X61" s="1">
        <v>1</v>
      </c>
      <c r="AB61" s="1" t="e">
        <f t="shared" si="7"/>
        <v>#DIV/0!</v>
      </c>
      <c r="AC61" s="1" t="e">
        <f t="shared" si="4"/>
        <v>#DIV/0!</v>
      </c>
      <c r="AD61" s="1" t="e">
        <f t="shared" si="5"/>
        <v>#DIV/0!</v>
      </c>
    </row>
    <row r="62" spans="6:30">
      <c r="F62" s="10">
        <f t="shared" si="6"/>
        <v>58</v>
      </c>
      <c r="G62" s="13"/>
      <c r="H62" s="13"/>
      <c r="I62" s="13"/>
      <c r="J62" s="13"/>
      <c r="K62" s="13"/>
      <c r="L62" s="13"/>
      <c r="M62" s="13"/>
      <c r="N62" s="16"/>
      <c r="P62" s="13"/>
      <c r="Q62" s="13"/>
      <c r="R62" s="13"/>
      <c r="S62" s="14"/>
      <c r="T62" s="15"/>
      <c r="V62" s="1" t="e">
        <f t="shared" si="2"/>
        <v>#VALUE!</v>
      </c>
      <c r="W62" s="1" t="e">
        <f t="shared" si="3"/>
        <v>#VALUE!</v>
      </c>
      <c r="X62" s="1">
        <v>1</v>
      </c>
    </row>
    <row r="63" spans="6:30">
      <c r="F63" s="10">
        <f t="shared" si="6"/>
        <v>59</v>
      </c>
      <c r="G63" s="13"/>
      <c r="H63" s="13"/>
      <c r="I63" s="13"/>
      <c r="J63" s="13"/>
      <c r="K63" s="13"/>
      <c r="L63" s="13"/>
      <c r="M63" s="13"/>
      <c r="N63" s="16"/>
      <c r="P63" s="13"/>
      <c r="Q63" s="13"/>
      <c r="R63" s="13"/>
      <c r="S63" s="14"/>
      <c r="T63" s="15"/>
      <c r="V63" s="1" t="e">
        <f t="shared" si="2"/>
        <v>#VALUE!</v>
      </c>
      <c r="W63" s="1" t="e">
        <f t="shared" si="3"/>
        <v>#VALUE!</v>
      </c>
      <c r="X63" s="1">
        <v>1</v>
      </c>
    </row>
    <row r="64" spans="6:30">
      <c r="F64" s="10">
        <f t="shared" si="6"/>
        <v>60</v>
      </c>
      <c r="G64" s="13"/>
      <c r="H64" s="13"/>
      <c r="I64" s="13"/>
      <c r="J64" s="13"/>
      <c r="K64" s="13"/>
      <c r="L64" s="13"/>
      <c r="M64" s="13"/>
      <c r="N64" s="16"/>
      <c r="P64" s="13"/>
      <c r="Q64" s="13"/>
      <c r="R64" s="13"/>
      <c r="S64" s="14"/>
      <c r="T64" s="15"/>
      <c r="V64" s="1" t="e">
        <f t="shared" si="2"/>
        <v>#VALUE!</v>
      </c>
      <c r="W64" s="1" t="e">
        <f t="shared" si="3"/>
        <v>#VALUE!</v>
      </c>
      <c r="X64" s="1">
        <v>1</v>
      </c>
    </row>
    <row r="65" spans="6:24">
      <c r="F65" s="10">
        <f t="shared" si="6"/>
        <v>61</v>
      </c>
      <c r="G65" s="13"/>
      <c r="H65" s="13"/>
      <c r="I65" s="13"/>
      <c r="J65" s="13"/>
      <c r="K65" s="13"/>
      <c r="L65" s="13"/>
      <c r="M65" s="13"/>
      <c r="N65" s="16"/>
      <c r="P65" s="13"/>
      <c r="Q65" s="13"/>
      <c r="R65" s="13"/>
      <c r="S65" s="14"/>
      <c r="T65" s="15"/>
      <c r="V65" s="1" t="e">
        <f t="shared" si="2"/>
        <v>#VALUE!</v>
      </c>
      <c r="W65" s="1" t="e">
        <f t="shared" si="3"/>
        <v>#VALUE!</v>
      </c>
      <c r="X65" s="1">
        <v>1</v>
      </c>
    </row>
    <row r="66" spans="6:24">
      <c r="F66" s="10">
        <f t="shared" si="6"/>
        <v>62</v>
      </c>
      <c r="G66" s="13"/>
      <c r="H66" s="13"/>
      <c r="I66" s="13"/>
      <c r="J66" s="13"/>
      <c r="K66" s="13"/>
      <c r="L66" s="13"/>
      <c r="M66" s="13"/>
      <c r="N66" s="16"/>
      <c r="P66" s="13"/>
      <c r="Q66" s="13"/>
      <c r="R66" s="13"/>
      <c r="S66" s="14"/>
      <c r="T66" s="15"/>
      <c r="V66" s="1" t="e">
        <f t="shared" si="2"/>
        <v>#VALUE!</v>
      </c>
      <c r="W66" s="1" t="e">
        <f t="shared" si="3"/>
        <v>#VALUE!</v>
      </c>
      <c r="X66" s="1">
        <v>1</v>
      </c>
    </row>
    <row r="67" spans="6:24">
      <c r="F67" s="10">
        <f t="shared" si="6"/>
        <v>63</v>
      </c>
      <c r="G67" s="13"/>
      <c r="H67" s="13"/>
      <c r="I67" s="13"/>
      <c r="J67" s="13"/>
      <c r="K67" s="13"/>
      <c r="L67" s="13"/>
      <c r="M67" s="13"/>
      <c r="N67" s="16"/>
      <c r="P67" s="13"/>
      <c r="Q67" s="13"/>
      <c r="R67" s="13"/>
      <c r="S67" s="14"/>
      <c r="T67" s="15"/>
      <c r="V67" s="1" t="e">
        <f t="shared" si="2"/>
        <v>#VALUE!</v>
      </c>
      <c r="W67" s="1" t="e">
        <f t="shared" si="3"/>
        <v>#VALUE!</v>
      </c>
      <c r="X67" s="1">
        <v>1</v>
      </c>
    </row>
    <row r="68" spans="6:24">
      <c r="F68" s="10">
        <f t="shared" si="6"/>
        <v>64</v>
      </c>
      <c r="G68" s="13"/>
      <c r="H68" s="13"/>
      <c r="I68" s="13"/>
      <c r="J68" s="13"/>
      <c r="K68" s="13"/>
      <c r="L68" s="13"/>
      <c r="M68" s="13"/>
      <c r="N68" s="16"/>
      <c r="P68" s="13"/>
      <c r="Q68" s="13"/>
      <c r="R68" s="13"/>
      <c r="S68" s="14"/>
      <c r="T68" s="15"/>
      <c r="V68" s="1" t="e">
        <f t="shared" si="2"/>
        <v>#VALUE!</v>
      </c>
      <c r="W68" s="1" t="e">
        <f t="shared" si="3"/>
        <v>#VALUE!</v>
      </c>
      <c r="X68" s="1">
        <v>1</v>
      </c>
    </row>
    <row r="69" spans="6:24">
      <c r="F69" s="10">
        <f t="shared" si="6"/>
        <v>65</v>
      </c>
      <c r="G69" s="13"/>
      <c r="H69" s="13"/>
      <c r="I69" s="13"/>
      <c r="J69" s="13"/>
      <c r="K69" s="13"/>
      <c r="L69" s="13"/>
      <c r="M69" s="13"/>
      <c r="N69" s="16"/>
      <c r="P69" s="13"/>
      <c r="Q69" s="13"/>
      <c r="R69" s="13"/>
      <c r="S69" s="14"/>
      <c r="T69" s="15"/>
      <c r="V69" s="1" t="e">
        <f t="shared" si="2"/>
        <v>#VALUE!</v>
      </c>
      <c r="W69" s="1" t="e">
        <f t="shared" si="3"/>
        <v>#VALUE!</v>
      </c>
      <c r="X69" s="1">
        <v>1</v>
      </c>
    </row>
    <row r="70" spans="6:24">
      <c r="F70" s="10">
        <f t="shared" si="6"/>
        <v>66</v>
      </c>
      <c r="G70" s="13"/>
      <c r="H70" s="13"/>
      <c r="I70" s="13"/>
      <c r="J70" s="13"/>
      <c r="K70" s="13"/>
      <c r="L70" s="13"/>
      <c r="M70" s="13"/>
      <c r="N70" s="16"/>
      <c r="P70" s="13"/>
      <c r="Q70" s="13"/>
      <c r="R70" s="13"/>
      <c r="S70" s="14"/>
      <c r="T70" s="15"/>
      <c r="V70" s="1" t="e">
        <f t="shared" ref="V70:V88" si="8">BSVegaF(I70,J70,M70,H70,L70)</f>
        <v>#VALUE!</v>
      </c>
      <c r="W70" s="1" t="e">
        <f t="shared" ref="W70:W88" si="9">V70/$V$2</f>
        <v>#VALUE!</v>
      </c>
      <c r="X70" s="1">
        <v>1</v>
      </c>
    </row>
    <row r="71" spans="6:24">
      <c r="F71" s="10">
        <f t="shared" ref="F71:F134" si="10">F70+1</f>
        <v>67</v>
      </c>
      <c r="G71" s="13"/>
      <c r="H71" s="13"/>
      <c r="I71" s="13"/>
      <c r="J71" s="13"/>
      <c r="K71" s="13"/>
      <c r="L71" s="13"/>
      <c r="M71" s="13"/>
      <c r="N71" s="16"/>
      <c r="P71" s="13"/>
      <c r="Q71" s="13"/>
      <c r="R71" s="13"/>
      <c r="S71" s="14"/>
      <c r="T71" s="15"/>
      <c r="V71" s="1" t="e">
        <f t="shared" si="8"/>
        <v>#VALUE!</v>
      </c>
      <c r="W71" s="1" t="e">
        <f t="shared" si="9"/>
        <v>#VALUE!</v>
      </c>
      <c r="X71" s="1">
        <v>1</v>
      </c>
    </row>
    <row r="72" spans="6:24">
      <c r="F72" s="10">
        <f t="shared" si="10"/>
        <v>68</v>
      </c>
      <c r="G72" s="13"/>
      <c r="H72" s="13"/>
      <c r="I72" s="13"/>
      <c r="J72" s="13"/>
      <c r="K72" s="13"/>
      <c r="L72" s="13"/>
      <c r="M72" s="13"/>
      <c r="N72" s="16"/>
      <c r="P72" s="13"/>
      <c r="Q72" s="13"/>
      <c r="R72" s="13"/>
      <c r="S72" s="14"/>
      <c r="T72" s="15"/>
      <c r="V72" s="1" t="e">
        <f t="shared" si="8"/>
        <v>#VALUE!</v>
      </c>
      <c r="W72" s="1" t="e">
        <f t="shared" si="9"/>
        <v>#VALUE!</v>
      </c>
      <c r="X72" s="1">
        <v>1</v>
      </c>
    </row>
    <row r="73" spans="6:24">
      <c r="F73" s="10">
        <f t="shared" si="10"/>
        <v>69</v>
      </c>
      <c r="G73" s="13"/>
      <c r="H73" s="13"/>
      <c r="I73" s="13"/>
      <c r="J73" s="13"/>
      <c r="K73" s="13"/>
      <c r="L73" s="13"/>
      <c r="M73" s="13"/>
      <c r="N73" s="16"/>
      <c r="P73" s="13"/>
      <c r="Q73" s="13"/>
      <c r="R73" s="13"/>
      <c r="S73" s="14"/>
      <c r="T73" s="15"/>
      <c r="V73" s="1" t="e">
        <f t="shared" si="8"/>
        <v>#VALUE!</v>
      </c>
      <c r="W73" s="1" t="e">
        <f t="shared" si="9"/>
        <v>#VALUE!</v>
      </c>
      <c r="X73" s="1">
        <v>1</v>
      </c>
    </row>
    <row r="74" spans="6:24">
      <c r="F74" s="10">
        <f t="shared" si="10"/>
        <v>70</v>
      </c>
      <c r="G74" s="13"/>
      <c r="H74" s="13"/>
      <c r="I74" s="13"/>
      <c r="J74" s="13"/>
      <c r="K74" s="13"/>
      <c r="L74" s="13"/>
      <c r="M74" s="13"/>
      <c r="N74" s="16"/>
      <c r="P74" s="13"/>
      <c r="Q74" s="13"/>
      <c r="R74" s="13"/>
      <c r="S74" s="14"/>
      <c r="T74" s="15"/>
      <c r="V74" s="1" t="e">
        <f t="shared" si="8"/>
        <v>#VALUE!</v>
      </c>
      <c r="W74" s="1" t="e">
        <f t="shared" si="9"/>
        <v>#VALUE!</v>
      </c>
      <c r="X74" s="1">
        <v>1</v>
      </c>
    </row>
    <row r="75" spans="6:24">
      <c r="F75" s="10">
        <f t="shared" si="10"/>
        <v>71</v>
      </c>
      <c r="G75" s="13"/>
      <c r="H75" s="13"/>
      <c r="I75" s="13"/>
      <c r="J75" s="13"/>
      <c r="K75" s="13"/>
      <c r="L75" s="13"/>
      <c r="M75" s="13"/>
      <c r="N75" s="16"/>
      <c r="P75" s="13"/>
      <c r="Q75" s="13"/>
      <c r="R75" s="13"/>
      <c r="S75" s="14"/>
      <c r="T75" s="15"/>
      <c r="V75" s="1" t="e">
        <f t="shared" si="8"/>
        <v>#VALUE!</v>
      </c>
      <c r="W75" s="1" t="e">
        <f t="shared" si="9"/>
        <v>#VALUE!</v>
      </c>
      <c r="X75" s="1">
        <v>1</v>
      </c>
    </row>
    <row r="76" spans="6:24">
      <c r="F76" s="10">
        <f t="shared" si="10"/>
        <v>72</v>
      </c>
      <c r="G76" s="13"/>
      <c r="H76" s="13"/>
      <c r="I76" s="13"/>
      <c r="J76" s="13"/>
      <c r="K76" s="13"/>
      <c r="L76" s="13"/>
      <c r="M76" s="13"/>
      <c r="N76" s="16"/>
      <c r="P76" s="13"/>
      <c r="Q76" s="13"/>
      <c r="R76" s="13"/>
      <c r="S76" s="14"/>
      <c r="T76" s="15"/>
      <c r="V76" s="1" t="e">
        <f t="shared" si="8"/>
        <v>#VALUE!</v>
      </c>
      <c r="W76" s="1" t="e">
        <f t="shared" si="9"/>
        <v>#VALUE!</v>
      </c>
      <c r="X76" s="1">
        <v>1</v>
      </c>
    </row>
    <row r="77" spans="6:24">
      <c r="F77" s="10">
        <f t="shared" si="10"/>
        <v>73</v>
      </c>
      <c r="G77" s="13"/>
      <c r="H77" s="13"/>
      <c r="I77" s="13"/>
      <c r="J77" s="13"/>
      <c r="K77" s="13"/>
      <c r="L77" s="13"/>
      <c r="M77" s="13"/>
      <c r="N77" s="16"/>
      <c r="P77" s="13"/>
      <c r="Q77" s="13"/>
      <c r="R77" s="13"/>
      <c r="S77" s="14"/>
      <c r="T77" s="15"/>
      <c r="V77" s="1" t="e">
        <f t="shared" si="8"/>
        <v>#VALUE!</v>
      </c>
      <c r="W77" s="1" t="e">
        <f t="shared" si="9"/>
        <v>#VALUE!</v>
      </c>
      <c r="X77" s="1">
        <v>1</v>
      </c>
    </row>
    <row r="78" spans="6:24">
      <c r="F78" s="10">
        <f t="shared" si="10"/>
        <v>74</v>
      </c>
      <c r="G78" s="13"/>
      <c r="H78" s="13"/>
      <c r="I78" s="13"/>
      <c r="J78" s="13"/>
      <c r="K78" s="13"/>
      <c r="L78" s="13"/>
      <c r="M78" s="13"/>
      <c r="N78" s="16"/>
      <c r="P78" s="13"/>
      <c r="Q78" s="13"/>
      <c r="R78" s="13"/>
      <c r="S78" s="14"/>
      <c r="T78" s="15"/>
      <c r="V78" s="1" t="e">
        <f t="shared" si="8"/>
        <v>#VALUE!</v>
      </c>
      <c r="W78" s="1" t="e">
        <f t="shared" si="9"/>
        <v>#VALUE!</v>
      </c>
      <c r="X78" s="1">
        <v>1</v>
      </c>
    </row>
    <row r="79" spans="6:24">
      <c r="F79" s="10">
        <f t="shared" si="10"/>
        <v>75</v>
      </c>
      <c r="G79" s="13"/>
      <c r="H79" s="13"/>
      <c r="I79" s="13"/>
      <c r="J79" s="13"/>
      <c r="K79" s="13"/>
      <c r="L79" s="13"/>
      <c r="M79" s="13"/>
      <c r="N79" s="16"/>
      <c r="P79" s="13"/>
      <c r="Q79" s="13"/>
      <c r="R79" s="13"/>
      <c r="S79" s="14"/>
      <c r="T79" s="15"/>
      <c r="V79" s="1" t="e">
        <f t="shared" si="8"/>
        <v>#VALUE!</v>
      </c>
      <c r="W79" s="1" t="e">
        <f t="shared" si="9"/>
        <v>#VALUE!</v>
      </c>
      <c r="X79" s="1">
        <v>1</v>
      </c>
    </row>
    <row r="80" spans="6:24">
      <c r="F80" s="10">
        <f t="shared" si="10"/>
        <v>76</v>
      </c>
      <c r="G80" s="13"/>
      <c r="H80" s="13"/>
      <c r="I80" s="13"/>
      <c r="J80" s="13"/>
      <c r="K80" s="13"/>
      <c r="L80" s="13"/>
      <c r="M80" s="13"/>
      <c r="N80" s="16"/>
      <c r="P80" s="13"/>
      <c r="Q80" s="13"/>
      <c r="R80" s="13"/>
      <c r="S80" s="14"/>
      <c r="T80" s="15"/>
      <c r="V80" s="1" t="e">
        <f t="shared" si="8"/>
        <v>#VALUE!</v>
      </c>
      <c r="W80" s="1" t="e">
        <f t="shared" si="9"/>
        <v>#VALUE!</v>
      </c>
      <c r="X80" s="1">
        <v>1</v>
      </c>
    </row>
    <row r="81" spans="6:24">
      <c r="F81" s="10">
        <f t="shared" si="10"/>
        <v>77</v>
      </c>
      <c r="G81" s="13"/>
      <c r="H81" s="13"/>
      <c r="I81" s="13"/>
      <c r="J81" s="13"/>
      <c r="K81" s="13"/>
      <c r="L81" s="13"/>
      <c r="M81" s="13"/>
      <c r="N81" s="16"/>
      <c r="P81" s="13"/>
      <c r="Q81" s="13"/>
      <c r="R81" s="13"/>
      <c r="S81" s="14"/>
      <c r="T81" s="15"/>
      <c r="V81" s="1" t="e">
        <f t="shared" si="8"/>
        <v>#VALUE!</v>
      </c>
      <c r="W81" s="1" t="e">
        <f t="shared" si="9"/>
        <v>#VALUE!</v>
      </c>
      <c r="X81" s="1">
        <v>1</v>
      </c>
    </row>
    <row r="82" spans="6:24">
      <c r="F82" s="10">
        <f t="shared" si="10"/>
        <v>78</v>
      </c>
      <c r="G82" s="13"/>
      <c r="H82" s="13"/>
      <c r="I82" s="13"/>
      <c r="J82" s="13"/>
      <c r="K82" s="13"/>
      <c r="L82" s="13"/>
      <c r="M82" s="13"/>
      <c r="N82" s="16"/>
      <c r="P82" s="13"/>
      <c r="Q82" s="13"/>
      <c r="R82" s="13"/>
      <c r="S82" s="14"/>
      <c r="T82" s="15"/>
      <c r="V82" s="1" t="e">
        <f t="shared" si="8"/>
        <v>#VALUE!</v>
      </c>
      <c r="W82" s="1" t="e">
        <f t="shared" si="9"/>
        <v>#VALUE!</v>
      </c>
      <c r="X82" s="1">
        <v>1</v>
      </c>
    </row>
    <row r="83" spans="6:24">
      <c r="F83" s="10">
        <f t="shared" si="10"/>
        <v>79</v>
      </c>
      <c r="G83" s="13"/>
      <c r="H83" s="13"/>
      <c r="I83" s="13"/>
      <c r="J83" s="13"/>
      <c r="K83" s="13"/>
      <c r="L83" s="13"/>
      <c r="M83" s="13"/>
      <c r="N83" s="16"/>
      <c r="P83" s="13"/>
      <c r="Q83" s="13"/>
      <c r="R83" s="13"/>
      <c r="S83" s="14"/>
      <c r="T83" s="15"/>
      <c r="V83" s="1" t="e">
        <f t="shared" si="8"/>
        <v>#VALUE!</v>
      </c>
      <c r="W83" s="1" t="e">
        <f t="shared" si="9"/>
        <v>#VALUE!</v>
      </c>
      <c r="X83" s="1">
        <v>1</v>
      </c>
    </row>
    <row r="84" spans="6:24">
      <c r="F84" s="10">
        <f t="shared" si="10"/>
        <v>80</v>
      </c>
      <c r="G84" s="13"/>
      <c r="H84" s="13"/>
      <c r="I84" s="13"/>
      <c r="J84" s="13"/>
      <c r="K84" s="13"/>
      <c r="L84" s="13"/>
      <c r="M84" s="13"/>
      <c r="N84" s="16"/>
      <c r="P84" s="13"/>
      <c r="Q84" s="13"/>
      <c r="R84" s="13"/>
      <c r="S84" s="14"/>
      <c r="T84" s="15"/>
      <c r="V84" s="1" t="e">
        <f t="shared" si="8"/>
        <v>#VALUE!</v>
      </c>
      <c r="W84" s="1" t="e">
        <f t="shared" si="9"/>
        <v>#VALUE!</v>
      </c>
      <c r="X84" s="1">
        <v>1</v>
      </c>
    </row>
    <row r="85" spans="6:24">
      <c r="F85" s="10">
        <f t="shared" si="10"/>
        <v>81</v>
      </c>
      <c r="G85" s="13"/>
      <c r="H85" s="13"/>
      <c r="I85" s="13"/>
      <c r="J85" s="13"/>
      <c r="K85" s="13"/>
      <c r="L85" s="13"/>
      <c r="M85" s="13"/>
      <c r="N85" s="16"/>
      <c r="P85" s="13"/>
      <c r="Q85" s="13"/>
      <c r="R85" s="13"/>
      <c r="S85" s="14"/>
      <c r="T85" s="15"/>
      <c r="V85" s="1" t="e">
        <f t="shared" si="8"/>
        <v>#VALUE!</v>
      </c>
      <c r="W85" s="1" t="e">
        <f t="shared" si="9"/>
        <v>#VALUE!</v>
      </c>
      <c r="X85" s="1">
        <v>1</v>
      </c>
    </row>
    <row r="86" spans="6:24">
      <c r="F86" s="10">
        <f t="shared" si="10"/>
        <v>82</v>
      </c>
      <c r="G86" s="13"/>
      <c r="H86" s="13"/>
      <c r="I86" s="13"/>
      <c r="J86" s="13"/>
      <c r="K86" s="13"/>
      <c r="L86" s="13"/>
      <c r="M86" s="13"/>
      <c r="N86" s="16"/>
      <c r="P86" s="13"/>
      <c r="Q86" s="13"/>
      <c r="R86" s="13"/>
      <c r="S86" s="14"/>
      <c r="T86" s="15"/>
      <c r="V86" s="1" t="e">
        <f t="shared" si="8"/>
        <v>#VALUE!</v>
      </c>
      <c r="W86" s="1" t="e">
        <f t="shared" si="9"/>
        <v>#VALUE!</v>
      </c>
      <c r="X86" s="1">
        <v>1</v>
      </c>
    </row>
    <row r="87" spans="6:24">
      <c r="F87" s="10">
        <f t="shared" si="10"/>
        <v>83</v>
      </c>
      <c r="G87" s="13"/>
      <c r="H87" s="13"/>
      <c r="I87" s="13"/>
      <c r="J87" s="13"/>
      <c r="K87" s="13"/>
      <c r="L87" s="13"/>
      <c r="M87" s="13"/>
      <c r="N87" s="16"/>
      <c r="P87" s="13"/>
      <c r="Q87" s="13"/>
      <c r="R87" s="13"/>
      <c r="S87" s="14"/>
      <c r="T87" s="15"/>
      <c r="V87" s="1" t="e">
        <f t="shared" si="8"/>
        <v>#VALUE!</v>
      </c>
      <c r="W87" s="1" t="e">
        <f t="shared" si="9"/>
        <v>#VALUE!</v>
      </c>
      <c r="X87" s="1">
        <v>1</v>
      </c>
    </row>
    <row r="88" spans="6:24" ht="16" thickBot="1">
      <c r="F88" s="10">
        <f t="shared" si="10"/>
        <v>84</v>
      </c>
      <c r="G88" s="18"/>
      <c r="H88" s="18"/>
      <c r="I88" s="18"/>
      <c r="J88" s="18"/>
      <c r="K88" s="13"/>
      <c r="L88" s="18"/>
      <c r="M88" s="18"/>
      <c r="N88" s="19"/>
      <c r="P88" s="18"/>
      <c r="Q88" s="18"/>
      <c r="R88" s="18"/>
      <c r="S88" s="20"/>
      <c r="T88" s="21"/>
      <c r="V88" s="1" t="e">
        <f t="shared" si="8"/>
        <v>#VALUE!</v>
      </c>
      <c r="W88" s="1" t="e">
        <f t="shared" si="9"/>
        <v>#VALUE!</v>
      </c>
      <c r="X88" s="1">
        <v>1</v>
      </c>
    </row>
    <row r="89" spans="6:24">
      <c r="F89" s="10">
        <f t="shared" si="10"/>
        <v>85</v>
      </c>
    </row>
    <row r="90" spans="6:24">
      <c r="F90" s="10">
        <f t="shared" si="10"/>
        <v>86</v>
      </c>
    </row>
    <row r="91" spans="6:24">
      <c r="F91" s="10">
        <f t="shared" si="10"/>
        <v>87</v>
      </c>
    </row>
    <row r="92" spans="6:24">
      <c r="F92" s="10">
        <f t="shared" si="10"/>
        <v>88</v>
      </c>
    </row>
    <row r="93" spans="6:24">
      <c r="F93" s="10">
        <f t="shared" si="10"/>
        <v>89</v>
      </c>
    </row>
    <row r="94" spans="6:24">
      <c r="F94" s="10">
        <f t="shared" si="10"/>
        <v>90</v>
      </c>
    </row>
    <row r="95" spans="6:24">
      <c r="F95" s="10">
        <f t="shared" si="10"/>
        <v>91</v>
      </c>
    </row>
    <row r="96" spans="6:24">
      <c r="F96" s="10">
        <f t="shared" si="10"/>
        <v>92</v>
      </c>
    </row>
    <row r="97" spans="6:6">
      <c r="F97" s="10">
        <f t="shared" si="10"/>
        <v>93</v>
      </c>
    </row>
    <row r="98" spans="6:6">
      <c r="F98" s="10">
        <f t="shared" si="10"/>
        <v>94</v>
      </c>
    </row>
    <row r="99" spans="6:6">
      <c r="F99" s="10">
        <f t="shared" si="10"/>
        <v>95</v>
      </c>
    </row>
    <row r="100" spans="6:6">
      <c r="F100" s="10">
        <f t="shared" si="10"/>
        <v>96</v>
      </c>
    </row>
    <row r="101" spans="6:6">
      <c r="F101" s="10">
        <f t="shared" si="10"/>
        <v>97</v>
      </c>
    </row>
    <row r="102" spans="6:6">
      <c r="F102" s="10">
        <f t="shared" si="10"/>
        <v>98</v>
      </c>
    </row>
    <row r="103" spans="6:6">
      <c r="F103" s="10">
        <f t="shared" si="10"/>
        <v>99</v>
      </c>
    </row>
    <row r="104" spans="6:6">
      <c r="F104" s="10">
        <f t="shared" si="10"/>
        <v>100</v>
      </c>
    </row>
    <row r="105" spans="6:6">
      <c r="F105" s="10">
        <f t="shared" si="10"/>
        <v>101</v>
      </c>
    </row>
    <row r="106" spans="6:6">
      <c r="F106" s="10">
        <f t="shared" si="10"/>
        <v>102</v>
      </c>
    </row>
    <row r="107" spans="6:6">
      <c r="F107" s="10">
        <f t="shared" si="10"/>
        <v>103</v>
      </c>
    </row>
    <row r="108" spans="6:6">
      <c r="F108" s="10">
        <f t="shared" si="10"/>
        <v>104</v>
      </c>
    </row>
    <row r="109" spans="6:6">
      <c r="F109" s="10">
        <f t="shared" si="10"/>
        <v>105</v>
      </c>
    </row>
    <row r="110" spans="6:6">
      <c r="F110" s="10">
        <f t="shared" si="10"/>
        <v>106</v>
      </c>
    </row>
    <row r="111" spans="6:6">
      <c r="F111" s="10">
        <f t="shared" si="10"/>
        <v>107</v>
      </c>
    </row>
    <row r="112" spans="6:6">
      <c r="F112" s="10">
        <f t="shared" si="10"/>
        <v>108</v>
      </c>
    </row>
    <row r="113" spans="6:6">
      <c r="F113" s="10">
        <f t="shared" si="10"/>
        <v>109</v>
      </c>
    </row>
    <row r="114" spans="6:6">
      <c r="F114" s="10">
        <f t="shared" si="10"/>
        <v>110</v>
      </c>
    </row>
    <row r="115" spans="6:6">
      <c r="F115" s="10">
        <f t="shared" si="10"/>
        <v>111</v>
      </c>
    </row>
    <row r="116" spans="6:6">
      <c r="F116" s="10">
        <f t="shared" si="10"/>
        <v>112</v>
      </c>
    </row>
    <row r="117" spans="6:6">
      <c r="F117" s="10">
        <f t="shared" si="10"/>
        <v>113</v>
      </c>
    </row>
    <row r="118" spans="6:6">
      <c r="F118" s="10">
        <f t="shared" si="10"/>
        <v>114</v>
      </c>
    </row>
    <row r="119" spans="6:6">
      <c r="F119" s="10">
        <f t="shared" si="10"/>
        <v>115</v>
      </c>
    </row>
    <row r="120" spans="6:6">
      <c r="F120" s="10">
        <f t="shared" si="10"/>
        <v>116</v>
      </c>
    </row>
    <row r="121" spans="6:6">
      <c r="F121" s="10">
        <f t="shared" si="10"/>
        <v>117</v>
      </c>
    </row>
    <row r="122" spans="6:6">
      <c r="F122" s="10">
        <f t="shared" si="10"/>
        <v>118</v>
      </c>
    </row>
    <row r="123" spans="6:6">
      <c r="F123" s="10">
        <f t="shared" si="10"/>
        <v>119</v>
      </c>
    </row>
    <row r="124" spans="6:6">
      <c r="F124" s="10">
        <f t="shared" si="10"/>
        <v>120</v>
      </c>
    </row>
    <row r="125" spans="6:6">
      <c r="F125" s="10">
        <f t="shared" si="10"/>
        <v>121</v>
      </c>
    </row>
    <row r="126" spans="6:6">
      <c r="F126" s="10">
        <f t="shared" si="10"/>
        <v>122</v>
      </c>
    </row>
    <row r="127" spans="6:6">
      <c r="F127" s="10">
        <f t="shared" si="10"/>
        <v>123</v>
      </c>
    </row>
    <row r="128" spans="6:6">
      <c r="F128" s="10">
        <f t="shared" si="10"/>
        <v>124</v>
      </c>
    </row>
    <row r="129" spans="6:6">
      <c r="F129" s="10">
        <f t="shared" si="10"/>
        <v>125</v>
      </c>
    </row>
    <row r="130" spans="6:6">
      <c r="F130" s="10">
        <f t="shared" si="10"/>
        <v>126</v>
      </c>
    </row>
    <row r="131" spans="6:6">
      <c r="F131" s="10">
        <f t="shared" si="10"/>
        <v>127</v>
      </c>
    </row>
    <row r="132" spans="6:6">
      <c r="F132" s="10">
        <f t="shared" si="10"/>
        <v>128</v>
      </c>
    </row>
    <row r="133" spans="6:6">
      <c r="F133" s="10">
        <f t="shared" si="10"/>
        <v>129</v>
      </c>
    </row>
    <row r="134" spans="6:6">
      <c r="F134" s="10">
        <f t="shared" si="10"/>
        <v>130</v>
      </c>
    </row>
    <row r="135" spans="6:6">
      <c r="F135" s="10">
        <f t="shared" ref="F135:F154" si="11">F134+1</f>
        <v>131</v>
      </c>
    </row>
    <row r="136" spans="6:6">
      <c r="F136" s="10">
        <f t="shared" si="11"/>
        <v>132</v>
      </c>
    </row>
    <row r="137" spans="6:6">
      <c r="F137" s="10">
        <f t="shared" si="11"/>
        <v>133</v>
      </c>
    </row>
    <row r="138" spans="6:6">
      <c r="F138" s="10">
        <f t="shared" si="11"/>
        <v>134</v>
      </c>
    </row>
    <row r="139" spans="6:6">
      <c r="F139" s="10">
        <f t="shared" si="11"/>
        <v>135</v>
      </c>
    </row>
    <row r="140" spans="6:6">
      <c r="F140" s="10">
        <f t="shared" si="11"/>
        <v>136</v>
      </c>
    </row>
    <row r="141" spans="6:6">
      <c r="F141" s="10">
        <f t="shared" si="11"/>
        <v>137</v>
      </c>
    </row>
    <row r="142" spans="6:6">
      <c r="F142" s="10">
        <f t="shared" si="11"/>
        <v>138</v>
      </c>
    </row>
    <row r="143" spans="6:6">
      <c r="F143" s="10">
        <f t="shared" si="11"/>
        <v>139</v>
      </c>
    </row>
    <row r="144" spans="6:6">
      <c r="F144" s="10">
        <f t="shared" si="11"/>
        <v>140</v>
      </c>
    </row>
    <row r="145" spans="6:6">
      <c r="F145" s="10">
        <f t="shared" si="11"/>
        <v>141</v>
      </c>
    </row>
    <row r="146" spans="6:6">
      <c r="F146" s="10">
        <f t="shared" si="11"/>
        <v>142</v>
      </c>
    </row>
    <row r="147" spans="6:6">
      <c r="F147" s="10">
        <f t="shared" si="11"/>
        <v>143</v>
      </c>
    </row>
    <row r="148" spans="6:6">
      <c r="F148" s="10">
        <f t="shared" si="11"/>
        <v>144</v>
      </c>
    </row>
    <row r="149" spans="6:6">
      <c r="F149" s="10">
        <f t="shared" si="11"/>
        <v>145</v>
      </c>
    </row>
    <row r="150" spans="6:6">
      <c r="F150" s="10">
        <f t="shared" si="11"/>
        <v>146</v>
      </c>
    </row>
    <row r="151" spans="6:6">
      <c r="F151" s="10">
        <f t="shared" si="11"/>
        <v>147</v>
      </c>
    </row>
    <row r="152" spans="6:6">
      <c r="F152" s="10">
        <f t="shared" si="11"/>
        <v>148</v>
      </c>
    </row>
    <row r="153" spans="6:6">
      <c r="F153" s="10">
        <f t="shared" si="11"/>
        <v>149</v>
      </c>
    </row>
    <row r="154" spans="6:6" ht="16" thickBot="1">
      <c r="F154" s="17">
        <f t="shared" si="11"/>
        <v>150</v>
      </c>
    </row>
  </sheetData>
  <mergeCells count="1">
    <mergeCell ref="F3:G3"/>
  </mergeCells>
  <phoneticPr fontId="1" type="noConversion"/>
  <dataValidations count="1">
    <dataValidation type="list" showInputMessage="1" showErrorMessage="1" sqref="C26" xr:uid="{00000000-0002-0000-0000-000000000000}">
      <formula1>Weighting_Scheme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_xludf.Run">
                <anchor moveWithCells="1" sizeWithCells="1">
                  <from>
                    <xdr:col>3</xdr:col>
                    <xdr:colOff>69850</xdr:colOff>
                    <xdr:row>19</xdr:row>
                    <xdr:rowOff>25400</xdr:rowOff>
                  </from>
                  <to>
                    <xdr:col>4</xdr:col>
                    <xdr:colOff>317500</xdr:colOff>
                    <xdr:row>20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OutputP">
                <anchor moveWithCells="1" sizeWithCells="1">
                  <from>
                    <xdr:col>3</xdr:col>
                    <xdr:colOff>114300</xdr:colOff>
                    <xdr:row>24</xdr:row>
                    <xdr:rowOff>69850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Run_recal">
                <anchor moveWithCells="1" sizeWithCells="1">
                  <from>
                    <xdr:col>3</xdr:col>
                    <xdr:colOff>95250</xdr:colOff>
                    <xdr:row>21</xdr:row>
                    <xdr:rowOff>88900</xdr:rowOff>
                  </from>
                  <to>
                    <xdr:col>4</xdr:col>
                    <xdr:colOff>336550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A2E86-7E0E-4780-9003-C44C8E88DC5E}">
  <dimension ref="A1:P19"/>
  <sheetViews>
    <sheetView topLeftCell="F1" workbookViewId="0">
      <selection activeCell="I4" sqref="I4:I18"/>
    </sheetView>
  </sheetViews>
  <sheetFormatPr defaultRowHeight="14.5"/>
  <cols>
    <col min="1" max="1" width="6.1796875" style="23" bestFit="1" customWidth="1"/>
    <col min="2" max="2" width="17.54296875" style="23" bestFit="1" customWidth="1"/>
    <col min="3" max="3" width="4.54296875" style="23" bestFit="1" customWidth="1"/>
    <col min="4" max="4" width="4.453125" style="23" bestFit="1" customWidth="1"/>
    <col min="5" max="5" width="12" style="23" bestFit="1" customWidth="1"/>
    <col min="6" max="6" width="5.7265625" style="23" bestFit="1" customWidth="1"/>
    <col min="7" max="7" width="12" style="23" bestFit="1" customWidth="1"/>
    <col min="8" max="8" width="3.1796875" style="23" bestFit="1" customWidth="1"/>
    <col min="9" max="9" width="6.1796875" style="23" bestFit="1" customWidth="1"/>
    <col min="10" max="11" width="12.7265625" style="23" bestFit="1" customWidth="1"/>
    <col min="12" max="12" width="12" style="23" bestFit="1" customWidth="1"/>
    <col min="13" max="13" width="8.7265625" style="23"/>
    <col min="14" max="14" width="4" style="23" bestFit="1" customWidth="1"/>
    <col min="15" max="15" width="12" style="23" bestFit="1" customWidth="1"/>
    <col min="16" max="16" width="63.54296875" style="23" bestFit="1" customWidth="1"/>
    <col min="17" max="16384" width="8.7265625" style="23"/>
  </cols>
  <sheetData>
    <row r="1" spans="1:16">
      <c r="A1" s="41" t="s">
        <v>59</v>
      </c>
      <c r="B1" s="41" t="s">
        <v>60</v>
      </c>
      <c r="C1" s="41" t="s">
        <v>61</v>
      </c>
      <c r="D1" s="41" t="s">
        <v>62</v>
      </c>
      <c r="E1" s="41" t="s">
        <v>63</v>
      </c>
      <c r="F1" s="41" t="s">
        <v>64</v>
      </c>
      <c r="G1" s="41" t="s">
        <v>65</v>
      </c>
      <c r="H1" s="41" t="s">
        <v>66</v>
      </c>
      <c r="I1" s="41" t="s">
        <v>59</v>
      </c>
      <c r="J1" s="41" t="s">
        <v>49</v>
      </c>
      <c r="K1" s="41" t="s">
        <v>50</v>
      </c>
      <c r="L1" s="41" t="s">
        <v>67</v>
      </c>
      <c r="N1" s="42" t="s">
        <v>68</v>
      </c>
      <c r="O1" s="43">
        <v>7000.89</v>
      </c>
      <c r="P1" s="44" t="s">
        <v>69</v>
      </c>
    </row>
    <row r="2" spans="1:16">
      <c r="A2" s="45" t="s">
        <v>70</v>
      </c>
      <c r="B2" s="45"/>
      <c r="C2" s="45"/>
      <c r="D2" s="45"/>
      <c r="E2" s="45"/>
      <c r="F2" s="45"/>
      <c r="G2" s="45"/>
      <c r="H2" s="45"/>
      <c r="N2" s="46" t="s">
        <v>71</v>
      </c>
      <c r="O2" s="47">
        <v>6.8700000000000002E-3</v>
      </c>
      <c r="P2" s="23" t="s">
        <v>72</v>
      </c>
    </row>
    <row r="3" spans="1:16" ht="15" thickBot="1">
      <c r="A3" s="23">
        <v>6300</v>
      </c>
      <c r="B3" s="23" t="s">
        <v>73</v>
      </c>
      <c r="D3" s="23">
        <v>0</v>
      </c>
      <c r="E3" s="23">
        <v>16.665227890014599</v>
      </c>
      <c r="F3" s="23">
        <v>0</v>
      </c>
      <c r="G3" s="23">
        <v>0.59484070539474498</v>
      </c>
      <c r="H3" s="23">
        <v>0</v>
      </c>
      <c r="I3" s="23">
        <f>VALUE(MID($B3,FIND("C",$B3)+1,LEN($B3)-FIND("C",$B3)))</f>
        <v>6300</v>
      </c>
      <c r="J3" s="23">
        <f>(LN($O$1/$I3)+($O$2-0.5*($E3/100)^2)*$O$3)/(($E3/100)*SQRT($O$3))</f>
        <v>0.44030431315469015</v>
      </c>
      <c r="K3" s="23">
        <f>J3+($E3/100)*SQRT($O$3)</f>
        <v>0.65374393588977753</v>
      </c>
      <c r="L3" s="23">
        <f>$O$1*_xlfn.NORM.S.DIST($K3,1)-$I3*EXP(-$O$2*$O$3)*_xlfn.NORM.S.DIST($J3,1)</f>
        <v>1029.6098032325817</v>
      </c>
      <c r="N3" s="48" t="s">
        <v>74</v>
      </c>
      <c r="O3" s="49">
        <f>NETWORKDAYS($O$4,$O$5)/$O$6</f>
        <v>1.6403162055335969</v>
      </c>
    </row>
    <row r="4" spans="1:16">
      <c r="A4" s="51">
        <v>6400</v>
      </c>
      <c r="B4" s="52" t="s">
        <v>75</v>
      </c>
      <c r="C4" s="52"/>
      <c r="D4" s="52">
        <v>0</v>
      </c>
      <c r="E4" s="52">
        <v>16.3257141113281</v>
      </c>
      <c r="F4" s="52">
        <v>0</v>
      </c>
      <c r="G4" s="52">
        <v>0.56880515813827504</v>
      </c>
      <c r="H4" s="52">
        <v>0</v>
      </c>
      <c r="I4" s="52">
        <f t="shared" ref="I4:I19" si="0">VALUE(MID($B4,FIND("C",$B4)+1,LEN($B4)-FIND("C",$B4)))</f>
        <v>6400</v>
      </c>
      <c r="J4" s="52">
        <f t="shared" ref="J4:J19" si="1">(LN($O$1/$I4)+($O$2-0.5*($E4/100)^2)*$O$3)/(($E4/100)*SQRT($O$3))</f>
        <v>0.37853644090864313</v>
      </c>
      <c r="K4" s="52">
        <f t="shared" ref="K4:K19" si="2">J4+($E4/100)*SQRT($O$3)</f>
        <v>0.5876277466981441</v>
      </c>
      <c r="L4" s="43">
        <f t="shared" ref="L4:L19" si="3">$O$1*_xlfn.NORM.S.DIST($K4,1)-$I4*EXP(-$O$2*$O$3)*_xlfn.NORM.S.DIST($J4,1)</f>
        <v>954.44273458865791</v>
      </c>
      <c r="O4" s="50">
        <v>43423</v>
      </c>
    </row>
    <row r="5" spans="1:16">
      <c r="A5" s="53">
        <v>6500</v>
      </c>
      <c r="B5" s="54" t="s">
        <v>76</v>
      </c>
      <c r="C5" s="54"/>
      <c r="D5" s="54">
        <v>0</v>
      </c>
      <c r="E5" s="54">
        <v>15.533057212829601</v>
      </c>
      <c r="F5" s="54">
        <v>0</v>
      </c>
      <c r="G5" s="54">
        <v>0.54163169860839799</v>
      </c>
      <c r="H5" s="54">
        <v>0</v>
      </c>
      <c r="I5" s="54">
        <f t="shared" si="0"/>
        <v>6500</v>
      </c>
      <c r="J5" s="54">
        <f t="shared" si="1"/>
        <v>0.3303300140458254</v>
      </c>
      <c r="K5" s="54">
        <f t="shared" si="2"/>
        <v>0.52926938009046065</v>
      </c>
      <c r="L5" s="55">
        <f t="shared" si="3"/>
        <v>867.04443184780075</v>
      </c>
      <c r="O5" s="50">
        <v>44001</v>
      </c>
    </row>
    <row r="6" spans="1:16">
      <c r="A6" s="53">
        <v>6600</v>
      </c>
      <c r="B6" s="54" t="s">
        <v>77</v>
      </c>
      <c r="C6" s="54"/>
      <c r="D6" s="54">
        <v>0</v>
      </c>
      <c r="E6" s="54">
        <v>15.217466354370099</v>
      </c>
      <c r="F6" s="54">
        <v>0</v>
      </c>
      <c r="G6" s="54">
        <v>0.51247173547744795</v>
      </c>
      <c r="H6" s="54">
        <v>0</v>
      </c>
      <c r="I6" s="54">
        <f t="shared" si="0"/>
        <v>6600</v>
      </c>
      <c r="J6" s="54">
        <f t="shared" si="1"/>
        <v>0.26292854532794524</v>
      </c>
      <c r="K6" s="54">
        <f t="shared" si="2"/>
        <v>0.45782598682088571</v>
      </c>
      <c r="L6" s="55">
        <f t="shared" si="3"/>
        <v>796.07765149646229</v>
      </c>
      <c r="O6" s="56">
        <v>253</v>
      </c>
    </row>
    <row r="7" spans="1:16">
      <c r="A7" s="53">
        <v>6700</v>
      </c>
      <c r="B7" s="54" t="s">
        <v>78</v>
      </c>
      <c r="C7" s="54"/>
      <c r="D7" s="54">
        <v>0</v>
      </c>
      <c r="E7" s="54">
        <v>14.920085906982401</v>
      </c>
      <c r="F7" s="54">
        <v>0</v>
      </c>
      <c r="G7" s="54">
        <v>0.48232010006904602</v>
      </c>
      <c r="H7" s="54">
        <v>0</v>
      </c>
      <c r="I7" s="54">
        <f t="shared" si="0"/>
        <v>6700</v>
      </c>
      <c r="J7" s="54">
        <f t="shared" si="1"/>
        <v>0.19331999363523975</v>
      </c>
      <c r="K7" s="54">
        <f t="shared" si="2"/>
        <v>0.38440874010653858</v>
      </c>
      <c r="L7" s="55">
        <f t="shared" si="3"/>
        <v>727.98048624480543</v>
      </c>
    </row>
    <row r="8" spans="1:16">
      <c r="A8" s="53">
        <v>6800</v>
      </c>
      <c r="B8" s="54" t="s">
        <v>79</v>
      </c>
      <c r="C8" s="54"/>
      <c r="D8" s="54">
        <v>0</v>
      </c>
      <c r="E8" s="54">
        <v>14.658659934997599</v>
      </c>
      <c r="F8" s="54">
        <v>0</v>
      </c>
      <c r="G8" s="54">
        <v>0.45151242613792397</v>
      </c>
      <c r="H8" s="54">
        <v>0</v>
      </c>
      <c r="I8" s="54">
        <f t="shared" si="0"/>
        <v>6800</v>
      </c>
      <c r="J8" s="54">
        <f t="shared" si="1"/>
        <v>0.12123321625717284</v>
      </c>
      <c r="K8" s="54">
        <f t="shared" si="2"/>
        <v>0.30897375403898697</v>
      </c>
      <c r="L8" s="55">
        <f t="shared" si="3"/>
        <v>663.55502028393767</v>
      </c>
    </row>
    <row r="9" spans="1:16">
      <c r="A9" s="53">
        <v>6900</v>
      </c>
      <c r="B9" s="54" t="s">
        <v>80</v>
      </c>
      <c r="C9" s="54"/>
      <c r="D9" s="54">
        <v>0</v>
      </c>
      <c r="E9" s="54">
        <v>14.420640945434601</v>
      </c>
      <c r="F9" s="54">
        <v>0</v>
      </c>
      <c r="G9" s="54">
        <v>0.42033866047859197</v>
      </c>
      <c r="H9" s="54">
        <v>0</v>
      </c>
      <c r="I9" s="54">
        <f t="shared" si="0"/>
        <v>6900</v>
      </c>
      <c r="J9" s="54">
        <f t="shared" si="1"/>
        <v>4.7263827193931768E-2</v>
      </c>
      <c r="K9" s="54">
        <f t="shared" si="2"/>
        <v>0.23195594081548865</v>
      </c>
      <c r="L9" s="55">
        <f t="shared" si="3"/>
        <v>602.58608242076298</v>
      </c>
    </row>
    <row r="10" spans="1:16">
      <c r="A10" s="53">
        <v>7000</v>
      </c>
      <c r="B10" s="54" t="s">
        <v>81</v>
      </c>
      <c r="C10" s="54"/>
      <c r="D10" s="54">
        <v>0</v>
      </c>
      <c r="E10" s="54">
        <v>14.2074899673462</v>
      </c>
      <c r="F10" s="54">
        <v>0</v>
      </c>
      <c r="G10" s="54">
        <v>0.389151722192764</v>
      </c>
      <c r="H10" s="54">
        <v>0</v>
      </c>
      <c r="I10" s="54">
        <f t="shared" si="0"/>
        <v>7000</v>
      </c>
      <c r="J10" s="54">
        <f t="shared" si="1"/>
        <v>-2.8352107587852792E-2</v>
      </c>
      <c r="K10" s="54">
        <f t="shared" si="2"/>
        <v>0.15361007850741673</v>
      </c>
      <c r="L10" s="55">
        <f t="shared" si="3"/>
        <v>545.28743654363825</v>
      </c>
    </row>
    <row r="11" spans="1:16">
      <c r="A11" s="53">
        <v>7100</v>
      </c>
      <c r="B11" s="54" t="s">
        <v>82</v>
      </c>
      <c r="C11" s="54"/>
      <c r="D11" s="54">
        <v>0</v>
      </c>
      <c r="E11" s="54">
        <v>13.9897899627685</v>
      </c>
      <c r="F11" s="54">
        <v>0</v>
      </c>
      <c r="G11" s="54">
        <v>0.35796204209327698</v>
      </c>
      <c r="H11" s="54">
        <v>0</v>
      </c>
      <c r="I11" s="54">
        <f t="shared" si="0"/>
        <v>7100</v>
      </c>
      <c r="J11" s="54">
        <f t="shared" si="1"/>
        <v>-0.10515023831540518</v>
      </c>
      <c r="K11" s="54">
        <f t="shared" si="2"/>
        <v>7.4023758674191642E-2</v>
      </c>
      <c r="L11" s="55">
        <f t="shared" si="3"/>
        <v>490.73911462269325</v>
      </c>
    </row>
    <row r="12" spans="1:16">
      <c r="A12" s="53">
        <v>7200</v>
      </c>
      <c r="B12" s="54" t="s">
        <v>83</v>
      </c>
      <c r="C12" s="54"/>
      <c r="D12" s="54">
        <v>0</v>
      </c>
      <c r="E12" s="54">
        <v>13.7837572097778</v>
      </c>
      <c r="F12" s="54">
        <v>0</v>
      </c>
      <c r="G12" s="54">
        <v>0.32718521356582603</v>
      </c>
      <c r="H12" s="54">
        <v>0</v>
      </c>
      <c r="I12" s="54">
        <f t="shared" si="0"/>
        <v>7200</v>
      </c>
      <c r="J12" s="54">
        <f t="shared" si="1"/>
        <v>-0.18328983701715393</v>
      </c>
      <c r="K12" s="54">
        <f t="shared" si="2"/>
        <v>-6.7546010069827467E-3</v>
      </c>
      <c r="L12" s="55">
        <f t="shared" si="3"/>
        <v>439.59955391426593</v>
      </c>
    </row>
    <row r="13" spans="1:16">
      <c r="A13" s="53">
        <v>7300</v>
      </c>
      <c r="B13" s="54" t="s">
        <v>84</v>
      </c>
      <c r="C13" s="54"/>
      <c r="D13" s="54">
        <v>0</v>
      </c>
      <c r="E13" s="54">
        <v>13.583014488220201</v>
      </c>
      <c r="F13" s="54">
        <v>0</v>
      </c>
      <c r="G13" s="54">
        <v>0.29700940847396901</v>
      </c>
      <c r="H13" s="54">
        <v>0</v>
      </c>
      <c r="I13" s="54">
        <f t="shared" si="0"/>
        <v>7300</v>
      </c>
      <c r="J13" s="54">
        <f t="shared" si="1"/>
        <v>-0.2626969286511272</v>
      </c>
      <c r="K13" s="54">
        <f t="shared" si="2"/>
        <v>-8.8732701632782712E-2</v>
      </c>
      <c r="L13" s="55">
        <f t="shared" si="3"/>
        <v>391.70701917227188</v>
      </c>
    </row>
    <row r="14" spans="1:16">
      <c r="A14" s="53">
        <v>7350</v>
      </c>
      <c r="B14" s="54" t="s">
        <v>85</v>
      </c>
      <c r="C14" s="54"/>
      <c r="D14" s="54">
        <v>0</v>
      </c>
      <c r="E14" s="54">
        <v>13.4864854812622</v>
      </c>
      <c r="F14" s="54">
        <v>0</v>
      </c>
      <c r="G14" s="54">
        <v>0.28225529193878202</v>
      </c>
      <c r="H14" s="54">
        <v>0</v>
      </c>
      <c r="I14" s="54">
        <f t="shared" si="0"/>
        <v>7350</v>
      </c>
      <c r="J14" s="54">
        <f t="shared" si="1"/>
        <v>-0.30285504793798296</v>
      </c>
      <c r="K14" s="54">
        <f t="shared" si="2"/>
        <v>-0.13012711453434825</v>
      </c>
      <c r="L14" s="55">
        <f t="shared" si="3"/>
        <v>369.05815685635753</v>
      </c>
    </row>
    <row r="15" spans="1:16">
      <c r="A15" s="53">
        <v>7400</v>
      </c>
      <c r="B15" s="54" t="s">
        <v>86</v>
      </c>
      <c r="C15" s="54"/>
      <c r="D15" s="54">
        <v>0</v>
      </c>
      <c r="E15" s="54">
        <v>13.3991432189941</v>
      </c>
      <c r="F15" s="54">
        <v>0</v>
      </c>
      <c r="G15" s="54">
        <v>0.26788231730461098</v>
      </c>
      <c r="H15" s="54">
        <v>0</v>
      </c>
      <c r="I15" s="54">
        <f t="shared" si="0"/>
        <v>7400</v>
      </c>
      <c r="J15" s="54">
        <f t="shared" si="1"/>
        <v>-0.34321345151799981</v>
      </c>
      <c r="K15" s="54">
        <f t="shared" si="2"/>
        <v>-0.17160415265272042</v>
      </c>
      <c r="L15" s="55">
        <f t="shared" si="3"/>
        <v>347.51104313808037</v>
      </c>
    </row>
    <row r="16" spans="1:16">
      <c r="A16" s="53">
        <v>7500</v>
      </c>
      <c r="B16" s="54" t="s">
        <v>87</v>
      </c>
      <c r="C16" s="54"/>
      <c r="D16" s="54">
        <v>0</v>
      </c>
      <c r="E16" s="54">
        <v>13.3227214813232</v>
      </c>
      <c r="F16" s="54">
        <v>0</v>
      </c>
      <c r="G16" s="54">
        <v>0.241761058568955</v>
      </c>
      <c r="H16" s="54">
        <v>0</v>
      </c>
      <c r="I16" s="54">
        <f t="shared" si="0"/>
        <v>7500</v>
      </c>
      <c r="J16" s="54">
        <f t="shared" si="1"/>
        <v>-0.42286778090994509</v>
      </c>
      <c r="K16" s="54">
        <f t="shared" si="2"/>
        <v>-0.25223725214999437</v>
      </c>
      <c r="L16" s="55">
        <f t="shared" si="3"/>
        <v>310.14415362245018</v>
      </c>
    </row>
    <row r="17" spans="1:12">
      <c r="A17" s="53">
        <v>7600</v>
      </c>
      <c r="B17" s="54" t="s">
        <v>88</v>
      </c>
      <c r="C17" s="54"/>
      <c r="D17" s="54">
        <v>0</v>
      </c>
      <c r="E17" s="54">
        <v>13.1581106185913</v>
      </c>
      <c r="F17" s="54">
        <v>0</v>
      </c>
      <c r="G17" s="54">
        <v>0.21534350514411901</v>
      </c>
      <c r="H17" s="54">
        <v>0</v>
      </c>
      <c r="I17" s="54">
        <f t="shared" si="0"/>
        <v>7600</v>
      </c>
      <c r="J17" s="54">
        <f t="shared" si="1"/>
        <v>-0.50463280731721127</v>
      </c>
      <c r="K17" s="54">
        <f t="shared" si="2"/>
        <v>-0.33611052938176</v>
      </c>
      <c r="L17" s="55">
        <f t="shared" si="3"/>
        <v>272.71785950608455</v>
      </c>
    </row>
    <row r="18" spans="1:12" ht="15" thickBot="1">
      <c r="A18" s="57">
        <v>7700</v>
      </c>
      <c r="B18" s="58" t="s">
        <v>89</v>
      </c>
      <c r="C18" s="58"/>
      <c r="D18" s="58">
        <v>0</v>
      </c>
      <c r="E18" s="58">
        <v>13.0217943191528</v>
      </c>
      <c r="F18" s="58">
        <v>0</v>
      </c>
      <c r="G18" s="58">
        <v>0.19087190926075001</v>
      </c>
      <c r="H18" s="58">
        <v>0</v>
      </c>
      <c r="I18" s="58">
        <f t="shared" si="0"/>
        <v>7700</v>
      </c>
      <c r="J18" s="58">
        <f t="shared" si="1"/>
        <v>-0.58654133686291532</v>
      </c>
      <c r="K18" s="58">
        <f t="shared" si="2"/>
        <v>-0.41976492761385809</v>
      </c>
      <c r="L18" s="59">
        <f t="shared" si="3"/>
        <v>239.2321611350917</v>
      </c>
    </row>
    <row r="19" spans="1:12">
      <c r="A19" s="23">
        <v>7800</v>
      </c>
      <c r="B19" s="23" t="s">
        <v>90</v>
      </c>
      <c r="D19" s="23">
        <v>0</v>
      </c>
      <c r="E19" s="23">
        <v>13.2473859786987</v>
      </c>
      <c r="F19" s="23">
        <v>0</v>
      </c>
      <c r="G19" s="23">
        <v>0.17524282634258301</v>
      </c>
      <c r="H19" s="23">
        <v>0</v>
      </c>
      <c r="I19" s="23">
        <f t="shared" si="0"/>
        <v>7800</v>
      </c>
      <c r="J19" s="23">
        <f t="shared" si="1"/>
        <v>-0.65546964824387999</v>
      </c>
      <c r="K19" s="23">
        <f t="shared" si="2"/>
        <v>-0.48580397765237748</v>
      </c>
      <c r="L19" s="23">
        <f t="shared" si="3"/>
        <v>220.08825696265853</v>
      </c>
    </row>
  </sheetData>
  <mergeCells count="1">
    <mergeCell ref="A2:H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5555A-788C-4383-BF48-07EB04AC78FF}">
  <dimension ref="A1:P35"/>
  <sheetViews>
    <sheetView workbookViewId="0">
      <selection activeCell="O2" sqref="O2"/>
    </sheetView>
  </sheetViews>
  <sheetFormatPr defaultColWidth="9.1796875" defaultRowHeight="14.5"/>
  <cols>
    <col min="1" max="1" width="6.1796875" style="23" bestFit="1" customWidth="1"/>
    <col min="2" max="2" width="18.54296875" style="23" bestFit="1" customWidth="1"/>
    <col min="3" max="3" width="4.54296875" style="23" bestFit="1" customWidth="1"/>
    <col min="4" max="4" width="4.453125" style="23" bestFit="1" customWidth="1"/>
    <col min="5" max="5" width="12" style="23" bestFit="1" customWidth="1"/>
    <col min="6" max="6" width="5.7265625" style="23" bestFit="1" customWidth="1"/>
    <col min="7" max="8" width="12" style="23" bestFit="1" customWidth="1"/>
    <col min="9" max="9" width="6.1796875" style="23" bestFit="1" customWidth="1"/>
    <col min="10" max="11" width="12.7265625" style="23" bestFit="1" customWidth="1"/>
    <col min="12" max="12" width="12" style="23" bestFit="1" customWidth="1"/>
    <col min="13" max="13" width="9.1796875" style="23"/>
    <col min="14" max="14" width="4" style="23" bestFit="1" customWidth="1"/>
    <col min="15" max="15" width="12" style="23" bestFit="1" customWidth="1"/>
    <col min="16" max="16" width="63.54296875" style="23" bestFit="1" customWidth="1"/>
    <col min="17" max="16384" width="9.1796875" style="23"/>
  </cols>
  <sheetData>
    <row r="1" spans="1:16">
      <c r="A1" s="41" t="s">
        <v>59</v>
      </c>
      <c r="B1" s="41" t="s">
        <v>60</v>
      </c>
      <c r="C1" s="41" t="s">
        <v>61</v>
      </c>
      <c r="D1" s="41" t="s">
        <v>62</v>
      </c>
      <c r="E1" s="41" t="s">
        <v>63</v>
      </c>
      <c r="F1" s="41" t="s">
        <v>64</v>
      </c>
      <c r="G1" s="41" t="s">
        <v>65</v>
      </c>
      <c r="H1" s="41" t="s">
        <v>66</v>
      </c>
      <c r="I1" s="41" t="s">
        <v>59</v>
      </c>
      <c r="J1" s="41" t="s">
        <v>49</v>
      </c>
      <c r="K1" s="41" t="s">
        <v>50</v>
      </c>
      <c r="L1" s="41" t="s">
        <v>67</v>
      </c>
      <c r="N1" s="42" t="s">
        <v>68</v>
      </c>
      <c r="O1" s="43">
        <v>7000.89</v>
      </c>
      <c r="P1" s="44" t="s">
        <v>69</v>
      </c>
    </row>
    <row r="2" spans="1:16">
      <c r="A2" s="45" t="s">
        <v>91</v>
      </c>
      <c r="B2" s="45"/>
      <c r="C2" s="45"/>
      <c r="D2" s="45"/>
      <c r="E2" s="45"/>
      <c r="F2" s="45"/>
      <c r="G2" s="45"/>
      <c r="H2" s="45"/>
      <c r="N2" s="46" t="s">
        <v>71</v>
      </c>
      <c r="O2" s="60">
        <v>7.2500000000000004E-3</v>
      </c>
      <c r="P2" s="23" t="s">
        <v>92</v>
      </c>
    </row>
    <row r="3" spans="1:16" ht="15" thickBot="1">
      <c r="A3" s="23">
        <v>6200</v>
      </c>
      <c r="B3" s="23" t="s">
        <v>93</v>
      </c>
      <c r="D3" s="23">
        <v>0</v>
      </c>
      <c r="E3" s="23">
        <v>17.091884613037099</v>
      </c>
      <c r="F3" s="23">
        <v>0</v>
      </c>
      <c r="G3" s="23">
        <v>0.68517917394638095</v>
      </c>
      <c r="H3" s="23">
        <v>0</v>
      </c>
      <c r="I3" s="23">
        <f>VALUE(MID($B3,FIND("C",$B3)+1,LEN($B3)-FIND("C",$B3)))</f>
        <v>6200</v>
      </c>
      <c r="J3" s="23">
        <f>(LN($O$1/$I3)+($O$2-0.5*($E3/100)^2)*$O$3)/(($E3/100)*SQRT($O$3))</f>
        <v>0.62401882959898858</v>
      </c>
      <c r="K3" s="23">
        <f>J3+($E3/100)*SQRT($O$3)</f>
        <v>0.80542502776350178</v>
      </c>
      <c r="L3" s="23">
        <f>$O$1*_xlfn.NORM.S.DIST($K3,1)-$I3*EXP(-$O$2*$O$3)*_xlfn.NORM.S.DIST($J3,1)</f>
        <v>1016.7989315185814</v>
      </c>
      <c r="N3" s="48" t="s">
        <v>74</v>
      </c>
      <c r="O3" s="49">
        <f>NETWORKDAYS($O$4,$O$5)/$O$6</f>
        <v>1.1264822134387351</v>
      </c>
    </row>
    <row r="4" spans="1:16">
      <c r="A4" s="23">
        <v>6250</v>
      </c>
      <c r="B4" s="23" t="s">
        <v>94</v>
      </c>
      <c r="D4" s="23">
        <v>0</v>
      </c>
      <c r="E4" s="23">
        <v>17.036918640136701</v>
      </c>
      <c r="F4" s="23">
        <v>0</v>
      </c>
      <c r="G4" s="23">
        <v>0.67079693078994795</v>
      </c>
      <c r="H4" s="23">
        <v>0</v>
      </c>
      <c r="I4" s="23">
        <f t="shared" ref="I4:I35" si="0">VALUE(MID($B4,FIND("C",$B4)+1,LEN($B4)-FIND("C",$B4)))</f>
        <v>6250</v>
      </c>
      <c r="J4" s="23">
        <f t="shared" ref="J4:J35" si="1">(LN($O$1/$I4)+($O$2-0.5*($E4/100)^2)*$O$3)/(($E4/100)*SQRT($O$3))</f>
        <v>0.58219629624206481</v>
      </c>
      <c r="K4" s="23">
        <f t="shared" ref="K4:K35" si="2">J4+($E4/100)*SQRT($O$3)</f>
        <v>0.76301910829100195</v>
      </c>
      <c r="L4" s="23">
        <f t="shared" ref="L4:L35" si="3">$O$1*_xlfn.NORM.S.DIST($K4,1)-$I4*EXP(-$O$2*$O$3)*_xlfn.NORM.S.DIST($J4,1)</f>
        <v>979.55825749882933</v>
      </c>
      <c r="O4" s="50">
        <v>43423</v>
      </c>
    </row>
    <row r="5" spans="1:16">
      <c r="A5" s="23">
        <v>6275</v>
      </c>
      <c r="B5" s="23" t="s">
        <v>95</v>
      </c>
      <c r="D5" s="23">
        <v>0</v>
      </c>
      <c r="E5" s="23">
        <v>16.940723419189499</v>
      </c>
      <c r="F5" s="23">
        <v>0</v>
      </c>
      <c r="G5" s="23">
        <v>0.66393846273422197</v>
      </c>
      <c r="H5" s="23">
        <v>0</v>
      </c>
      <c r="I5" s="23">
        <f t="shared" si="0"/>
        <v>6275</v>
      </c>
      <c r="J5" s="23">
        <f t="shared" si="1"/>
        <v>0.56432374217344317</v>
      </c>
      <c r="K5" s="23">
        <f t="shared" si="2"/>
        <v>0.74412557791059797</v>
      </c>
      <c r="L5" s="23">
        <f t="shared" si="3"/>
        <v>959.63819544481248</v>
      </c>
      <c r="O5" s="50">
        <v>43819</v>
      </c>
    </row>
    <row r="6" spans="1:16">
      <c r="A6" s="23">
        <v>6300</v>
      </c>
      <c r="B6" s="23" t="s">
        <v>96</v>
      </c>
      <c r="D6" s="23">
        <v>0</v>
      </c>
      <c r="E6" s="23">
        <v>16.853443145751999</v>
      </c>
      <c r="F6" s="23">
        <v>0</v>
      </c>
      <c r="G6" s="23">
        <v>0.65690410137176503</v>
      </c>
      <c r="H6" s="23">
        <v>0</v>
      </c>
      <c r="I6" s="23">
        <f t="shared" si="0"/>
        <v>6300</v>
      </c>
      <c r="J6" s="23">
        <f t="shared" si="1"/>
        <v>0.54594642338684163</v>
      </c>
      <c r="K6" s="23">
        <f t="shared" si="2"/>
        <v>0.72482190237999067</v>
      </c>
      <c r="L6" s="23">
        <f t="shared" si="3"/>
        <v>940.04212771925813</v>
      </c>
      <c r="O6" s="56">
        <v>253</v>
      </c>
    </row>
    <row r="7" spans="1:16">
      <c r="A7" s="23">
        <v>6350</v>
      </c>
      <c r="B7" s="23" t="s">
        <v>97</v>
      </c>
      <c r="D7" s="23">
        <v>0</v>
      </c>
      <c r="E7" s="23">
        <v>16.669326782226602</v>
      </c>
      <c r="F7" s="23">
        <v>0</v>
      </c>
      <c r="G7" s="23">
        <v>0.64254629611969005</v>
      </c>
      <c r="H7" s="23">
        <v>0</v>
      </c>
      <c r="I7" s="23">
        <f t="shared" si="0"/>
        <v>6350</v>
      </c>
      <c r="J7" s="23">
        <f t="shared" si="1"/>
        <v>0.50925956101783387</v>
      </c>
      <c r="K7" s="23">
        <f t="shared" si="2"/>
        <v>0.68618090503504581</v>
      </c>
      <c r="L7" s="23">
        <f t="shared" si="3"/>
        <v>901.01634837408074</v>
      </c>
    </row>
    <row r="8" spans="1:16">
      <c r="A8" s="23">
        <v>6400</v>
      </c>
      <c r="B8" s="23" t="s">
        <v>98</v>
      </c>
      <c r="D8" s="23">
        <v>0</v>
      </c>
      <c r="E8" s="23">
        <v>16.478513717651399</v>
      </c>
      <c r="F8" s="23">
        <v>0</v>
      </c>
      <c r="G8" s="23">
        <v>0.62775331735610995</v>
      </c>
      <c r="H8" s="23">
        <v>0</v>
      </c>
      <c r="I8" s="23">
        <f t="shared" si="0"/>
        <v>6400</v>
      </c>
      <c r="J8" s="23">
        <f t="shared" si="1"/>
        <v>0.4723486986831596</v>
      </c>
      <c r="K8" s="23">
        <f t="shared" si="2"/>
        <v>0.64724483170764668</v>
      </c>
      <c r="L8" s="23">
        <f t="shared" si="3"/>
        <v>862.35629265244188</v>
      </c>
    </row>
    <row r="9" spans="1:16">
      <c r="A9" s="23">
        <v>6430</v>
      </c>
      <c r="B9" s="23" t="s">
        <v>99</v>
      </c>
      <c r="D9" s="23">
        <v>0</v>
      </c>
      <c r="E9" s="23">
        <v>16.358966827392599</v>
      </c>
      <c r="F9" s="23">
        <v>0</v>
      </c>
      <c r="G9" s="23">
        <v>0.618671774864197</v>
      </c>
      <c r="H9" s="23">
        <v>0</v>
      </c>
      <c r="I9" s="23">
        <f t="shared" si="0"/>
        <v>6430</v>
      </c>
      <c r="J9" s="23">
        <f t="shared" si="1"/>
        <v>0.45013954976071868</v>
      </c>
      <c r="K9" s="23">
        <f t="shared" si="2"/>
        <v>0.62376686150801919</v>
      </c>
      <c r="L9" s="23">
        <f t="shared" si="3"/>
        <v>839.29522078398622</v>
      </c>
    </row>
    <row r="10" spans="1:16">
      <c r="A10" s="23">
        <v>6490</v>
      </c>
      <c r="B10" s="23" t="s">
        <v>100</v>
      </c>
      <c r="D10" s="23">
        <v>0</v>
      </c>
      <c r="E10" s="23">
        <v>16.128808975219702</v>
      </c>
      <c r="F10" s="23">
        <v>0</v>
      </c>
      <c r="G10" s="23">
        <v>0.59995085000991799</v>
      </c>
      <c r="H10" s="23">
        <v>0</v>
      </c>
      <c r="I10" s="23">
        <f t="shared" si="0"/>
        <v>6490</v>
      </c>
      <c r="J10" s="23">
        <f t="shared" si="1"/>
        <v>0.40476606264828596</v>
      </c>
      <c r="K10" s="23">
        <f t="shared" si="2"/>
        <v>0.57595057409089989</v>
      </c>
      <c r="L10" s="23">
        <f t="shared" si="3"/>
        <v>793.99215466041915</v>
      </c>
    </row>
    <row r="11" spans="1:16">
      <c r="A11" s="54">
        <v>6500</v>
      </c>
      <c r="B11" s="54" t="s">
        <v>101</v>
      </c>
      <c r="C11" s="54"/>
      <c r="D11" s="54">
        <v>0</v>
      </c>
      <c r="E11" s="54">
        <v>16.0928764343262</v>
      </c>
      <c r="F11" s="54">
        <v>0</v>
      </c>
      <c r="G11" s="54">
        <v>0.59675633907318104</v>
      </c>
      <c r="H11" s="54">
        <v>0</v>
      </c>
      <c r="I11" s="54">
        <f t="shared" si="0"/>
        <v>6500</v>
      </c>
      <c r="J11" s="54">
        <f t="shared" si="1"/>
        <v>0.39703747613148865</v>
      </c>
      <c r="K11" s="54">
        <f t="shared" si="2"/>
        <v>0.56784061443816936</v>
      </c>
      <c r="L11" s="54">
        <f t="shared" si="3"/>
        <v>786.58348788219064</v>
      </c>
    </row>
    <row r="12" spans="1:16">
      <c r="A12" s="54">
        <v>6550</v>
      </c>
      <c r="B12" s="54" t="s">
        <v>102</v>
      </c>
      <c r="C12" s="54"/>
      <c r="D12" s="54">
        <v>0</v>
      </c>
      <c r="E12" s="54">
        <v>15.7184038162231</v>
      </c>
      <c r="F12" s="54">
        <v>0</v>
      </c>
      <c r="G12" s="54">
        <v>0.58101373910903897</v>
      </c>
      <c r="H12" s="54">
        <v>0</v>
      </c>
      <c r="I12" s="54">
        <f t="shared" si="0"/>
        <v>6550</v>
      </c>
      <c r="J12" s="54">
        <f t="shared" si="1"/>
        <v>0.36458567474045822</v>
      </c>
      <c r="K12" s="54">
        <f t="shared" si="2"/>
        <v>0.53141431547096296</v>
      </c>
      <c r="L12" s="54">
        <f t="shared" si="3"/>
        <v>744.88563609830726</v>
      </c>
    </row>
    <row r="13" spans="1:16">
      <c r="A13" s="54">
        <v>6600</v>
      </c>
      <c r="B13" s="54" t="s">
        <v>103</v>
      </c>
      <c r="C13" s="54"/>
      <c r="D13" s="54">
        <v>516</v>
      </c>
      <c r="E13" s="54">
        <v>15.5320692062378</v>
      </c>
      <c r="F13" s="54">
        <v>41</v>
      </c>
      <c r="G13" s="54">
        <v>0.56415808200836204</v>
      </c>
      <c r="H13" s="54">
        <v>27.0225715637207</v>
      </c>
      <c r="I13" s="54">
        <f t="shared" si="0"/>
        <v>6600</v>
      </c>
      <c r="J13" s="54">
        <f t="shared" si="1"/>
        <v>0.32481891679643421</v>
      </c>
      <c r="K13" s="54">
        <f t="shared" si="2"/>
        <v>0.48966987900001296</v>
      </c>
      <c r="L13" s="54">
        <f t="shared" si="3"/>
        <v>708.55298795724411</v>
      </c>
    </row>
    <row r="14" spans="1:16">
      <c r="A14" s="54">
        <v>6700</v>
      </c>
      <c r="B14" s="54" t="s">
        <v>104</v>
      </c>
      <c r="C14" s="54"/>
      <c r="D14" s="54">
        <v>0</v>
      </c>
      <c r="E14" s="54">
        <v>15.1681356430054</v>
      </c>
      <c r="F14" s="54">
        <v>0</v>
      </c>
      <c r="G14" s="54">
        <v>0.52911770343780495</v>
      </c>
      <c r="H14" s="54">
        <v>0</v>
      </c>
      <c r="I14" s="54">
        <f t="shared" si="0"/>
        <v>6700</v>
      </c>
      <c r="J14" s="54">
        <f t="shared" si="1"/>
        <v>0.24311163173616307</v>
      </c>
      <c r="K14" s="54">
        <f t="shared" si="2"/>
        <v>0.40409995353552935</v>
      </c>
      <c r="L14" s="54">
        <f t="shared" si="3"/>
        <v>638.1076320954844</v>
      </c>
    </row>
    <row r="15" spans="1:16">
      <c r="A15" s="54">
        <v>6800</v>
      </c>
      <c r="B15" s="54" t="s">
        <v>105</v>
      </c>
      <c r="C15" s="54"/>
      <c r="D15" s="54">
        <v>0</v>
      </c>
      <c r="E15" s="54">
        <v>14.8065586090088</v>
      </c>
      <c r="F15" s="54">
        <v>0</v>
      </c>
      <c r="G15" s="54">
        <v>0.492470413446426</v>
      </c>
      <c r="H15" s="54">
        <v>0</v>
      </c>
      <c r="I15" s="54">
        <f t="shared" si="0"/>
        <v>6800</v>
      </c>
      <c r="J15" s="54">
        <f t="shared" si="1"/>
        <v>0.15865980088251258</v>
      </c>
      <c r="K15" s="54">
        <f t="shared" si="2"/>
        <v>0.315810493504878</v>
      </c>
      <c r="L15" s="54">
        <f t="shared" si="3"/>
        <v>570.56950052266166</v>
      </c>
    </row>
    <row r="16" spans="1:16" ht="15" thickBot="1">
      <c r="A16" s="54">
        <v>6900</v>
      </c>
      <c r="B16" s="54" t="s">
        <v>106</v>
      </c>
      <c r="C16" s="54"/>
      <c r="D16" s="54">
        <v>0</v>
      </c>
      <c r="E16" s="54">
        <v>14.4876260757446</v>
      </c>
      <c r="F16" s="54">
        <v>0</v>
      </c>
      <c r="G16" s="54">
        <v>0.45466315746307401</v>
      </c>
      <c r="H16" s="54">
        <v>0</v>
      </c>
      <c r="I16" s="54">
        <f t="shared" si="0"/>
        <v>6900</v>
      </c>
      <c r="J16" s="54">
        <f t="shared" si="1"/>
        <v>7.0632974309148347E-2</v>
      </c>
      <c r="K16" s="54">
        <f t="shared" si="2"/>
        <v>0.22439864885771371</v>
      </c>
      <c r="L16" s="54">
        <f t="shared" si="3"/>
        <v>507.3306552429417</v>
      </c>
    </row>
    <row r="17" spans="1:12">
      <c r="A17" s="51">
        <v>7000</v>
      </c>
      <c r="B17" s="52" t="s">
        <v>107</v>
      </c>
      <c r="C17" s="52"/>
      <c r="D17" s="52">
        <v>0</v>
      </c>
      <c r="E17" s="52">
        <v>14.1711616516113</v>
      </c>
      <c r="F17" s="52">
        <v>0</v>
      </c>
      <c r="G17" s="52">
        <v>0.41598266363143899</v>
      </c>
      <c r="H17" s="52">
        <v>0</v>
      </c>
      <c r="I17" s="52">
        <f t="shared" si="0"/>
        <v>7000</v>
      </c>
      <c r="J17" s="52">
        <f t="shared" si="1"/>
        <v>-2.0058791850046862E-2</v>
      </c>
      <c r="K17" s="52">
        <f t="shared" si="2"/>
        <v>0.13034806011481379</v>
      </c>
      <c r="L17" s="43">
        <f t="shared" si="3"/>
        <v>447.49728167819694</v>
      </c>
    </row>
    <row r="18" spans="1:12">
      <c r="A18" s="53">
        <v>7049</v>
      </c>
      <c r="B18" s="54" t="s">
        <v>108</v>
      </c>
      <c r="C18" s="54"/>
      <c r="D18" s="54">
        <v>0</v>
      </c>
      <c r="E18" s="54">
        <v>14.0294599533081</v>
      </c>
      <c r="F18" s="54">
        <v>0</v>
      </c>
      <c r="G18" s="54">
        <v>0.39693811535835299</v>
      </c>
      <c r="H18" s="54">
        <v>0</v>
      </c>
      <c r="I18" s="54">
        <f t="shared" si="0"/>
        <v>7049</v>
      </c>
      <c r="J18" s="54">
        <f t="shared" si="1"/>
        <v>-6.5596565196164844E-2</v>
      </c>
      <c r="K18" s="54">
        <f t="shared" si="2"/>
        <v>8.3306323516859224E-2</v>
      </c>
      <c r="L18" s="55">
        <f t="shared" si="3"/>
        <v>419.8494563691529</v>
      </c>
    </row>
    <row r="19" spans="1:12">
      <c r="A19" s="53">
        <v>7050</v>
      </c>
      <c r="B19" s="54" t="s">
        <v>109</v>
      </c>
      <c r="C19" s="54"/>
      <c r="D19" s="54">
        <v>0</v>
      </c>
      <c r="E19" s="54">
        <v>14.024138450622599</v>
      </c>
      <c r="F19" s="54">
        <v>0</v>
      </c>
      <c r="G19" s="54">
        <v>0.39652559161186202</v>
      </c>
      <c r="H19" s="54">
        <v>0</v>
      </c>
      <c r="I19" s="54">
        <f t="shared" si="0"/>
        <v>7050</v>
      </c>
      <c r="J19" s="54">
        <f t="shared" si="1"/>
        <v>-6.6517987946960913E-2</v>
      </c>
      <c r="K19" s="54">
        <f t="shared" si="2"/>
        <v>8.2328420536260868E-2</v>
      </c>
      <c r="L19" s="55">
        <f t="shared" si="3"/>
        <v>419.2224364461631</v>
      </c>
    </row>
    <row r="20" spans="1:12">
      <c r="A20" s="53">
        <v>7100</v>
      </c>
      <c r="B20" s="54" t="s">
        <v>110</v>
      </c>
      <c r="C20" s="54"/>
      <c r="D20" s="54">
        <v>0</v>
      </c>
      <c r="E20" s="54">
        <v>13.8963708877563</v>
      </c>
      <c r="F20" s="54">
        <v>0</v>
      </c>
      <c r="G20" s="54">
        <v>0.377222269773483</v>
      </c>
      <c r="H20" s="54">
        <v>0</v>
      </c>
      <c r="I20" s="54">
        <f t="shared" si="0"/>
        <v>7100</v>
      </c>
      <c r="J20" s="54">
        <f t="shared" si="1"/>
        <v>-0.11368340627460312</v>
      </c>
      <c r="K20" s="54">
        <f t="shared" si="2"/>
        <v>3.3806930110481401E-2</v>
      </c>
      <c r="L20" s="55">
        <f t="shared" si="3"/>
        <v>392.42426886281783</v>
      </c>
    </row>
    <row r="21" spans="1:12">
      <c r="A21" s="53">
        <v>7150</v>
      </c>
      <c r="B21" s="54" t="s">
        <v>111</v>
      </c>
      <c r="C21" s="54"/>
      <c r="D21" s="54">
        <v>0</v>
      </c>
      <c r="E21" s="54">
        <v>13.741135597229</v>
      </c>
      <c r="F21" s="54">
        <v>0</v>
      </c>
      <c r="G21" s="54">
        <v>0.357629895210266</v>
      </c>
      <c r="H21" s="54">
        <v>0</v>
      </c>
      <c r="I21" s="54">
        <f t="shared" si="0"/>
        <v>7150</v>
      </c>
      <c r="J21" s="54">
        <f t="shared" si="1"/>
        <v>-0.16142818860677954</v>
      </c>
      <c r="K21" s="54">
        <f t="shared" si="2"/>
        <v>-1.5585455427139128E-2</v>
      </c>
      <c r="L21" s="55">
        <f t="shared" si="3"/>
        <v>365.73807393801599</v>
      </c>
    </row>
    <row r="22" spans="1:12">
      <c r="A22" s="53">
        <v>7200</v>
      </c>
      <c r="B22" s="54" t="s">
        <v>112</v>
      </c>
      <c r="C22" s="54"/>
      <c r="D22" s="54">
        <v>0</v>
      </c>
      <c r="E22" s="54">
        <v>13.6051750183106</v>
      </c>
      <c r="F22" s="54">
        <v>0</v>
      </c>
      <c r="G22" s="54">
        <v>0.33832427859306302</v>
      </c>
      <c r="H22" s="54">
        <v>0</v>
      </c>
      <c r="I22" s="54">
        <f t="shared" si="0"/>
        <v>7200</v>
      </c>
      <c r="J22" s="54">
        <f t="shared" si="1"/>
        <v>-0.20985073082351738</v>
      </c>
      <c r="K22" s="54">
        <f t="shared" si="2"/>
        <v>-6.5451027027718017E-2</v>
      </c>
      <c r="L22" s="55">
        <f t="shared" si="3"/>
        <v>340.56529297378438</v>
      </c>
    </row>
    <row r="23" spans="1:12">
      <c r="A23" s="53">
        <v>7250</v>
      </c>
      <c r="B23" s="54" t="s">
        <v>113</v>
      </c>
      <c r="C23" s="54"/>
      <c r="D23" s="54">
        <v>0</v>
      </c>
      <c r="E23" s="54">
        <v>13.469901084899901</v>
      </c>
      <c r="F23" s="54">
        <v>0</v>
      </c>
      <c r="G23" s="54">
        <v>0.31915989518165599</v>
      </c>
      <c r="H23" s="54">
        <v>0</v>
      </c>
      <c r="I23" s="54">
        <f t="shared" si="0"/>
        <v>7250</v>
      </c>
      <c r="J23" s="54">
        <f t="shared" si="1"/>
        <v>-0.25892214838554634</v>
      </c>
      <c r="K23" s="54">
        <f t="shared" si="2"/>
        <v>-0.11595818620200174</v>
      </c>
      <c r="L23" s="55">
        <f t="shared" si="3"/>
        <v>316.36922185192543</v>
      </c>
    </row>
    <row r="24" spans="1:12">
      <c r="A24" s="53">
        <v>7270</v>
      </c>
      <c r="B24" s="54" t="s">
        <v>114</v>
      </c>
      <c r="C24" s="54"/>
      <c r="D24" s="54">
        <v>0</v>
      </c>
      <c r="E24" s="54">
        <v>13.4228019714356</v>
      </c>
      <c r="F24" s="54">
        <v>0</v>
      </c>
      <c r="G24" s="54">
        <v>0.31164979934692399</v>
      </c>
      <c r="H24" s="54">
        <v>0</v>
      </c>
      <c r="I24" s="54">
        <f t="shared" si="0"/>
        <v>7270</v>
      </c>
      <c r="J24" s="54">
        <f t="shared" si="1"/>
        <v>-0.27866687412200936</v>
      </c>
      <c r="K24" s="54">
        <f t="shared" si="2"/>
        <v>-0.13620280245983893</v>
      </c>
      <c r="L24" s="55">
        <f t="shared" si="3"/>
        <v>307.16726131220867</v>
      </c>
    </row>
    <row r="25" spans="1:12">
      <c r="A25" s="53">
        <v>7300</v>
      </c>
      <c r="B25" s="54" t="s">
        <v>115</v>
      </c>
      <c r="C25" s="54"/>
      <c r="D25" s="54">
        <v>0</v>
      </c>
      <c r="E25" s="54">
        <v>13.3557596206665</v>
      </c>
      <c r="F25" s="54">
        <v>0</v>
      </c>
      <c r="G25" s="54">
        <v>0.300517588853836</v>
      </c>
      <c r="H25" s="54">
        <v>0</v>
      </c>
      <c r="I25" s="54">
        <f t="shared" si="0"/>
        <v>7300</v>
      </c>
      <c r="J25" s="54">
        <f t="shared" si="1"/>
        <v>-0.30840339272632777</v>
      </c>
      <c r="K25" s="54">
        <f t="shared" si="2"/>
        <v>-0.16665088086252841</v>
      </c>
      <c r="L25" s="55">
        <f t="shared" si="3"/>
        <v>293.75947803127519</v>
      </c>
    </row>
    <row r="26" spans="1:12">
      <c r="A26" s="53">
        <v>7337</v>
      </c>
      <c r="B26" s="54" t="s">
        <v>116</v>
      </c>
      <c r="C26" s="54"/>
      <c r="D26" s="54">
        <v>0</v>
      </c>
      <c r="E26" s="54">
        <v>13.2652091979981</v>
      </c>
      <c r="F26" s="54">
        <v>0</v>
      </c>
      <c r="G26" s="54">
        <v>0.28680464625358598</v>
      </c>
      <c r="H26" s="54">
        <v>0</v>
      </c>
      <c r="I26" s="54">
        <f t="shared" si="0"/>
        <v>7337</v>
      </c>
      <c r="J26" s="54">
        <f t="shared" si="1"/>
        <v>-0.345453339975202</v>
      </c>
      <c r="K26" s="54">
        <f t="shared" si="2"/>
        <v>-0.20466189286759309</v>
      </c>
      <c r="L26" s="55">
        <f t="shared" si="3"/>
        <v>277.47368668577701</v>
      </c>
    </row>
    <row r="27" spans="1:12">
      <c r="A27" s="53">
        <v>7350</v>
      </c>
      <c r="B27" s="54" t="s">
        <v>117</v>
      </c>
      <c r="C27" s="54"/>
      <c r="D27" s="54">
        <v>0</v>
      </c>
      <c r="E27" s="54">
        <v>13.244021415710399</v>
      </c>
      <c r="F27" s="54">
        <v>0</v>
      </c>
      <c r="G27" s="54">
        <v>0.28220459818839999</v>
      </c>
      <c r="H27" s="54">
        <v>0</v>
      </c>
      <c r="I27" s="54">
        <f t="shared" si="0"/>
        <v>7350</v>
      </c>
      <c r="J27" s="54">
        <f t="shared" si="1"/>
        <v>-0.35837478229029135</v>
      </c>
      <c r="K27" s="54">
        <f t="shared" si="2"/>
        <v>-0.21780821354568153</v>
      </c>
      <c r="L27" s="55">
        <f t="shared" si="3"/>
        <v>272.18591150972179</v>
      </c>
    </row>
    <row r="28" spans="1:12">
      <c r="A28" s="53">
        <v>7400</v>
      </c>
      <c r="B28" s="54" t="s">
        <v>118</v>
      </c>
      <c r="C28" s="54"/>
      <c r="D28" s="54">
        <v>0</v>
      </c>
      <c r="E28" s="54">
        <v>13.135490417480501</v>
      </c>
      <c r="F28" s="54">
        <v>0</v>
      </c>
      <c r="G28" s="54">
        <v>0.26429277658462502</v>
      </c>
      <c r="H28" s="54">
        <v>0</v>
      </c>
      <c r="I28" s="54">
        <f t="shared" si="0"/>
        <v>7400</v>
      </c>
      <c r="J28" s="54">
        <f t="shared" si="1"/>
        <v>-0.40880881922491963</v>
      </c>
      <c r="K28" s="54">
        <f t="shared" si="2"/>
        <v>-0.26939415363304164</v>
      </c>
      <c r="L28" s="55">
        <f t="shared" si="3"/>
        <v>251.67209587107118</v>
      </c>
    </row>
    <row r="29" spans="1:12">
      <c r="A29" s="53">
        <v>7500</v>
      </c>
      <c r="B29" s="54" t="s">
        <v>119</v>
      </c>
      <c r="C29" s="54"/>
      <c r="D29" s="54">
        <v>132</v>
      </c>
      <c r="E29" s="54">
        <v>12.921067237854</v>
      </c>
      <c r="F29" s="54">
        <v>25</v>
      </c>
      <c r="G29" s="54">
        <v>0.22976279258728</v>
      </c>
      <c r="H29" s="54">
        <v>22.6965942382813</v>
      </c>
      <c r="I29" s="54">
        <f t="shared" si="0"/>
        <v>7500</v>
      </c>
      <c r="J29" s="54">
        <f t="shared" si="1"/>
        <v>-0.51117729619217545</v>
      </c>
      <c r="K29" s="54">
        <f t="shared" si="2"/>
        <v>-0.37403842959467631</v>
      </c>
      <c r="L29" s="55">
        <f t="shared" si="3"/>
        <v>213.61167683413987</v>
      </c>
    </row>
    <row r="30" spans="1:12">
      <c r="A30" s="53">
        <v>7600</v>
      </c>
      <c r="B30" s="54" t="s">
        <v>120</v>
      </c>
      <c r="C30" s="54"/>
      <c r="D30" s="54">
        <v>0</v>
      </c>
      <c r="E30" s="54">
        <v>12.971843719482401</v>
      </c>
      <c r="F30" s="54">
        <v>0</v>
      </c>
      <c r="G30" s="54">
        <v>0.20254075527191201</v>
      </c>
      <c r="H30" s="54">
        <v>0</v>
      </c>
      <c r="I30" s="54">
        <f t="shared" si="0"/>
        <v>7600</v>
      </c>
      <c r="J30" s="54">
        <f t="shared" si="1"/>
        <v>-0.60591875902676207</v>
      </c>
      <c r="K30" s="54">
        <f t="shared" si="2"/>
        <v>-0.46824097184227553</v>
      </c>
      <c r="L30" s="55">
        <f t="shared" si="3"/>
        <v>186.39816184539222</v>
      </c>
    </row>
    <row r="31" spans="1:12">
      <c r="A31" s="53">
        <v>7700</v>
      </c>
      <c r="B31" s="54" t="s">
        <v>121</v>
      </c>
      <c r="C31" s="54"/>
      <c r="D31" s="54">
        <v>0</v>
      </c>
      <c r="E31" s="54">
        <v>12.788519859314</v>
      </c>
      <c r="F31" s="54">
        <v>0</v>
      </c>
      <c r="G31" s="54">
        <v>0.173052027821541</v>
      </c>
      <c r="H31" s="54">
        <v>0</v>
      </c>
      <c r="I31" s="54">
        <f t="shared" si="0"/>
        <v>7700</v>
      </c>
      <c r="J31" s="54">
        <f t="shared" si="1"/>
        <v>-0.70895294026130562</v>
      </c>
      <c r="K31" s="54">
        <f t="shared" si="2"/>
        <v>-0.57322087674971511</v>
      </c>
      <c r="L31" s="55">
        <f t="shared" si="3"/>
        <v>156.30303815435423</v>
      </c>
    </row>
    <row r="32" spans="1:12">
      <c r="A32" s="53">
        <v>7800</v>
      </c>
      <c r="B32" s="54" t="s">
        <v>122</v>
      </c>
      <c r="C32" s="54"/>
      <c r="D32" s="54">
        <v>0</v>
      </c>
      <c r="E32" s="54">
        <v>12.626995086669901</v>
      </c>
      <c r="F32" s="54">
        <v>0</v>
      </c>
      <c r="G32" s="54">
        <v>0.14642383158206901</v>
      </c>
      <c r="H32" s="54">
        <v>0</v>
      </c>
      <c r="I32" s="54">
        <f t="shared" si="0"/>
        <v>7800</v>
      </c>
      <c r="J32" s="54">
        <f t="shared" si="1"/>
        <v>-0.81257790180185452</v>
      </c>
      <c r="K32" s="54">
        <f t="shared" si="2"/>
        <v>-0.67856019545906932</v>
      </c>
      <c r="L32" s="55">
        <f t="shared" si="3"/>
        <v>130.19570625684378</v>
      </c>
    </row>
    <row r="33" spans="1:12">
      <c r="A33" s="53">
        <v>7900</v>
      </c>
      <c r="B33" s="54" t="s">
        <v>123</v>
      </c>
      <c r="C33" s="54"/>
      <c r="D33" s="54">
        <v>0</v>
      </c>
      <c r="E33" s="54">
        <v>12.482587814331</v>
      </c>
      <c r="F33" s="54">
        <v>0</v>
      </c>
      <c r="G33" s="54">
        <v>0.12268827110529</v>
      </c>
      <c r="H33" s="54">
        <v>0</v>
      </c>
      <c r="I33" s="54">
        <f t="shared" si="0"/>
        <v>7900</v>
      </c>
      <c r="J33" s="54">
        <f t="shared" si="1"/>
        <v>-0.91659128084987407</v>
      </c>
      <c r="K33" s="54">
        <f t="shared" si="2"/>
        <v>-0.78410625360336161</v>
      </c>
      <c r="L33" s="55">
        <f t="shared" si="3"/>
        <v>107.70079025287441</v>
      </c>
    </row>
    <row r="34" spans="1:12">
      <c r="A34" s="53">
        <v>8000</v>
      </c>
      <c r="B34" s="54" t="s">
        <v>124</v>
      </c>
      <c r="C34" s="54"/>
      <c r="D34" s="54">
        <v>0</v>
      </c>
      <c r="E34" s="54">
        <v>12.356122016906699</v>
      </c>
      <c r="F34" s="54">
        <v>0</v>
      </c>
      <c r="G34" s="54">
        <v>0.101880192756653</v>
      </c>
      <c r="H34" s="54">
        <v>0</v>
      </c>
      <c r="I34" s="54">
        <f t="shared" si="0"/>
        <v>8000</v>
      </c>
      <c r="J34" s="54">
        <f t="shared" si="1"/>
        <v>-1.0205402363101181</v>
      </c>
      <c r="K34" s="54">
        <f t="shared" si="2"/>
        <v>-0.88939746476144055</v>
      </c>
      <c r="L34" s="55">
        <f t="shared" si="3"/>
        <v>88.543939357893578</v>
      </c>
    </row>
    <row r="35" spans="1:12" ht="15" thickBot="1">
      <c r="A35" s="57">
        <v>8100</v>
      </c>
      <c r="B35" s="58" t="s">
        <v>125</v>
      </c>
      <c r="C35" s="58"/>
      <c r="D35" s="58">
        <v>0</v>
      </c>
      <c r="E35" s="58">
        <v>12.1474266052246</v>
      </c>
      <c r="F35" s="58">
        <v>0</v>
      </c>
      <c r="G35" s="58">
        <v>8.2073755562305506E-2</v>
      </c>
      <c r="H35" s="58">
        <v>0</v>
      </c>
      <c r="I35" s="58">
        <f t="shared" si="0"/>
        <v>8100</v>
      </c>
      <c r="J35" s="58">
        <f t="shared" si="1"/>
        <v>-1.1321918624721774</v>
      </c>
      <c r="K35" s="58">
        <f t="shared" si="2"/>
        <v>-1.0032640977565526</v>
      </c>
      <c r="L35" s="59">
        <f t="shared" si="3"/>
        <v>70.599020466102274</v>
      </c>
    </row>
  </sheetData>
  <mergeCells count="1">
    <mergeCell ref="A2:H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55F1-FB77-4662-86B9-E6947C7B0212}">
  <sheetPr codeName="Sheet3"/>
  <dimension ref="A1:K101"/>
  <sheetViews>
    <sheetView workbookViewId="0"/>
  </sheetViews>
  <sheetFormatPr defaultRowHeight="14.5"/>
  <cols>
    <col min="10" max="10" width="19" bestFit="1" customWidth="1"/>
  </cols>
  <sheetData>
    <row r="1" spans="1:11" ht="17.5">
      <c r="A1" s="36">
        <v>100</v>
      </c>
      <c r="B1" s="33" t="s">
        <v>5</v>
      </c>
      <c r="C1" s="33" t="s">
        <v>6</v>
      </c>
      <c r="D1" s="33" t="s">
        <v>44</v>
      </c>
      <c r="E1" s="33" t="s">
        <v>7</v>
      </c>
      <c r="F1" s="33" t="s">
        <v>8</v>
      </c>
      <c r="G1" s="34" t="s">
        <v>54</v>
      </c>
      <c r="H1" s="33" t="s">
        <v>55</v>
      </c>
      <c r="I1" s="35" t="s">
        <v>56</v>
      </c>
      <c r="J1" s="39" t="s">
        <v>57</v>
      </c>
      <c r="K1">
        <v>40</v>
      </c>
    </row>
    <row r="2" spans="1:11">
      <c r="A2" s="37">
        <v>1</v>
      </c>
      <c r="B2" s="29"/>
      <c r="C2" s="29"/>
      <c r="D2" s="29"/>
      <c r="E2" s="29"/>
      <c r="F2" s="29"/>
      <c r="G2" s="29"/>
      <c r="H2" s="29"/>
      <c r="I2" s="30"/>
    </row>
    <row r="3" spans="1:11">
      <c r="A3" s="37">
        <f>A2+1</f>
        <v>2</v>
      </c>
      <c r="B3" s="29"/>
      <c r="C3" s="29"/>
      <c r="D3" s="29"/>
      <c r="E3" s="29"/>
      <c r="F3" s="29"/>
      <c r="G3" s="29"/>
      <c r="H3" s="29"/>
      <c r="I3" s="30"/>
    </row>
    <row r="4" spans="1:11">
      <c r="A4" s="37">
        <f t="shared" ref="A4:A67" si="0">A3+1</f>
        <v>3</v>
      </c>
      <c r="B4" s="29"/>
      <c r="C4" s="29"/>
      <c r="D4" s="29"/>
      <c r="E4" s="29"/>
      <c r="F4" s="29"/>
      <c r="G4" s="29"/>
      <c r="H4" s="29"/>
      <c r="I4" s="30"/>
    </row>
    <row r="5" spans="1:11">
      <c r="A5" s="37">
        <f t="shared" si="0"/>
        <v>4</v>
      </c>
      <c r="B5" s="29"/>
      <c r="C5" s="29"/>
      <c r="D5" s="29"/>
      <c r="E5" s="29"/>
      <c r="F5" s="29"/>
      <c r="G5" s="29"/>
      <c r="H5" s="29"/>
      <c r="I5" s="30"/>
    </row>
    <row r="6" spans="1:11">
      <c r="A6" s="37">
        <f t="shared" si="0"/>
        <v>5</v>
      </c>
      <c r="B6" s="29"/>
      <c r="C6" s="29"/>
      <c r="D6" s="29"/>
      <c r="E6" s="29"/>
      <c r="F6" s="29"/>
      <c r="G6" s="29"/>
      <c r="H6" s="29"/>
      <c r="I6" s="30"/>
    </row>
    <row r="7" spans="1:11">
      <c r="A7" s="37">
        <f t="shared" si="0"/>
        <v>6</v>
      </c>
      <c r="B7" s="29"/>
      <c r="C7" s="29"/>
      <c r="D7" s="29"/>
      <c r="E7" s="29"/>
      <c r="F7" s="29"/>
      <c r="G7" s="29"/>
      <c r="H7" s="29"/>
      <c r="I7" s="30"/>
    </row>
    <row r="8" spans="1:11">
      <c r="A8" s="37">
        <f t="shared" si="0"/>
        <v>7</v>
      </c>
      <c r="B8" s="29"/>
      <c r="C8" s="29"/>
      <c r="D8" s="29"/>
      <c r="E8" s="29"/>
      <c r="F8" s="29"/>
      <c r="G8" s="29"/>
      <c r="H8" s="29"/>
      <c r="I8" s="30"/>
    </row>
    <row r="9" spans="1:11">
      <c r="A9" s="37">
        <f t="shared" si="0"/>
        <v>8</v>
      </c>
      <c r="B9" s="29"/>
      <c r="C9" s="29"/>
      <c r="D9" s="29"/>
      <c r="E9" s="29"/>
      <c r="F9" s="29"/>
      <c r="G9" s="29"/>
      <c r="H9" s="29"/>
      <c r="I9" s="30"/>
    </row>
    <row r="10" spans="1:11">
      <c r="A10" s="37">
        <f t="shared" si="0"/>
        <v>9</v>
      </c>
      <c r="B10" s="29"/>
      <c r="C10" s="29"/>
      <c r="D10" s="29"/>
      <c r="E10" s="29"/>
      <c r="F10" s="29"/>
      <c r="G10" s="29"/>
      <c r="H10" s="29"/>
      <c r="I10" s="30"/>
    </row>
    <row r="11" spans="1:11">
      <c r="A11" s="37">
        <f t="shared" si="0"/>
        <v>10</v>
      </c>
      <c r="B11" s="29"/>
      <c r="C11" s="29"/>
      <c r="D11" s="29"/>
      <c r="E11" s="29"/>
      <c r="F11" s="29"/>
      <c r="G11" s="29"/>
      <c r="H11" s="29"/>
      <c r="I11" s="30"/>
    </row>
    <row r="12" spans="1:11">
      <c r="A12" s="37">
        <f t="shared" si="0"/>
        <v>11</v>
      </c>
      <c r="B12" s="29"/>
      <c r="C12" s="29"/>
      <c r="D12" s="29"/>
      <c r="E12" s="29"/>
      <c r="F12" s="29"/>
      <c r="G12" s="29"/>
      <c r="H12" s="29"/>
      <c r="I12" s="30"/>
    </row>
    <row r="13" spans="1:11">
      <c r="A13" s="37">
        <f t="shared" si="0"/>
        <v>12</v>
      </c>
      <c r="B13" s="29"/>
      <c r="C13" s="29"/>
      <c r="D13" s="29"/>
      <c r="E13" s="29"/>
      <c r="F13" s="29"/>
      <c r="G13" s="29"/>
      <c r="H13" s="29"/>
      <c r="I13" s="30"/>
    </row>
    <row r="14" spans="1:11">
      <c r="A14" s="37">
        <f t="shared" si="0"/>
        <v>13</v>
      </c>
      <c r="B14" s="29"/>
      <c r="C14" s="29"/>
      <c r="D14" s="29"/>
      <c r="E14" s="29"/>
      <c r="F14" s="29"/>
      <c r="G14" s="29"/>
      <c r="H14" s="29"/>
      <c r="I14" s="30"/>
    </row>
    <row r="15" spans="1:11">
      <c r="A15" s="37">
        <f t="shared" si="0"/>
        <v>14</v>
      </c>
      <c r="B15" s="29"/>
      <c r="C15" s="29"/>
      <c r="D15" s="29"/>
      <c r="E15" s="29"/>
      <c r="F15" s="29"/>
      <c r="G15" s="29"/>
      <c r="H15" s="29"/>
      <c r="I15" s="30"/>
    </row>
    <row r="16" spans="1:11">
      <c r="A16" s="37">
        <f t="shared" si="0"/>
        <v>15</v>
      </c>
      <c r="B16" s="29"/>
      <c r="C16" s="29"/>
      <c r="D16" s="29"/>
      <c r="E16" s="29"/>
      <c r="F16" s="29"/>
      <c r="G16" s="29"/>
      <c r="H16" s="29"/>
      <c r="I16" s="30"/>
    </row>
    <row r="17" spans="1:9">
      <c r="A17" s="37">
        <f t="shared" si="0"/>
        <v>16</v>
      </c>
      <c r="B17" s="29"/>
      <c r="C17" s="29"/>
      <c r="D17" s="29"/>
      <c r="E17" s="29"/>
      <c r="F17" s="29"/>
      <c r="G17" s="29"/>
      <c r="H17" s="29"/>
      <c r="I17" s="30"/>
    </row>
    <row r="18" spans="1:9">
      <c r="A18" s="37">
        <f t="shared" si="0"/>
        <v>17</v>
      </c>
      <c r="B18" s="29"/>
      <c r="C18" s="29"/>
      <c r="D18" s="29"/>
      <c r="E18" s="29"/>
      <c r="F18" s="29"/>
      <c r="G18" s="29"/>
      <c r="H18" s="29"/>
      <c r="I18" s="30"/>
    </row>
    <row r="19" spans="1:9">
      <c r="A19" s="37">
        <f t="shared" si="0"/>
        <v>18</v>
      </c>
      <c r="B19" s="29"/>
      <c r="C19" s="29"/>
      <c r="D19" s="29"/>
      <c r="E19" s="29"/>
      <c r="F19" s="29"/>
      <c r="G19" s="29"/>
      <c r="H19" s="29"/>
      <c r="I19" s="30"/>
    </row>
    <row r="20" spans="1:9">
      <c r="A20" s="37">
        <f t="shared" si="0"/>
        <v>19</v>
      </c>
      <c r="B20" s="29"/>
      <c r="C20" s="29"/>
      <c r="D20" s="29"/>
      <c r="E20" s="29"/>
      <c r="F20" s="29"/>
      <c r="G20" s="29"/>
      <c r="H20" s="29"/>
      <c r="I20" s="30"/>
    </row>
    <row r="21" spans="1:9">
      <c r="A21" s="37">
        <f t="shared" si="0"/>
        <v>20</v>
      </c>
      <c r="B21" s="29"/>
      <c r="C21" s="29"/>
      <c r="D21" s="29"/>
      <c r="E21" s="29"/>
      <c r="F21" s="29"/>
      <c r="G21" s="29"/>
      <c r="H21" s="29"/>
      <c r="I21" s="30"/>
    </row>
    <row r="22" spans="1:9">
      <c r="A22" s="37">
        <f t="shared" si="0"/>
        <v>21</v>
      </c>
      <c r="B22" s="29"/>
      <c r="C22" s="29"/>
      <c r="D22" s="29"/>
      <c r="E22" s="29"/>
      <c r="F22" s="29"/>
      <c r="G22" s="29"/>
      <c r="H22" s="29"/>
      <c r="I22" s="30"/>
    </row>
    <row r="23" spans="1:9">
      <c r="A23" s="37">
        <f t="shared" si="0"/>
        <v>22</v>
      </c>
      <c r="B23" s="29"/>
      <c r="C23" s="29"/>
      <c r="D23" s="29"/>
      <c r="E23" s="29"/>
      <c r="F23" s="29"/>
      <c r="G23" s="29"/>
      <c r="H23" s="29"/>
      <c r="I23" s="30"/>
    </row>
    <row r="24" spans="1:9">
      <c r="A24" s="37">
        <f t="shared" si="0"/>
        <v>23</v>
      </c>
      <c r="B24" s="29"/>
      <c r="C24" s="29"/>
      <c r="D24" s="29"/>
      <c r="E24" s="29"/>
      <c r="F24" s="29"/>
      <c r="G24" s="29"/>
      <c r="H24" s="29"/>
      <c r="I24" s="30"/>
    </row>
    <row r="25" spans="1:9">
      <c r="A25" s="37">
        <f t="shared" si="0"/>
        <v>24</v>
      </c>
      <c r="B25" s="29"/>
      <c r="C25" s="29"/>
      <c r="D25" s="29"/>
      <c r="E25" s="29"/>
      <c r="F25" s="29"/>
      <c r="G25" s="29"/>
      <c r="H25" s="29"/>
      <c r="I25" s="30"/>
    </row>
    <row r="26" spans="1:9">
      <c r="A26" s="37">
        <f t="shared" si="0"/>
        <v>25</v>
      </c>
      <c r="B26" s="29"/>
      <c r="C26" s="29"/>
      <c r="D26" s="29"/>
      <c r="E26" s="29"/>
      <c r="F26" s="29"/>
      <c r="G26" s="29"/>
      <c r="H26" s="29"/>
      <c r="I26" s="30"/>
    </row>
    <row r="27" spans="1:9">
      <c r="A27" s="37">
        <f t="shared" si="0"/>
        <v>26</v>
      </c>
      <c r="B27" s="29"/>
      <c r="C27" s="29"/>
      <c r="D27" s="29"/>
      <c r="E27" s="29"/>
      <c r="F27" s="29"/>
      <c r="G27" s="29"/>
      <c r="H27" s="29"/>
      <c r="I27" s="30"/>
    </row>
    <row r="28" spans="1:9">
      <c r="A28" s="37">
        <f t="shared" si="0"/>
        <v>27</v>
      </c>
      <c r="B28" s="29"/>
      <c r="C28" s="29"/>
      <c r="D28" s="29"/>
      <c r="E28" s="29"/>
      <c r="F28" s="29"/>
      <c r="G28" s="29"/>
      <c r="H28" s="29"/>
      <c r="I28" s="30"/>
    </row>
    <row r="29" spans="1:9">
      <c r="A29" s="37">
        <f t="shared" si="0"/>
        <v>28</v>
      </c>
      <c r="B29" s="29"/>
      <c r="C29" s="29"/>
      <c r="D29" s="29"/>
      <c r="E29" s="29"/>
      <c r="F29" s="29"/>
      <c r="G29" s="29"/>
      <c r="H29" s="29"/>
      <c r="I29" s="30"/>
    </row>
    <row r="30" spans="1:9">
      <c r="A30" s="37">
        <f t="shared" si="0"/>
        <v>29</v>
      </c>
      <c r="B30" s="29"/>
      <c r="C30" s="29"/>
      <c r="D30" s="29"/>
      <c r="E30" s="29"/>
      <c r="F30" s="29"/>
      <c r="G30" s="29"/>
      <c r="H30" s="29"/>
      <c r="I30" s="30"/>
    </row>
    <row r="31" spans="1:9">
      <c r="A31" s="37">
        <f t="shared" si="0"/>
        <v>30</v>
      </c>
      <c r="B31" s="29"/>
      <c r="C31" s="29"/>
      <c r="D31" s="29"/>
      <c r="E31" s="29"/>
      <c r="F31" s="29"/>
      <c r="G31" s="29"/>
      <c r="H31" s="29"/>
      <c r="I31" s="30"/>
    </row>
    <row r="32" spans="1:9">
      <c r="A32" s="37">
        <f t="shared" si="0"/>
        <v>31</v>
      </c>
      <c r="B32" s="29"/>
      <c r="C32" s="29"/>
      <c r="D32" s="29"/>
      <c r="E32" s="29"/>
      <c r="F32" s="29"/>
      <c r="G32" s="29"/>
      <c r="H32" s="29"/>
      <c r="I32" s="30"/>
    </row>
    <row r="33" spans="1:9">
      <c r="A33" s="37">
        <f t="shared" si="0"/>
        <v>32</v>
      </c>
      <c r="B33" s="29"/>
      <c r="C33" s="29"/>
      <c r="D33" s="29"/>
      <c r="E33" s="29"/>
      <c r="F33" s="29"/>
      <c r="G33" s="29"/>
      <c r="H33" s="29"/>
      <c r="I33" s="30"/>
    </row>
    <row r="34" spans="1:9">
      <c r="A34" s="37">
        <f t="shared" si="0"/>
        <v>33</v>
      </c>
      <c r="B34" s="29"/>
      <c r="C34" s="29"/>
      <c r="D34" s="29"/>
      <c r="E34" s="29"/>
      <c r="F34" s="29"/>
      <c r="G34" s="29"/>
      <c r="H34" s="29"/>
      <c r="I34" s="30"/>
    </row>
    <row r="35" spans="1:9">
      <c r="A35" s="37">
        <f t="shared" si="0"/>
        <v>34</v>
      </c>
      <c r="B35" s="29"/>
      <c r="C35" s="29"/>
      <c r="D35" s="29"/>
      <c r="E35" s="29"/>
      <c r="F35" s="29"/>
      <c r="G35" s="29"/>
      <c r="H35" s="29"/>
      <c r="I35" s="30"/>
    </row>
    <row r="36" spans="1:9">
      <c r="A36" s="37">
        <f t="shared" si="0"/>
        <v>35</v>
      </c>
      <c r="B36" s="29"/>
      <c r="C36" s="29"/>
      <c r="D36" s="29"/>
      <c r="E36" s="29"/>
      <c r="F36" s="29"/>
      <c r="G36" s="29"/>
      <c r="H36" s="29"/>
      <c r="I36" s="30"/>
    </row>
    <row r="37" spans="1:9">
      <c r="A37" s="37">
        <f t="shared" si="0"/>
        <v>36</v>
      </c>
      <c r="B37" s="29"/>
      <c r="C37" s="29"/>
      <c r="D37" s="29"/>
      <c r="E37" s="29"/>
      <c r="F37" s="29"/>
      <c r="G37" s="29"/>
      <c r="H37" s="29"/>
      <c r="I37" s="30"/>
    </row>
    <row r="38" spans="1:9">
      <c r="A38" s="37">
        <f t="shared" si="0"/>
        <v>37</v>
      </c>
      <c r="B38" s="29"/>
      <c r="C38" s="29"/>
      <c r="D38" s="29"/>
      <c r="E38" s="29"/>
      <c r="F38" s="29"/>
      <c r="G38" s="29"/>
      <c r="H38" s="29"/>
      <c r="I38" s="30"/>
    </row>
    <row r="39" spans="1:9">
      <c r="A39" s="37">
        <f t="shared" si="0"/>
        <v>38</v>
      </c>
      <c r="B39" s="29"/>
      <c r="C39" s="29"/>
      <c r="D39" s="29"/>
      <c r="E39" s="29"/>
      <c r="F39" s="29"/>
      <c r="G39" s="29"/>
      <c r="H39" s="29"/>
      <c r="I39" s="30"/>
    </row>
    <row r="40" spans="1:9">
      <c r="A40" s="37">
        <f t="shared" si="0"/>
        <v>39</v>
      </c>
      <c r="B40" s="29"/>
      <c r="C40" s="29"/>
      <c r="D40" s="29"/>
      <c r="E40" s="29"/>
      <c r="F40" s="29"/>
      <c r="G40" s="29"/>
      <c r="H40" s="29"/>
      <c r="I40" s="30"/>
    </row>
    <row r="41" spans="1:9">
      <c r="A41" s="37">
        <f t="shared" si="0"/>
        <v>40</v>
      </c>
      <c r="B41" s="29"/>
      <c r="C41" s="29"/>
      <c r="D41" s="29"/>
      <c r="E41" s="29"/>
      <c r="F41" s="29"/>
      <c r="G41" s="29"/>
      <c r="H41" s="29"/>
      <c r="I41" s="30"/>
    </row>
    <row r="42" spans="1:9">
      <c r="A42" s="37">
        <f t="shared" si="0"/>
        <v>41</v>
      </c>
      <c r="B42" s="29"/>
      <c r="C42" s="29"/>
      <c r="D42" s="29"/>
      <c r="E42" s="29"/>
      <c r="F42" s="29"/>
      <c r="G42" s="29"/>
      <c r="H42" s="29"/>
      <c r="I42" s="30"/>
    </row>
    <row r="43" spans="1:9">
      <c r="A43" s="37">
        <f t="shared" si="0"/>
        <v>42</v>
      </c>
      <c r="B43" s="29"/>
      <c r="C43" s="29"/>
      <c r="D43" s="29"/>
      <c r="E43" s="29"/>
      <c r="F43" s="29"/>
      <c r="G43" s="29"/>
      <c r="H43" s="29"/>
      <c r="I43" s="30"/>
    </row>
    <row r="44" spans="1:9">
      <c r="A44" s="37">
        <f t="shared" si="0"/>
        <v>43</v>
      </c>
      <c r="B44" s="29"/>
      <c r="C44" s="29"/>
      <c r="D44" s="29"/>
      <c r="E44" s="29"/>
      <c r="F44" s="29"/>
      <c r="G44" s="29"/>
      <c r="H44" s="29"/>
      <c r="I44" s="30"/>
    </row>
    <row r="45" spans="1:9">
      <c r="A45" s="37">
        <f t="shared" si="0"/>
        <v>44</v>
      </c>
      <c r="B45" s="29"/>
      <c r="C45" s="29"/>
      <c r="D45" s="29"/>
      <c r="E45" s="29"/>
      <c r="F45" s="29"/>
      <c r="G45" s="29"/>
      <c r="H45" s="29"/>
      <c r="I45" s="30"/>
    </row>
    <row r="46" spans="1:9">
      <c r="A46" s="37">
        <f t="shared" si="0"/>
        <v>45</v>
      </c>
      <c r="B46" s="29"/>
      <c r="C46" s="29"/>
      <c r="D46" s="29"/>
      <c r="E46" s="29"/>
      <c r="F46" s="29"/>
      <c r="G46" s="29"/>
      <c r="H46" s="29"/>
      <c r="I46" s="30"/>
    </row>
    <row r="47" spans="1:9">
      <c r="A47" s="37">
        <f t="shared" si="0"/>
        <v>46</v>
      </c>
      <c r="B47" s="29"/>
      <c r="C47" s="29"/>
      <c r="D47" s="29"/>
      <c r="E47" s="29"/>
      <c r="F47" s="29"/>
      <c r="G47" s="29"/>
      <c r="H47" s="29"/>
      <c r="I47" s="30"/>
    </row>
    <row r="48" spans="1:9">
      <c r="A48" s="37">
        <f t="shared" si="0"/>
        <v>47</v>
      </c>
      <c r="B48" s="29"/>
      <c r="C48" s="29"/>
      <c r="D48" s="29"/>
      <c r="E48" s="29"/>
      <c r="F48" s="29"/>
      <c r="G48" s="29"/>
      <c r="H48" s="29"/>
      <c r="I48" s="30"/>
    </row>
    <row r="49" spans="1:9">
      <c r="A49" s="37">
        <f t="shared" si="0"/>
        <v>48</v>
      </c>
      <c r="B49" s="29"/>
      <c r="C49" s="29"/>
      <c r="D49" s="29"/>
      <c r="E49" s="29"/>
      <c r="F49" s="29"/>
      <c r="G49" s="29"/>
      <c r="H49" s="29"/>
      <c r="I49" s="30"/>
    </row>
    <row r="50" spans="1:9">
      <c r="A50" s="37">
        <f t="shared" si="0"/>
        <v>49</v>
      </c>
      <c r="B50" s="29"/>
      <c r="C50" s="29"/>
      <c r="D50" s="29"/>
      <c r="E50" s="29"/>
      <c r="F50" s="29"/>
      <c r="G50" s="29"/>
      <c r="H50" s="29"/>
      <c r="I50" s="30"/>
    </row>
    <row r="51" spans="1:9">
      <c r="A51" s="37">
        <f t="shared" si="0"/>
        <v>50</v>
      </c>
      <c r="B51" s="29"/>
      <c r="C51" s="29"/>
      <c r="D51" s="29"/>
      <c r="E51" s="29"/>
      <c r="F51" s="29"/>
      <c r="G51" s="29"/>
      <c r="H51" s="29"/>
      <c r="I51" s="30"/>
    </row>
    <row r="52" spans="1:9">
      <c r="A52" s="37">
        <f t="shared" si="0"/>
        <v>51</v>
      </c>
      <c r="B52" s="29"/>
      <c r="C52" s="29"/>
      <c r="D52" s="29"/>
      <c r="E52" s="29"/>
      <c r="F52" s="29"/>
      <c r="G52" s="29"/>
      <c r="H52" s="29"/>
      <c r="I52" s="30"/>
    </row>
    <row r="53" spans="1:9">
      <c r="A53" s="37">
        <f t="shared" si="0"/>
        <v>52</v>
      </c>
      <c r="B53" s="29"/>
      <c r="C53" s="29"/>
      <c r="D53" s="29"/>
      <c r="E53" s="29"/>
      <c r="F53" s="29"/>
      <c r="G53" s="29"/>
      <c r="H53" s="29"/>
      <c r="I53" s="30"/>
    </row>
    <row r="54" spans="1:9">
      <c r="A54" s="37">
        <f t="shared" si="0"/>
        <v>53</v>
      </c>
      <c r="B54" s="29"/>
      <c r="C54" s="29"/>
      <c r="D54" s="29"/>
      <c r="E54" s="29"/>
      <c r="F54" s="29"/>
      <c r="G54" s="29"/>
      <c r="H54" s="29"/>
      <c r="I54" s="30"/>
    </row>
    <row r="55" spans="1:9">
      <c r="A55" s="37">
        <f t="shared" si="0"/>
        <v>54</v>
      </c>
      <c r="B55" s="29"/>
      <c r="C55" s="29"/>
      <c r="D55" s="29"/>
      <c r="E55" s="29"/>
      <c r="F55" s="29"/>
      <c r="G55" s="29"/>
      <c r="H55" s="29"/>
      <c r="I55" s="30"/>
    </row>
    <row r="56" spans="1:9">
      <c r="A56" s="37">
        <f t="shared" si="0"/>
        <v>55</v>
      </c>
      <c r="B56" s="29"/>
      <c r="C56" s="29"/>
      <c r="D56" s="29"/>
      <c r="E56" s="29"/>
      <c r="F56" s="29"/>
      <c r="G56" s="29"/>
      <c r="H56" s="29"/>
      <c r="I56" s="30"/>
    </row>
    <row r="57" spans="1:9">
      <c r="A57" s="37">
        <f t="shared" si="0"/>
        <v>56</v>
      </c>
      <c r="B57" s="29"/>
      <c r="C57" s="29"/>
      <c r="D57" s="29"/>
      <c r="E57" s="29"/>
      <c r="F57" s="29"/>
      <c r="G57" s="29"/>
      <c r="H57" s="29"/>
      <c r="I57" s="30"/>
    </row>
    <row r="58" spans="1:9">
      <c r="A58" s="37">
        <f t="shared" si="0"/>
        <v>57</v>
      </c>
      <c r="B58" s="29"/>
      <c r="C58" s="29"/>
      <c r="D58" s="29"/>
      <c r="E58" s="29"/>
      <c r="F58" s="29"/>
      <c r="G58" s="29"/>
      <c r="H58" s="29"/>
      <c r="I58" s="30"/>
    </row>
    <row r="59" spans="1:9">
      <c r="A59" s="37">
        <f t="shared" si="0"/>
        <v>58</v>
      </c>
      <c r="B59" s="29"/>
      <c r="C59" s="29"/>
      <c r="D59" s="29"/>
      <c r="E59" s="29"/>
      <c r="F59" s="29"/>
      <c r="G59" s="29"/>
      <c r="H59" s="29"/>
      <c r="I59" s="30"/>
    </row>
    <row r="60" spans="1:9">
      <c r="A60" s="37">
        <f t="shared" si="0"/>
        <v>59</v>
      </c>
      <c r="B60" s="29"/>
      <c r="C60" s="29"/>
      <c r="D60" s="29"/>
      <c r="E60" s="29"/>
      <c r="F60" s="29"/>
      <c r="G60" s="29"/>
      <c r="H60" s="29"/>
      <c r="I60" s="30"/>
    </row>
    <row r="61" spans="1:9">
      <c r="A61" s="37">
        <f t="shared" si="0"/>
        <v>60</v>
      </c>
      <c r="B61" s="29"/>
      <c r="C61" s="29"/>
      <c r="D61" s="29"/>
      <c r="E61" s="29"/>
      <c r="F61" s="29"/>
      <c r="G61" s="29"/>
      <c r="H61" s="29"/>
      <c r="I61" s="30"/>
    </row>
    <row r="62" spans="1:9">
      <c r="A62" s="37">
        <f t="shared" si="0"/>
        <v>61</v>
      </c>
      <c r="B62" s="29"/>
      <c r="C62" s="29"/>
      <c r="D62" s="29"/>
      <c r="E62" s="29"/>
      <c r="F62" s="29"/>
      <c r="G62" s="29"/>
      <c r="H62" s="29"/>
      <c r="I62" s="30"/>
    </row>
    <row r="63" spans="1:9">
      <c r="A63" s="37">
        <f t="shared" si="0"/>
        <v>62</v>
      </c>
      <c r="B63" s="29"/>
      <c r="C63" s="29"/>
      <c r="D63" s="29"/>
      <c r="E63" s="29"/>
      <c r="F63" s="29"/>
      <c r="G63" s="29"/>
      <c r="H63" s="29"/>
      <c r="I63" s="30"/>
    </row>
    <row r="64" spans="1:9">
      <c r="A64" s="37">
        <f t="shared" si="0"/>
        <v>63</v>
      </c>
      <c r="B64" s="29"/>
      <c r="C64" s="29"/>
      <c r="D64" s="29"/>
      <c r="E64" s="29"/>
      <c r="F64" s="29"/>
      <c r="G64" s="29"/>
      <c r="H64" s="29"/>
      <c r="I64" s="30"/>
    </row>
    <row r="65" spans="1:9">
      <c r="A65" s="37">
        <f t="shared" si="0"/>
        <v>64</v>
      </c>
      <c r="B65" s="29"/>
      <c r="C65" s="29"/>
      <c r="D65" s="29"/>
      <c r="E65" s="29"/>
      <c r="F65" s="29"/>
      <c r="G65" s="29"/>
      <c r="H65" s="29"/>
      <c r="I65" s="30"/>
    </row>
    <row r="66" spans="1:9">
      <c r="A66" s="37">
        <f t="shared" si="0"/>
        <v>65</v>
      </c>
      <c r="B66" s="29"/>
      <c r="C66" s="29"/>
      <c r="D66" s="29"/>
      <c r="E66" s="29"/>
      <c r="F66" s="29"/>
      <c r="G66" s="29"/>
      <c r="H66" s="29"/>
      <c r="I66" s="30"/>
    </row>
    <row r="67" spans="1:9">
      <c r="A67" s="37">
        <f t="shared" si="0"/>
        <v>66</v>
      </c>
      <c r="B67" s="29"/>
      <c r="C67" s="29"/>
      <c r="D67" s="29"/>
      <c r="E67" s="29"/>
      <c r="F67" s="29"/>
      <c r="G67" s="29"/>
      <c r="H67" s="29"/>
      <c r="I67" s="30"/>
    </row>
    <row r="68" spans="1:9">
      <c r="A68" s="37">
        <f t="shared" ref="A68:A101" si="1">A67+1</f>
        <v>67</v>
      </c>
      <c r="B68" s="29"/>
      <c r="C68" s="29"/>
      <c r="D68" s="29"/>
      <c r="E68" s="29"/>
      <c r="F68" s="29"/>
      <c r="G68" s="29"/>
      <c r="H68" s="29"/>
      <c r="I68" s="30"/>
    </row>
    <row r="69" spans="1:9">
      <c r="A69" s="37">
        <f t="shared" si="1"/>
        <v>68</v>
      </c>
      <c r="B69" s="29"/>
      <c r="C69" s="29"/>
      <c r="D69" s="29"/>
      <c r="E69" s="29"/>
      <c r="F69" s="29"/>
      <c r="G69" s="29"/>
      <c r="H69" s="29"/>
      <c r="I69" s="30"/>
    </row>
    <row r="70" spans="1:9">
      <c r="A70" s="37">
        <f t="shared" si="1"/>
        <v>69</v>
      </c>
      <c r="B70" s="29"/>
      <c r="C70" s="29"/>
      <c r="D70" s="29"/>
      <c r="E70" s="29"/>
      <c r="F70" s="29"/>
      <c r="G70" s="29"/>
      <c r="H70" s="29"/>
      <c r="I70" s="30"/>
    </row>
    <row r="71" spans="1:9">
      <c r="A71" s="37">
        <f t="shared" si="1"/>
        <v>70</v>
      </c>
      <c r="B71" s="29"/>
      <c r="C71" s="29"/>
      <c r="D71" s="29"/>
      <c r="E71" s="29"/>
      <c r="F71" s="29"/>
      <c r="G71" s="29"/>
      <c r="H71" s="29"/>
      <c r="I71" s="30"/>
    </row>
    <row r="72" spans="1:9">
      <c r="A72" s="37">
        <f t="shared" si="1"/>
        <v>71</v>
      </c>
      <c r="B72" s="29"/>
      <c r="C72" s="29"/>
      <c r="D72" s="29"/>
      <c r="E72" s="29"/>
      <c r="F72" s="29"/>
      <c r="G72" s="29"/>
      <c r="H72" s="29"/>
      <c r="I72" s="30"/>
    </row>
    <row r="73" spans="1:9">
      <c r="A73" s="37">
        <f t="shared" si="1"/>
        <v>72</v>
      </c>
      <c r="B73" s="29"/>
      <c r="C73" s="29"/>
      <c r="D73" s="29"/>
      <c r="E73" s="29"/>
      <c r="F73" s="29"/>
      <c r="G73" s="29"/>
      <c r="H73" s="29"/>
      <c r="I73" s="30"/>
    </row>
    <row r="74" spans="1:9">
      <c r="A74" s="37">
        <f t="shared" si="1"/>
        <v>73</v>
      </c>
      <c r="B74" s="29"/>
      <c r="C74" s="29"/>
      <c r="D74" s="29"/>
      <c r="E74" s="29"/>
      <c r="F74" s="29"/>
      <c r="G74" s="29"/>
      <c r="H74" s="29"/>
      <c r="I74" s="30"/>
    </row>
    <row r="75" spans="1:9">
      <c r="A75" s="37">
        <f t="shared" si="1"/>
        <v>74</v>
      </c>
      <c r="B75" s="29"/>
      <c r="C75" s="29"/>
      <c r="D75" s="29"/>
      <c r="E75" s="29"/>
      <c r="F75" s="29"/>
      <c r="G75" s="29"/>
      <c r="H75" s="29"/>
      <c r="I75" s="30"/>
    </row>
    <row r="76" spans="1:9">
      <c r="A76" s="37">
        <f t="shared" si="1"/>
        <v>75</v>
      </c>
      <c r="B76" s="29"/>
      <c r="C76" s="29"/>
      <c r="D76" s="29"/>
      <c r="E76" s="29"/>
      <c r="F76" s="29"/>
      <c r="G76" s="29"/>
      <c r="H76" s="29"/>
      <c r="I76" s="30"/>
    </row>
    <row r="77" spans="1:9">
      <c r="A77" s="37">
        <f t="shared" si="1"/>
        <v>76</v>
      </c>
      <c r="B77" s="29"/>
      <c r="C77" s="29"/>
      <c r="D77" s="29"/>
      <c r="E77" s="29"/>
      <c r="F77" s="29"/>
      <c r="G77" s="29"/>
      <c r="H77" s="29"/>
      <c r="I77" s="30"/>
    </row>
    <row r="78" spans="1:9">
      <c r="A78" s="37">
        <f t="shared" si="1"/>
        <v>77</v>
      </c>
      <c r="B78" s="29"/>
      <c r="C78" s="29"/>
      <c r="D78" s="29"/>
      <c r="E78" s="29"/>
      <c r="F78" s="29"/>
      <c r="G78" s="29"/>
      <c r="H78" s="29"/>
      <c r="I78" s="30"/>
    </row>
    <row r="79" spans="1:9">
      <c r="A79" s="37">
        <f t="shared" si="1"/>
        <v>78</v>
      </c>
      <c r="B79" s="29"/>
      <c r="C79" s="29"/>
      <c r="D79" s="29"/>
      <c r="E79" s="29"/>
      <c r="F79" s="29"/>
      <c r="G79" s="29"/>
      <c r="H79" s="29"/>
      <c r="I79" s="30"/>
    </row>
    <row r="80" spans="1:9">
      <c r="A80" s="37">
        <f t="shared" si="1"/>
        <v>79</v>
      </c>
      <c r="B80" s="29"/>
      <c r="C80" s="29"/>
      <c r="D80" s="29"/>
      <c r="E80" s="29"/>
      <c r="F80" s="29"/>
      <c r="G80" s="29"/>
      <c r="H80" s="29"/>
      <c r="I80" s="30"/>
    </row>
    <row r="81" spans="1:9">
      <c r="A81" s="37">
        <f t="shared" si="1"/>
        <v>80</v>
      </c>
      <c r="B81" s="29"/>
      <c r="C81" s="29"/>
      <c r="D81" s="29"/>
      <c r="E81" s="29"/>
      <c r="F81" s="29"/>
      <c r="G81" s="29"/>
      <c r="H81" s="29"/>
      <c r="I81" s="30"/>
    </row>
    <row r="82" spans="1:9">
      <c r="A82" s="37">
        <f t="shared" si="1"/>
        <v>81</v>
      </c>
      <c r="B82" s="29"/>
      <c r="C82" s="29"/>
      <c r="D82" s="29"/>
      <c r="E82" s="29"/>
      <c r="F82" s="29"/>
      <c r="G82" s="29"/>
      <c r="H82" s="29"/>
      <c r="I82" s="30"/>
    </row>
    <row r="83" spans="1:9">
      <c r="A83" s="37">
        <f t="shared" si="1"/>
        <v>82</v>
      </c>
      <c r="B83" s="29"/>
      <c r="C83" s="29"/>
      <c r="D83" s="29"/>
      <c r="E83" s="29"/>
      <c r="F83" s="29"/>
      <c r="G83" s="29"/>
      <c r="H83" s="29"/>
      <c r="I83" s="30"/>
    </row>
    <row r="84" spans="1:9">
      <c r="A84" s="37">
        <f t="shared" si="1"/>
        <v>83</v>
      </c>
      <c r="B84" s="29"/>
      <c r="C84" s="29"/>
      <c r="D84" s="29"/>
      <c r="E84" s="29"/>
      <c r="F84" s="29"/>
      <c r="G84" s="29"/>
      <c r="H84" s="29"/>
      <c r="I84" s="30"/>
    </row>
    <row r="85" spans="1:9">
      <c r="A85" s="37">
        <f t="shared" si="1"/>
        <v>84</v>
      </c>
      <c r="B85" s="29"/>
      <c r="C85" s="29"/>
      <c r="D85" s="29"/>
      <c r="E85" s="29"/>
      <c r="F85" s="29"/>
      <c r="G85" s="29"/>
      <c r="H85" s="29"/>
      <c r="I85" s="30"/>
    </row>
    <row r="86" spans="1:9">
      <c r="A86" s="37">
        <f t="shared" si="1"/>
        <v>85</v>
      </c>
      <c r="B86" s="29"/>
      <c r="C86" s="29"/>
      <c r="D86" s="29"/>
      <c r="E86" s="29"/>
      <c r="F86" s="29"/>
      <c r="G86" s="29"/>
      <c r="H86" s="29"/>
      <c r="I86" s="30"/>
    </row>
    <row r="87" spans="1:9">
      <c r="A87" s="37">
        <f t="shared" si="1"/>
        <v>86</v>
      </c>
      <c r="B87" s="29"/>
      <c r="C87" s="29"/>
      <c r="D87" s="29"/>
      <c r="E87" s="29"/>
      <c r="F87" s="29"/>
      <c r="G87" s="29"/>
      <c r="H87" s="29"/>
      <c r="I87" s="30"/>
    </row>
    <row r="88" spans="1:9">
      <c r="A88" s="37">
        <f t="shared" si="1"/>
        <v>87</v>
      </c>
      <c r="B88" s="29"/>
      <c r="C88" s="29"/>
      <c r="D88" s="29"/>
      <c r="E88" s="29"/>
      <c r="F88" s="29"/>
      <c r="G88" s="29"/>
      <c r="H88" s="29"/>
      <c r="I88" s="30"/>
    </row>
    <row r="89" spans="1:9">
      <c r="A89" s="37">
        <f t="shared" si="1"/>
        <v>88</v>
      </c>
      <c r="B89" s="29"/>
      <c r="C89" s="29"/>
      <c r="D89" s="29"/>
      <c r="E89" s="29"/>
      <c r="F89" s="29"/>
      <c r="G89" s="29"/>
      <c r="H89" s="29"/>
      <c r="I89" s="30"/>
    </row>
    <row r="90" spans="1:9">
      <c r="A90" s="37">
        <f t="shared" si="1"/>
        <v>89</v>
      </c>
      <c r="B90" s="29"/>
      <c r="C90" s="29"/>
      <c r="D90" s="29"/>
      <c r="E90" s="29"/>
      <c r="F90" s="29"/>
      <c r="G90" s="29"/>
      <c r="H90" s="29"/>
      <c r="I90" s="30"/>
    </row>
    <row r="91" spans="1:9">
      <c r="A91" s="37">
        <f t="shared" si="1"/>
        <v>90</v>
      </c>
      <c r="B91" s="29"/>
      <c r="C91" s="29"/>
      <c r="D91" s="29"/>
      <c r="E91" s="29"/>
      <c r="F91" s="29"/>
      <c r="G91" s="29"/>
      <c r="H91" s="29"/>
      <c r="I91" s="30"/>
    </row>
    <row r="92" spans="1:9">
      <c r="A92" s="37">
        <f t="shared" si="1"/>
        <v>91</v>
      </c>
      <c r="B92" s="29"/>
      <c r="C92" s="29"/>
      <c r="D92" s="29"/>
      <c r="E92" s="29"/>
      <c r="F92" s="29"/>
      <c r="G92" s="29"/>
      <c r="H92" s="29"/>
      <c r="I92" s="30"/>
    </row>
    <row r="93" spans="1:9">
      <c r="A93" s="37">
        <f t="shared" si="1"/>
        <v>92</v>
      </c>
      <c r="B93" s="29"/>
      <c r="C93" s="29"/>
      <c r="D93" s="29"/>
      <c r="E93" s="29"/>
      <c r="F93" s="29"/>
      <c r="G93" s="29"/>
      <c r="H93" s="29"/>
      <c r="I93" s="30"/>
    </row>
    <row r="94" spans="1:9">
      <c r="A94" s="37">
        <f t="shared" si="1"/>
        <v>93</v>
      </c>
      <c r="B94" s="29"/>
      <c r="C94" s="29"/>
      <c r="D94" s="29"/>
      <c r="E94" s="29"/>
      <c r="F94" s="29"/>
      <c r="G94" s="29"/>
      <c r="H94" s="29"/>
      <c r="I94" s="30"/>
    </row>
    <row r="95" spans="1:9">
      <c r="A95" s="37">
        <f t="shared" si="1"/>
        <v>94</v>
      </c>
      <c r="B95" s="29"/>
      <c r="C95" s="29"/>
      <c r="D95" s="29"/>
      <c r="E95" s="29"/>
      <c r="F95" s="29"/>
      <c r="G95" s="29"/>
      <c r="H95" s="29"/>
      <c r="I95" s="30"/>
    </row>
    <row r="96" spans="1:9">
      <c r="A96" s="37">
        <f t="shared" si="1"/>
        <v>95</v>
      </c>
      <c r="B96" s="29"/>
      <c r="C96" s="29"/>
      <c r="D96" s="29"/>
      <c r="E96" s="29"/>
      <c r="F96" s="29"/>
      <c r="G96" s="29"/>
      <c r="H96" s="29"/>
      <c r="I96" s="30"/>
    </row>
    <row r="97" spans="1:9">
      <c r="A97" s="37">
        <f t="shared" si="1"/>
        <v>96</v>
      </c>
      <c r="B97" s="29"/>
      <c r="C97" s="29"/>
      <c r="D97" s="29"/>
      <c r="E97" s="29"/>
      <c r="F97" s="29"/>
      <c r="G97" s="29"/>
      <c r="H97" s="29"/>
      <c r="I97" s="30"/>
    </row>
    <row r="98" spans="1:9">
      <c r="A98" s="37">
        <f t="shared" si="1"/>
        <v>97</v>
      </c>
      <c r="B98" s="29"/>
      <c r="C98" s="29"/>
      <c r="D98" s="29"/>
      <c r="E98" s="29"/>
      <c r="F98" s="29"/>
      <c r="G98" s="29"/>
      <c r="H98" s="29"/>
      <c r="I98" s="30"/>
    </row>
    <row r="99" spans="1:9">
      <c r="A99" s="37">
        <f t="shared" si="1"/>
        <v>98</v>
      </c>
      <c r="B99" s="29"/>
      <c r="C99" s="29"/>
      <c r="D99" s="29"/>
      <c r="E99" s="29"/>
      <c r="F99" s="29"/>
      <c r="G99" s="29"/>
      <c r="H99" s="29"/>
      <c r="I99" s="30"/>
    </row>
    <row r="100" spans="1:9">
      <c r="A100" s="37">
        <f t="shared" si="1"/>
        <v>99</v>
      </c>
      <c r="B100" s="29"/>
      <c r="C100" s="29"/>
      <c r="D100" s="29"/>
      <c r="E100" s="29"/>
      <c r="F100" s="29"/>
      <c r="G100" s="29"/>
      <c r="H100" s="29"/>
      <c r="I100" s="30"/>
    </row>
    <row r="101" spans="1:9" ht="15" thickBot="1">
      <c r="A101" s="38">
        <f t="shared" si="1"/>
        <v>100</v>
      </c>
      <c r="B101" s="31"/>
      <c r="C101" s="31"/>
      <c r="D101" s="31"/>
      <c r="E101" s="31"/>
      <c r="F101" s="31"/>
      <c r="G101" s="31"/>
      <c r="H101" s="31"/>
      <c r="I101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Calibration</vt:lpstr>
      <vt:lpstr>06_19_20 (1.5year) call</vt:lpstr>
      <vt:lpstr>12_20_19 (1year) call</vt:lpstr>
      <vt:lpstr>Parameter_dist</vt:lpstr>
      <vt:lpstr>test</vt:lpstr>
      <vt:lpstr>texst</vt:lpstr>
      <vt:lpstr>Weighting_Scheme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hmc</dc:creator>
  <cp:lastModifiedBy>K Cheng</cp:lastModifiedBy>
  <dcterms:created xsi:type="dcterms:W3CDTF">2010-06-14T13:59:12Z</dcterms:created>
  <dcterms:modified xsi:type="dcterms:W3CDTF">2018-12-03T18:36:08Z</dcterms:modified>
</cp:coreProperties>
</file>