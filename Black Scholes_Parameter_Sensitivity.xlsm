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60" windowWidth="15360" windowHeight="7590" tabRatio="751" firstSheet="4" activeTab="8"/>
  </bookViews>
  <sheets>
    <sheet name="Read me" sheetId="8" r:id="rId1"/>
    <sheet name="Parameter Page" sheetId="1" r:id="rId2"/>
    <sheet name="Changes in S1" sheetId="5" r:id="rId3"/>
    <sheet name="Changes in S2" sheetId="6" r:id="rId4"/>
    <sheet name="Changes in S3" sheetId="7" r:id="rId5"/>
    <sheet name="Changes in sigma_S1" sheetId="9" r:id="rId6"/>
    <sheet name="Changes_in_sigma_S2" sheetId="10" r:id="rId7"/>
    <sheet name="Changes_in_sigma_S3" sheetId="11" r:id="rId8"/>
    <sheet name="Changes in r(1)" sheetId="12" r:id="rId9"/>
    <sheet name="Changes in r(2)" sheetId="13" r:id="rId10"/>
    <sheet name="changes in r(3)" sheetId="14" r:id="rId1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5" i="14" l="1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35" i="14"/>
  <c r="A36" i="14"/>
  <c r="A37" i="14"/>
  <c r="A38" i="14"/>
  <c r="A39" i="14"/>
  <c r="A40" i="14"/>
  <c r="A41" i="14"/>
  <c r="A42" i="14"/>
  <c r="A43" i="14"/>
  <c r="A44" i="14"/>
  <c r="A45" i="14"/>
  <c r="A46" i="14"/>
  <c r="A47" i="14"/>
  <c r="A48" i="14"/>
  <c r="A49" i="14"/>
  <c r="A50" i="14"/>
  <c r="A51" i="14"/>
  <c r="A52" i="14"/>
  <c r="A53" i="14"/>
  <c r="A54" i="14"/>
  <c r="A55" i="14"/>
  <c r="A56" i="14"/>
  <c r="A57" i="14"/>
  <c r="A58" i="14"/>
  <c r="A59" i="14"/>
  <c r="A60" i="14"/>
  <c r="A61" i="14"/>
  <c r="A62" i="14"/>
  <c r="A63" i="14"/>
  <c r="A64" i="14"/>
  <c r="A65" i="14"/>
  <c r="A66" i="14"/>
  <c r="A67" i="14"/>
  <c r="A68" i="14"/>
  <c r="A69" i="14"/>
  <c r="A70" i="14"/>
  <c r="A71" i="14"/>
  <c r="A72" i="14"/>
  <c r="A73" i="14"/>
  <c r="A74" i="14"/>
  <c r="A75" i="14"/>
  <c r="A76" i="14"/>
  <c r="A77" i="14"/>
  <c r="A78" i="14"/>
  <c r="A79" i="14"/>
  <c r="A80" i="14"/>
  <c r="A81" i="14"/>
  <c r="A82" i="14"/>
  <c r="A83" i="14"/>
  <c r="A84" i="14"/>
  <c r="A85" i="14"/>
  <c r="A86" i="14"/>
  <c r="A87" i="14"/>
  <c r="A88" i="14"/>
  <c r="A89" i="14"/>
  <c r="A90" i="14"/>
  <c r="A91" i="14"/>
  <c r="A92" i="14"/>
  <c r="A93" i="14"/>
  <c r="A94" i="14"/>
  <c r="A95" i="14"/>
  <c r="A96" i="14"/>
  <c r="A97" i="14"/>
  <c r="A98" i="14"/>
  <c r="A99" i="14"/>
  <c r="A100" i="14"/>
  <c r="A101" i="14"/>
  <c r="A102" i="14"/>
  <c r="A103" i="14"/>
  <c r="A104" i="14"/>
  <c r="A4" i="14"/>
  <c r="A104" i="13"/>
  <c r="A103" i="13"/>
  <c r="A102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5" i="12"/>
  <c r="A6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21" i="12"/>
  <c r="A22" i="12"/>
  <c r="A23" i="12"/>
  <c r="A24" i="12"/>
  <c r="A25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40" i="12"/>
  <c r="A41" i="12"/>
  <c r="A42" i="12"/>
  <c r="A43" i="12"/>
  <c r="A44" i="12"/>
  <c r="A45" i="12"/>
  <c r="A46" i="12"/>
  <c r="A47" i="12"/>
  <c r="A48" i="12"/>
  <c r="A49" i="12"/>
  <c r="A50" i="12"/>
  <c r="A51" i="12"/>
  <c r="A52" i="12"/>
  <c r="A53" i="12"/>
  <c r="A54" i="12"/>
  <c r="A55" i="12"/>
  <c r="A56" i="12"/>
  <c r="A57" i="12"/>
  <c r="A58" i="12"/>
  <c r="A59" i="12"/>
  <c r="A60" i="12"/>
  <c r="A61" i="12"/>
  <c r="A62" i="12"/>
  <c r="A63" i="12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78" i="12"/>
  <c r="A79" i="12"/>
  <c r="A80" i="12"/>
  <c r="A81" i="12"/>
  <c r="A82" i="12"/>
  <c r="A83" i="12"/>
  <c r="A84" i="12"/>
  <c r="A85" i="12"/>
  <c r="A86" i="12"/>
  <c r="A87" i="12"/>
  <c r="A88" i="12"/>
  <c r="A89" i="12"/>
  <c r="A90" i="12"/>
  <c r="A91" i="12"/>
  <c r="A92" i="12"/>
  <c r="A93" i="12"/>
  <c r="A94" i="12"/>
  <c r="A95" i="12"/>
  <c r="A96" i="12"/>
  <c r="A97" i="12"/>
  <c r="A98" i="12"/>
  <c r="A99" i="12"/>
  <c r="A100" i="12"/>
  <c r="A101" i="12"/>
  <c r="A102" i="12"/>
  <c r="A103" i="12"/>
  <c r="A104" i="12"/>
  <c r="A4" i="12"/>
  <c r="D1" i="12"/>
  <c r="J4" i="12" l="1"/>
  <c r="C1" i="14"/>
  <c r="C1" i="13"/>
  <c r="F1" i="13" s="1"/>
  <c r="C1" i="12"/>
  <c r="F1" i="14"/>
  <c r="E1" i="14"/>
  <c r="B4" i="14" s="1"/>
  <c r="F1" i="12"/>
  <c r="E1" i="12"/>
  <c r="B4" i="12"/>
  <c r="C1" i="11"/>
  <c r="B5" i="10"/>
  <c r="B4" i="10"/>
  <c r="A4" i="10"/>
  <c r="C1" i="10"/>
  <c r="F1" i="10"/>
  <c r="E1" i="10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J6" i="5"/>
  <c r="K6" i="5" s="1"/>
  <c r="J5" i="5"/>
  <c r="J4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C1" i="9"/>
  <c r="F1" i="9" s="1"/>
  <c r="E1" i="13" l="1"/>
  <c r="B4" i="13" s="1"/>
  <c r="B5" i="13" s="1"/>
  <c r="B5" i="14"/>
  <c r="B5" i="12"/>
  <c r="E1" i="11"/>
  <c r="B4" i="11" s="1"/>
  <c r="F1" i="11"/>
  <c r="B6" i="10"/>
  <c r="A5" i="10"/>
  <c r="J6" i="9"/>
  <c r="J4" i="9"/>
  <c r="J5" i="9"/>
  <c r="E1" i="9"/>
  <c r="B4" i="9" s="1"/>
  <c r="B5" i="9" s="1"/>
  <c r="B6" i="9" s="1"/>
  <c r="B7" i="9" s="1"/>
  <c r="B8" i="9" s="1"/>
  <c r="B9" i="9" s="1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47" i="9" s="1"/>
  <c r="B48" i="9" s="1"/>
  <c r="B49" i="9" s="1"/>
  <c r="B50" i="9" s="1"/>
  <c r="B51" i="9" s="1"/>
  <c r="B52" i="9" s="1"/>
  <c r="B53" i="9" s="1"/>
  <c r="B54" i="9" s="1"/>
  <c r="B55" i="9" s="1"/>
  <c r="B56" i="9" s="1"/>
  <c r="B57" i="9" s="1"/>
  <c r="B58" i="9" s="1"/>
  <c r="B59" i="9" s="1"/>
  <c r="B60" i="9" s="1"/>
  <c r="B61" i="9" s="1"/>
  <c r="B62" i="9" s="1"/>
  <c r="B63" i="9" s="1"/>
  <c r="B64" i="9" s="1"/>
  <c r="B65" i="9" s="1"/>
  <c r="B66" i="9" s="1"/>
  <c r="B67" i="9" s="1"/>
  <c r="B68" i="9" s="1"/>
  <c r="B69" i="9" s="1"/>
  <c r="B70" i="9" s="1"/>
  <c r="B71" i="9" s="1"/>
  <c r="B72" i="9" s="1"/>
  <c r="B73" i="9" s="1"/>
  <c r="B74" i="9" s="1"/>
  <c r="B75" i="9" s="1"/>
  <c r="B76" i="9" s="1"/>
  <c r="B77" i="9" s="1"/>
  <c r="B78" i="9" s="1"/>
  <c r="B79" i="9" s="1"/>
  <c r="B80" i="9" s="1"/>
  <c r="B81" i="9" s="1"/>
  <c r="B82" i="9" s="1"/>
  <c r="B83" i="9" s="1"/>
  <c r="B84" i="9" s="1"/>
  <c r="B85" i="9" s="1"/>
  <c r="B86" i="9" s="1"/>
  <c r="B87" i="9" s="1"/>
  <c r="B88" i="9" s="1"/>
  <c r="B89" i="9" s="1"/>
  <c r="B90" i="9" s="1"/>
  <c r="B91" i="9" s="1"/>
  <c r="B92" i="9" s="1"/>
  <c r="B93" i="9" s="1"/>
  <c r="B94" i="9" s="1"/>
  <c r="B95" i="9" s="1"/>
  <c r="B96" i="9" s="1"/>
  <c r="B97" i="9" s="1"/>
  <c r="B98" i="9" s="1"/>
  <c r="B99" i="9" s="1"/>
  <c r="B100" i="9" s="1"/>
  <c r="B101" i="9" s="1"/>
  <c r="B102" i="9" s="1"/>
  <c r="B103" i="9" s="1"/>
  <c r="B104" i="9" s="1"/>
  <c r="K5" i="5"/>
  <c r="J5" i="7"/>
  <c r="J6" i="7"/>
  <c r="J4" i="7"/>
  <c r="J6" i="6"/>
  <c r="J4" i="6"/>
  <c r="J5" i="6"/>
  <c r="B6" i="7"/>
  <c r="B7" i="7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B53" i="7" s="1"/>
  <c r="B54" i="7" s="1"/>
  <c r="B55" i="7" s="1"/>
  <c r="B56" i="7" s="1"/>
  <c r="B57" i="7" s="1"/>
  <c r="B58" i="7" s="1"/>
  <c r="B59" i="7" s="1"/>
  <c r="B60" i="7" s="1"/>
  <c r="B61" i="7" s="1"/>
  <c r="B62" i="7" s="1"/>
  <c r="B63" i="7" s="1"/>
  <c r="B64" i="7" s="1"/>
  <c r="B65" i="7" s="1"/>
  <c r="B66" i="7" s="1"/>
  <c r="B67" i="7" s="1"/>
  <c r="B68" i="7" s="1"/>
  <c r="B69" i="7" s="1"/>
  <c r="B70" i="7" s="1"/>
  <c r="B71" i="7" s="1"/>
  <c r="B72" i="7" s="1"/>
  <c r="B73" i="7" s="1"/>
  <c r="B74" i="7" s="1"/>
  <c r="B75" i="7" s="1"/>
  <c r="B76" i="7" s="1"/>
  <c r="B77" i="7" s="1"/>
  <c r="B78" i="7" s="1"/>
  <c r="B79" i="7" s="1"/>
  <c r="B80" i="7" s="1"/>
  <c r="B81" i="7" s="1"/>
  <c r="B82" i="7" s="1"/>
  <c r="B83" i="7" s="1"/>
  <c r="B84" i="7" s="1"/>
  <c r="B85" i="7" s="1"/>
  <c r="B86" i="7" s="1"/>
  <c r="B87" i="7" s="1"/>
  <c r="B88" i="7" s="1"/>
  <c r="B89" i="7" s="1"/>
  <c r="B90" i="7" s="1"/>
  <c r="B91" i="7" s="1"/>
  <c r="B92" i="7" s="1"/>
  <c r="B93" i="7" s="1"/>
  <c r="B94" i="7" s="1"/>
  <c r="B95" i="7" s="1"/>
  <c r="B96" i="7" s="1"/>
  <c r="B97" i="7" s="1"/>
  <c r="B98" i="7" s="1"/>
  <c r="B99" i="7" s="1"/>
  <c r="B100" i="7" s="1"/>
  <c r="B101" i="7" s="1"/>
  <c r="B102" i="7" s="1"/>
  <c r="B103" i="7" s="1"/>
  <c r="B104" i="7" s="1"/>
  <c r="B5" i="7"/>
  <c r="B4" i="7"/>
  <c r="F1" i="7"/>
  <c r="E1" i="7"/>
  <c r="C1" i="7"/>
  <c r="F1" i="5"/>
  <c r="E1" i="5"/>
  <c r="B6" i="6"/>
  <c r="B7" i="6"/>
  <c r="B8" i="6" s="1"/>
  <c r="B9" i="6" s="1"/>
  <c r="B10" i="6" s="1"/>
  <c r="B11" i="6" s="1"/>
  <c r="B5" i="6"/>
  <c r="F1" i="6"/>
  <c r="E1" i="6"/>
  <c r="C1" i="6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5" i="5"/>
  <c r="B6" i="13" l="1"/>
  <c r="B6" i="14"/>
  <c r="B7" i="13"/>
  <c r="B6" i="12"/>
  <c r="B5" i="11"/>
  <c r="A4" i="11"/>
  <c r="A6" i="10"/>
  <c r="B7" i="10"/>
  <c r="K5" i="9"/>
  <c r="K6" i="9"/>
  <c r="D2" i="9"/>
  <c r="K5" i="7"/>
  <c r="K6" i="6"/>
  <c r="K5" i="6"/>
  <c r="K6" i="7"/>
  <c r="D2" i="7"/>
  <c r="B12" i="6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D2" i="5"/>
  <c r="B29" i="5"/>
  <c r="B30" i="5"/>
  <c r="B31" i="5" s="1"/>
  <c r="B32" i="5" s="1"/>
  <c r="B33" i="5" s="1"/>
  <c r="B34" i="5" s="1"/>
  <c r="B35" i="5" s="1"/>
  <c r="B36" i="5" s="1"/>
  <c r="B37" i="5" s="1"/>
  <c r="B38" i="5" s="1"/>
  <c r="B39" i="5" s="1"/>
  <c r="B40" i="5" s="1"/>
  <c r="B41" i="5" s="1"/>
  <c r="B42" i="5" s="1"/>
  <c r="B43" i="5" s="1"/>
  <c r="B44" i="5" s="1"/>
  <c r="B45" i="5" s="1"/>
  <c r="B46" i="5" s="1"/>
  <c r="B47" i="5" s="1"/>
  <c r="B48" i="5" s="1"/>
  <c r="B49" i="5" s="1"/>
  <c r="B50" i="5" s="1"/>
  <c r="B51" i="5" s="1"/>
  <c r="B52" i="5" s="1"/>
  <c r="B53" i="5" s="1"/>
  <c r="B54" i="5" s="1"/>
  <c r="B55" i="5" s="1"/>
  <c r="B56" i="5" s="1"/>
  <c r="B57" i="5" s="1"/>
  <c r="B58" i="5" s="1"/>
  <c r="B59" i="5" s="1"/>
  <c r="B60" i="5" s="1"/>
  <c r="B61" i="5" s="1"/>
  <c r="B62" i="5" s="1"/>
  <c r="B63" i="5" s="1"/>
  <c r="B64" i="5" s="1"/>
  <c r="B65" i="5" s="1"/>
  <c r="B66" i="5" s="1"/>
  <c r="B67" i="5" s="1"/>
  <c r="B68" i="5" s="1"/>
  <c r="B69" i="5" s="1"/>
  <c r="B70" i="5" s="1"/>
  <c r="B71" i="5" s="1"/>
  <c r="B72" i="5" s="1"/>
  <c r="B73" i="5" s="1"/>
  <c r="B74" i="5" s="1"/>
  <c r="B75" i="5" s="1"/>
  <c r="B76" i="5" s="1"/>
  <c r="B77" i="5" s="1"/>
  <c r="B78" i="5" s="1"/>
  <c r="B79" i="5" s="1"/>
  <c r="B80" i="5" s="1"/>
  <c r="B81" i="5" s="1"/>
  <c r="B82" i="5" s="1"/>
  <c r="B83" i="5" s="1"/>
  <c r="B84" i="5" s="1"/>
  <c r="B85" i="5" s="1"/>
  <c r="B86" i="5" s="1"/>
  <c r="B87" i="5" s="1"/>
  <c r="B88" i="5" s="1"/>
  <c r="B89" i="5" s="1"/>
  <c r="B90" i="5" s="1"/>
  <c r="B91" i="5" s="1"/>
  <c r="B92" i="5" s="1"/>
  <c r="B93" i="5" s="1"/>
  <c r="B94" i="5" s="1"/>
  <c r="B95" i="5" s="1"/>
  <c r="B96" i="5" s="1"/>
  <c r="B97" i="5" s="1"/>
  <c r="B98" i="5" s="1"/>
  <c r="B99" i="5" s="1"/>
  <c r="B100" i="5" s="1"/>
  <c r="B101" i="5" s="1"/>
  <c r="B102" i="5" s="1"/>
  <c r="B103" i="5" s="1"/>
  <c r="B104" i="5" s="1"/>
  <c r="B6" i="5"/>
  <c r="B7" i="5"/>
  <c r="B8" i="5"/>
  <c r="B9" i="5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5" i="5"/>
  <c r="C1" i="5"/>
  <c r="B7" i="14" l="1"/>
  <c r="B8" i="13"/>
  <c r="B7" i="12"/>
  <c r="A5" i="11"/>
  <c r="B6" i="11"/>
  <c r="B8" i="10"/>
  <c r="A7" i="10"/>
  <c r="D2" i="6"/>
  <c r="P2" i="1"/>
  <c r="B8" i="14" l="1"/>
  <c r="B9" i="13"/>
  <c r="B8" i="12"/>
  <c r="B7" i="11"/>
  <c r="A6" i="11"/>
  <c r="A8" i="10"/>
  <c r="B9" i="10"/>
  <c r="B20" i="1"/>
  <c r="C20" i="1" s="1"/>
  <c r="D20" i="1" s="1"/>
  <c r="E20" i="1" s="1"/>
  <c r="F20" i="1" s="1"/>
  <c r="G20" i="1" s="1"/>
  <c r="H20" i="1" s="1"/>
  <c r="I20" i="1" s="1"/>
  <c r="J20" i="1" s="1"/>
  <c r="K20" i="1" s="1"/>
  <c r="L20" i="1" s="1"/>
  <c r="M20" i="1" s="1"/>
  <c r="N20" i="1" s="1"/>
  <c r="O20" i="1" s="1"/>
  <c r="P20" i="1" s="1"/>
  <c r="Q20" i="1" s="1"/>
  <c r="R20" i="1" s="1"/>
  <c r="S20" i="1" s="1"/>
  <c r="T20" i="1" s="1"/>
  <c r="U20" i="1" s="1"/>
  <c r="V20" i="1" s="1"/>
  <c r="W20" i="1" s="1"/>
  <c r="X20" i="1" s="1"/>
  <c r="Y20" i="1" s="1"/>
  <c r="Z20" i="1" s="1"/>
  <c r="AA20" i="1" s="1"/>
  <c r="AB20" i="1" s="1"/>
  <c r="AC20" i="1" s="1"/>
  <c r="AD20" i="1" s="1"/>
  <c r="AE20" i="1" s="1"/>
  <c r="AF20" i="1" s="1"/>
  <c r="P9" i="1"/>
  <c r="P8" i="1"/>
  <c r="P7" i="1"/>
  <c r="P6" i="1"/>
  <c r="P5" i="1"/>
  <c r="P4" i="1"/>
  <c r="P3" i="1"/>
  <c r="B9" i="14" l="1"/>
  <c r="B10" i="13"/>
  <c r="B9" i="12"/>
  <c r="B8" i="11"/>
  <c r="A7" i="11"/>
  <c r="B10" i="10"/>
  <c r="A9" i="10"/>
  <c r="R2" i="1"/>
  <c r="T8" i="1"/>
  <c r="T7" i="1"/>
  <c r="T6" i="1"/>
  <c r="T5" i="1"/>
  <c r="T4" i="1"/>
  <c r="T3" i="1"/>
  <c r="T2" i="1"/>
  <c r="G2" i="1"/>
  <c r="R8" i="1"/>
  <c r="R7" i="1"/>
  <c r="R6" i="1"/>
  <c r="R5" i="1"/>
  <c r="R4" i="1"/>
  <c r="R3" i="1"/>
  <c r="O9" i="1"/>
  <c r="O8" i="1"/>
  <c r="O7" i="1"/>
  <c r="O6" i="1"/>
  <c r="O5" i="1"/>
  <c r="O4" i="1"/>
  <c r="O3" i="1"/>
  <c r="O2" i="1"/>
  <c r="L9" i="1"/>
  <c r="L8" i="1"/>
  <c r="L7" i="1"/>
  <c r="L6" i="1"/>
  <c r="L5" i="1"/>
  <c r="L4" i="1"/>
  <c r="L3" i="1"/>
  <c r="L2" i="1"/>
  <c r="M9" i="1"/>
  <c r="M8" i="1"/>
  <c r="M7" i="1"/>
  <c r="M6" i="1"/>
  <c r="M5" i="1"/>
  <c r="M4" i="1"/>
  <c r="M3" i="1"/>
  <c r="B10" i="14" l="1"/>
  <c r="B11" i="13"/>
  <c r="B10" i="12"/>
  <c r="A8" i="11"/>
  <c r="B9" i="11"/>
  <c r="A10" i="10"/>
  <c r="B11" i="10"/>
  <c r="B11" i="14" l="1"/>
  <c r="B12" i="13"/>
  <c r="B11" i="12"/>
  <c r="A9" i="11"/>
  <c r="B10" i="11"/>
  <c r="B12" i="10"/>
  <c r="A11" i="10"/>
  <c r="B12" i="14" l="1"/>
  <c r="B13" i="13"/>
  <c r="B12" i="12"/>
  <c r="B11" i="11"/>
  <c r="A10" i="11"/>
  <c r="A12" i="10"/>
  <c r="B13" i="10"/>
  <c r="B13" i="14" l="1"/>
  <c r="B14" i="13"/>
  <c r="B13" i="12"/>
  <c r="B12" i="11"/>
  <c r="A11" i="11"/>
  <c r="A13" i="10"/>
  <c r="B14" i="10"/>
  <c r="B14" i="14" l="1"/>
  <c r="B15" i="13"/>
  <c r="B14" i="12"/>
  <c r="B13" i="11"/>
  <c r="A12" i="11"/>
  <c r="A14" i="10"/>
  <c r="B15" i="10"/>
  <c r="B15" i="14" l="1"/>
  <c r="B16" i="13"/>
  <c r="B15" i="12"/>
  <c r="A13" i="11"/>
  <c r="B14" i="11"/>
  <c r="B16" i="10"/>
  <c r="A15" i="10"/>
  <c r="B16" i="14" l="1"/>
  <c r="B17" i="13"/>
  <c r="B16" i="12"/>
  <c r="B15" i="11"/>
  <c r="A14" i="11"/>
  <c r="A16" i="10"/>
  <c r="B17" i="10"/>
  <c r="B17" i="14" l="1"/>
  <c r="B18" i="13"/>
  <c r="B17" i="12"/>
  <c r="A15" i="11"/>
  <c r="B16" i="11"/>
  <c r="B18" i="10"/>
  <c r="A17" i="10"/>
  <c r="B18" i="14" l="1"/>
  <c r="B19" i="13"/>
  <c r="B18" i="12"/>
  <c r="B17" i="11"/>
  <c r="A16" i="11"/>
  <c r="A18" i="10"/>
  <c r="B19" i="10"/>
  <c r="B19" i="14" l="1"/>
  <c r="B20" i="13"/>
  <c r="B19" i="12"/>
  <c r="B18" i="11"/>
  <c r="A17" i="11"/>
  <c r="B20" i="10"/>
  <c r="A19" i="10"/>
  <c r="B20" i="14" l="1"/>
  <c r="B21" i="13"/>
  <c r="B20" i="12"/>
  <c r="B19" i="11"/>
  <c r="A18" i="11"/>
  <c r="A20" i="10"/>
  <c r="B21" i="10"/>
  <c r="B21" i="14" l="1"/>
  <c r="B22" i="13"/>
  <c r="B21" i="12"/>
  <c r="A19" i="11"/>
  <c r="B20" i="11"/>
  <c r="B22" i="10"/>
  <c r="A21" i="10"/>
  <c r="B22" i="14" l="1"/>
  <c r="B23" i="13"/>
  <c r="B22" i="12"/>
  <c r="A20" i="11"/>
  <c r="B21" i="11"/>
  <c r="A22" i="10"/>
  <c r="B23" i="10"/>
  <c r="B23" i="14" l="1"/>
  <c r="B24" i="13"/>
  <c r="B23" i="12"/>
  <c r="A21" i="11"/>
  <c r="B22" i="11"/>
  <c r="B24" i="10"/>
  <c r="A23" i="10"/>
  <c r="B24" i="14" l="1"/>
  <c r="B25" i="13"/>
  <c r="B24" i="12"/>
  <c r="A22" i="11"/>
  <c r="B23" i="11"/>
  <c r="A24" i="10"/>
  <c r="B25" i="10"/>
  <c r="B25" i="14" l="1"/>
  <c r="B26" i="13"/>
  <c r="B25" i="12"/>
  <c r="B24" i="11"/>
  <c r="A23" i="11"/>
  <c r="B26" i="10"/>
  <c r="A25" i="10"/>
  <c r="B26" i="14" l="1"/>
  <c r="B27" i="13"/>
  <c r="B26" i="12"/>
  <c r="A24" i="11"/>
  <c r="B25" i="11"/>
  <c r="A26" i="10"/>
  <c r="B27" i="10"/>
  <c r="B27" i="14" l="1"/>
  <c r="B28" i="13"/>
  <c r="B27" i="12"/>
  <c r="A25" i="11"/>
  <c r="B26" i="11"/>
  <c r="B28" i="10"/>
  <c r="A27" i="10"/>
  <c r="B28" i="14" l="1"/>
  <c r="B29" i="13"/>
  <c r="B28" i="12"/>
  <c r="A26" i="11"/>
  <c r="B27" i="11"/>
  <c r="A28" i="10"/>
  <c r="B29" i="10"/>
  <c r="B29" i="14" l="1"/>
  <c r="B30" i="13"/>
  <c r="B29" i="12"/>
  <c r="B28" i="11"/>
  <c r="A27" i="11"/>
  <c r="B30" i="10"/>
  <c r="A29" i="10"/>
  <c r="B30" i="14" l="1"/>
  <c r="B31" i="13"/>
  <c r="B30" i="12"/>
  <c r="A28" i="11"/>
  <c r="B29" i="11"/>
  <c r="A30" i="10"/>
  <c r="B31" i="10"/>
  <c r="B31" i="14" l="1"/>
  <c r="B32" i="13"/>
  <c r="B31" i="12"/>
  <c r="A29" i="11"/>
  <c r="B30" i="11"/>
  <c r="B32" i="10"/>
  <c r="A31" i="10"/>
  <c r="B32" i="14" l="1"/>
  <c r="B33" i="13"/>
  <c r="B32" i="12"/>
  <c r="A30" i="11"/>
  <c r="B31" i="11"/>
  <c r="A32" i="10"/>
  <c r="B33" i="10"/>
  <c r="B33" i="14" l="1"/>
  <c r="B34" i="13"/>
  <c r="B33" i="12"/>
  <c r="B32" i="11"/>
  <c r="A31" i="11"/>
  <c r="B34" i="10"/>
  <c r="A33" i="10"/>
  <c r="B34" i="14" l="1"/>
  <c r="B35" i="13"/>
  <c r="B34" i="12"/>
  <c r="A32" i="11"/>
  <c r="B33" i="11"/>
  <c r="A34" i="10"/>
  <c r="B35" i="10"/>
  <c r="B35" i="14" l="1"/>
  <c r="B36" i="13"/>
  <c r="B35" i="12"/>
  <c r="B34" i="11"/>
  <c r="A33" i="11"/>
  <c r="B36" i="10"/>
  <c r="A35" i="10"/>
  <c r="B36" i="14" l="1"/>
  <c r="B37" i="13"/>
  <c r="B36" i="12"/>
  <c r="A34" i="11"/>
  <c r="B35" i="11"/>
  <c r="A36" i="10"/>
  <c r="B37" i="10"/>
  <c r="B37" i="14" l="1"/>
  <c r="B38" i="13"/>
  <c r="B37" i="12"/>
  <c r="B36" i="11"/>
  <c r="A35" i="11"/>
  <c r="B38" i="10"/>
  <c r="A37" i="10"/>
  <c r="B38" i="14" l="1"/>
  <c r="B39" i="13"/>
  <c r="B38" i="12"/>
  <c r="A36" i="11"/>
  <c r="B37" i="11"/>
  <c r="A38" i="10"/>
  <c r="B39" i="10"/>
  <c r="B39" i="14" l="1"/>
  <c r="B40" i="13"/>
  <c r="B39" i="12"/>
  <c r="B38" i="11"/>
  <c r="A37" i="11"/>
  <c r="B40" i="10"/>
  <c r="A39" i="10"/>
  <c r="B40" i="14" l="1"/>
  <c r="B41" i="13"/>
  <c r="B40" i="12"/>
  <c r="A38" i="11"/>
  <c r="B39" i="11"/>
  <c r="A40" i="10"/>
  <c r="B41" i="10"/>
  <c r="B41" i="14" l="1"/>
  <c r="B42" i="13"/>
  <c r="B41" i="12"/>
  <c r="B40" i="11"/>
  <c r="A39" i="11"/>
  <c r="B42" i="10"/>
  <c r="A41" i="10"/>
  <c r="B42" i="14" l="1"/>
  <c r="B43" i="13"/>
  <c r="B42" i="12"/>
  <c r="A40" i="11"/>
  <c r="B41" i="11"/>
  <c r="A42" i="10"/>
  <c r="B43" i="10"/>
  <c r="B43" i="14" l="1"/>
  <c r="B44" i="13"/>
  <c r="B43" i="12"/>
  <c r="B42" i="11"/>
  <c r="A41" i="11"/>
  <c r="B44" i="10"/>
  <c r="A43" i="10"/>
  <c r="B44" i="14" l="1"/>
  <c r="B45" i="13"/>
  <c r="B44" i="12"/>
  <c r="A42" i="11"/>
  <c r="B43" i="11"/>
  <c r="A44" i="10"/>
  <c r="B45" i="10"/>
  <c r="B45" i="14" l="1"/>
  <c r="B46" i="13"/>
  <c r="B45" i="12"/>
  <c r="B44" i="11"/>
  <c r="A43" i="11"/>
  <c r="B46" i="10"/>
  <c r="A45" i="10"/>
  <c r="B46" i="14" l="1"/>
  <c r="B47" i="13"/>
  <c r="B46" i="12"/>
  <c r="A44" i="11"/>
  <c r="B45" i="11"/>
  <c r="A46" i="10"/>
  <c r="B47" i="10"/>
  <c r="B47" i="14" l="1"/>
  <c r="B48" i="13"/>
  <c r="B47" i="12"/>
  <c r="B46" i="11"/>
  <c r="A45" i="11"/>
  <c r="B48" i="10"/>
  <c r="A47" i="10"/>
  <c r="B48" i="14" l="1"/>
  <c r="B49" i="13"/>
  <c r="B48" i="12"/>
  <c r="A46" i="11"/>
  <c r="B47" i="11"/>
  <c r="A48" i="10"/>
  <c r="B49" i="10"/>
  <c r="B49" i="14" l="1"/>
  <c r="B50" i="13"/>
  <c r="B49" i="12"/>
  <c r="A47" i="11"/>
  <c r="B48" i="11"/>
  <c r="B50" i="10"/>
  <c r="A49" i="10"/>
  <c r="B50" i="14" l="1"/>
  <c r="B51" i="13"/>
  <c r="B50" i="12"/>
  <c r="A48" i="11"/>
  <c r="B49" i="11"/>
  <c r="A50" i="10"/>
  <c r="B51" i="10"/>
  <c r="B51" i="14" l="1"/>
  <c r="B52" i="13"/>
  <c r="B51" i="12"/>
  <c r="B50" i="11"/>
  <c r="A49" i="11"/>
  <c r="B52" i="10"/>
  <c r="A51" i="10"/>
  <c r="B52" i="14" l="1"/>
  <c r="B53" i="13"/>
  <c r="B52" i="12"/>
  <c r="A50" i="11"/>
  <c r="B51" i="11"/>
  <c r="A52" i="10"/>
  <c r="B53" i="10"/>
  <c r="B53" i="14" l="1"/>
  <c r="B54" i="13"/>
  <c r="B53" i="12"/>
  <c r="B52" i="11"/>
  <c r="A51" i="11"/>
  <c r="B54" i="10"/>
  <c r="A53" i="10"/>
  <c r="B54" i="14" l="1"/>
  <c r="B55" i="13"/>
  <c r="B54" i="12"/>
  <c r="A52" i="11"/>
  <c r="B53" i="11"/>
  <c r="A54" i="10"/>
  <c r="B55" i="10"/>
  <c r="B55" i="14" l="1"/>
  <c r="B56" i="13"/>
  <c r="B55" i="12"/>
  <c r="B54" i="11"/>
  <c r="A53" i="11"/>
  <c r="B56" i="10"/>
  <c r="A55" i="10"/>
  <c r="B56" i="14" l="1"/>
  <c r="B57" i="13"/>
  <c r="B56" i="12"/>
  <c r="A54" i="11"/>
  <c r="B55" i="11"/>
  <c r="A56" i="10"/>
  <c r="B57" i="10"/>
  <c r="B57" i="14" l="1"/>
  <c r="B58" i="13"/>
  <c r="B57" i="12"/>
  <c r="B56" i="11"/>
  <c r="A55" i="11"/>
  <c r="B58" i="10"/>
  <c r="A57" i="10"/>
  <c r="B58" i="14" l="1"/>
  <c r="B59" i="13"/>
  <c r="B58" i="12"/>
  <c r="A56" i="11"/>
  <c r="B57" i="11"/>
  <c r="A58" i="10"/>
  <c r="B59" i="10"/>
  <c r="B59" i="14" l="1"/>
  <c r="B60" i="13"/>
  <c r="B59" i="12"/>
  <c r="B58" i="11"/>
  <c r="A57" i="11"/>
  <c r="B60" i="10"/>
  <c r="A59" i="10"/>
  <c r="B60" i="14" l="1"/>
  <c r="B61" i="13"/>
  <c r="B60" i="12"/>
  <c r="A58" i="11"/>
  <c r="B59" i="11"/>
  <c r="A60" i="10"/>
  <c r="B61" i="10"/>
  <c r="B61" i="14" l="1"/>
  <c r="B62" i="13"/>
  <c r="B61" i="12"/>
  <c r="B60" i="11"/>
  <c r="A59" i="11"/>
  <c r="B62" i="10"/>
  <c r="A61" i="10"/>
  <c r="B62" i="14" l="1"/>
  <c r="B63" i="13"/>
  <c r="B62" i="12"/>
  <c r="A60" i="11"/>
  <c r="B61" i="11"/>
  <c r="A62" i="10"/>
  <c r="B63" i="10"/>
  <c r="B63" i="14" l="1"/>
  <c r="B64" i="13"/>
  <c r="B63" i="12"/>
  <c r="B62" i="11"/>
  <c r="A61" i="11"/>
  <c r="B64" i="10"/>
  <c r="A63" i="10"/>
  <c r="B64" i="14" l="1"/>
  <c r="B65" i="13"/>
  <c r="B64" i="12"/>
  <c r="A62" i="11"/>
  <c r="B63" i="11"/>
  <c r="A64" i="10"/>
  <c r="B65" i="10"/>
  <c r="B65" i="14" l="1"/>
  <c r="B66" i="13"/>
  <c r="B65" i="12"/>
  <c r="B64" i="11"/>
  <c r="A63" i="11"/>
  <c r="B66" i="10"/>
  <c r="A65" i="10"/>
  <c r="B66" i="14" l="1"/>
  <c r="B67" i="13"/>
  <c r="B66" i="12"/>
  <c r="A64" i="11"/>
  <c r="B65" i="11"/>
  <c r="A66" i="10"/>
  <c r="B67" i="10"/>
  <c r="B67" i="14" l="1"/>
  <c r="B68" i="13"/>
  <c r="B67" i="12"/>
  <c r="B66" i="11"/>
  <c r="A65" i="11"/>
  <c r="B68" i="10"/>
  <c r="A67" i="10"/>
  <c r="B68" i="14" l="1"/>
  <c r="B69" i="13"/>
  <c r="B68" i="12"/>
  <c r="A66" i="11"/>
  <c r="B67" i="11"/>
  <c r="A68" i="10"/>
  <c r="B69" i="10"/>
  <c r="B69" i="14" l="1"/>
  <c r="B70" i="13"/>
  <c r="B69" i="12"/>
  <c r="B68" i="11"/>
  <c r="A67" i="11"/>
  <c r="B70" i="10"/>
  <c r="A69" i="10"/>
  <c r="B70" i="14" l="1"/>
  <c r="B71" i="13"/>
  <c r="B70" i="12"/>
  <c r="A68" i="11"/>
  <c r="B69" i="11"/>
  <c r="A70" i="10"/>
  <c r="B71" i="10"/>
  <c r="B71" i="14" l="1"/>
  <c r="B72" i="13"/>
  <c r="B71" i="12"/>
  <c r="B70" i="11"/>
  <c r="A69" i="11"/>
  <c r="B72" i="10"/>
  <c r="A71" i="10"/>
  <c r="B72" i="14" l="1"/>
  <c r="B73" i="13"/>
  <c r="B72" i="12"/>
  <c r="A70" i="11"/>
  <c r="B71" i="11"/>
  <c r="A72" i="10"/>
  <c r="B73" i="10"/>
  <c r="B73" i="14" l="1"/>
  <c r="B74" i="13"/>
  <c r="B73" i="12"/>
  <c r="B72" i="11"/>
  <c r="A71" i="11"/>
  <c r="B74" i="10"/>
  <c r="A73" i="10"/>
  <c r="B74" i="14" l="1"/>
  <c r="B75" i="13"/>
  <c r="B74" i="12"/>
  <c r="A72" i="11"/>
  <c r="B73" i="11"/>
  <c r="A74" i="10"/>
  <c r="B75" i="10"/>
  <c r="B75" i="14" l="1"/>
  <c r="B76" i="13"/>
  <c r="B75" i="12"/>
  <c r="B74" i="11"/>
  <c r="A73" i="11"/>
  <c r="B76" i="10"/>
  <c r="A75" i="10"/>
  <c r="B76" i="14" l="1"/>
  <c r="B77" i="13"/>
  <c r="B76" i="12"/>
  <c r="A74" i="11"/>
  <c r="B75" i="11"/>
  <c r="A76" i="10"/>
  <c r="B77" i="10"/>
  <c r="B77" i="14" l="1"/>
  <c r="B78" i="13"/>
  <c r="B77" i="12"/>
  <c r="B76" i="11"/>
  <c r="A75" i="11"/>
  <c r="B78" i="10"/>
  <c r="A77" i="10"/>
  <c r="B78" i="14" l="1"/>
  <c r="B79" i="13"/>
  <c r="B78" i="12"/>
  <c r="A76" i="11"/>
  <c r="B77" i="11"/>
  <c r="A78" i="10"/>
  <c r="B79" i="10"/>
  <c r="B79" i="14" l="1"/>
  <c r="B80" i="13"/>
  <c r="B79" i="12"/>
  <c r="B78" i="11"/>
  <c r="A77" i="11"/>
  <c r="B80" i="10"/>
  <c r="A79" i="10"/>
  <c r="B80" i="14" l="1"/>
  <c r="B81" i="13"/>
  <c r="B80" i="12"/>
  <c r="A78" i="11"/>
  <c r="B79" i="11"/>
  <c r="A80" i="10"/>
  <c r="B81" i="10"/>
  <c r="B81" i="14" l="1"/>
  <c r="B82" i="13"/>
  <c r="B81" i="12"/>
  <c r="B80" i="11"/>
  <c r="A79" i="11"/>
  <c r="B82" i="10"/>
  <c r="A81" i="10"/>
  <c r="B82" i="14" l="1"/>
  <c r="B83" i="13"/>
  <c r="B82" i="12"/>
  <c r="A80" i="11"/>
  <c r="B81" i="11"/>
  <c r="A82" i="10"/>
  <c r="B83" i="10"/>
  <c r="B83" i="14" l="1"/>
  <c r="B84" i="13"/>
  <c r="B83" i="12"/>
  <c r="B82" i="11"/>
  <c r="A81" i="11"/>
  <c r="B84" i="10"/>
  <c r="A83" i="10"/>
  <c r="B84" i="14" l="1"/>
  <c r="B85" i="13"/>
  <c r="B84" i="12"/>
  <c r="A82" i="11"/>
  <c r="B83" i="11"/>
  <c r="A84" i="10"/>
  <c r="B85" i="10"/>
  <c r="B85" i="14" l="1"/>
  <c r="B86" i="13"/>
  <c r="B85" i="12"/>
  <c r="B84" i="11"/>
  <c r="A83" i="11"/>
  <c r="B86" i="10"/>
  <c r="A85" i="10"/>
  <c r="B86" i="14" l="1"/>
  <c r="B87" i="13"/>
  <c r="B86" i="12"/>
  <c r="A84" i="11"/>
  <c r="B85" i="11"/>
  <c r="A86" i="10"/>
  <c r="B87" i="10"/>
  <c r="B87" i="14" l="1"/>
  <c r="B88" i="13"/>
  <c r="B87" i="12"/>
  <c r="B86" i="11"/>
  <c r="A85" i="11"/>
  <c r="B88" i="10"/>
  <c r="A87" i="10"/>
  <c r="B88" i="14" l="1"/>
  <c r="B89" i="13"/>
  <c r="B88" i="12"/>
  <c r="A86" i="11"/>
  <c r="B87" i="11"/>
  <c r="A88" i="10"/>
  <c r="B89" i="10"/>
  <c r="B89" i="14" l="1"/>
  <c r="B90" i="13"/>
  <c r="B89" i="12"/>
  <c r="B88" i="11"/>
  <c r="A87" i="11"/>
  <c r="B90" i="10"/>
  <c r="A89" i="10"/>
  <c r="B90" i="14" l="1"/>
  <c r="B91" i="13"/>
  <c r="B90" i="12"/>
  <c r="A88" i="11"/>
  <c r="B89" i="11"/>
  <c r="A90" i="10"/>
  <c r="B91" i="10"/>
  <c r="B91" i="14" l="1"/>
  <c r="B92" i="13"/>
  <c r="B91" i="12"/>
  <c r="B90" i="11"/>
  <c r="A89" i="11"/>
  <c r="B92" i="10"/>
  <c r="A91" i="10"/>
  <c r="B92" i="14" l="1"/>
  <c r="B93" i="13"/>
  <c r="B92" i="12"/>
  <c r="A90" i="11"/>
  <c r="B91" i="11"/>
  <c r="A92" i="10"/>
  <c r="B93" i="10"/>
  <c r="B93" i="14" l="1"/>
  <c r="B94" i="13"/>
  <c r="B93" i="12"/>
  <c r="B92" i="11"/>
  <c r="A91" i="11"/>
  <c r="B94" i="10"/>
  <c r="A93" i="10"/>
  <c r="B94" i="14" l="1"/>
  <c r="B95" i="13"/>
  <c r="B94" i="12"/>
  <c r="A92" i="11"/>
  <c r="B93" i="11"/>
  <c r="A94" i="10"/>
  <c r="B95" i="10"/>
  <c r="B95" i="14" l="1"/>
  <c r="B96" i="13"/>
  <c r="B95" i="12"/>
  <c r="B94" i="11"/>
  <c r="A93" i="11"/>
  <c r="B96" i="10"/>
  <c r="A95" i="10"/>
  <c r="B96" i="14" l="1"/>
  <c r="B97" i="13"/>
  <c r="B96" i="12"/>
  <c r="A94" i="11"/>
  <c r="B95" i="11"/>
  <c r="A96" i="10"/>
  <c r="B97" i="10"/>
  <c r="B97" i="14" l="1"/>
  <c r="B98" i="13"/>
  <c r="B97" i="12"/>
  <c r="B96" i="11"/>
  <c r="A95" i="11"/>
  <c r="B98" i="10"/>
  <c r="A97" i="10"/>
  <c r="B98" i="14" l="1"/>
  <c r="B99" i="13"/>
  <c r="B98" i="12"/>
  <c r="A96" i="11"/>
  <c r="B97" i="11"/>
  <c r="A98" i="10"/>
  <c r="B99" i="10"/>
  <c r="B99" i="14" l="1"/>
  <c r="B100" i="13"/>
  <c r="B99" i="12"/>
  <c r="B98" i="11"/>
  <c r="A97" i="11"/>
  <c r="B100" i="10"/>
  <c r="A99" i="10"/>
  <c r="B100" i="14" l="1"/>
  <c r="B101" i="13"/>
  <c r="B100" i="12"/>
  <c r="A98" i="11"/>
  <c r="B99" i="11"/>
  <c r="A100" i="10"/>
  <c r="B101" i="10"/>
  <c r="B101" i="14" l="1"/>
  <c r="B102" i="13"/>
  <c r="B101" i="12"/>
  <c r="B100" i="11"/>
  <c r="A99" i="11"/>
  <c r="B102" i="10"/>
  <c r="A101" i="10"/>
  <c r="B102" i="14" l="1"/>
  <c r="B103" i="13"/>
  <c r="B102" i="12"/>
  <c r="A100" i="11"/>
  <c r="B101" i="11"/>
  <c r="A102" i="10"/>
  <c r="B103" i="10"/>
  <c r="B103" i="14" l="1"/>
  <c r="B104" i="13"/>
  <c r="B103" i="12"/>
  <c r="B102" i="11"/>
  <c r="A101" i="11"/>
  <c r="B104" i="10"/>
  <c r="A103" i="10"/>
  <c r="J4" i="13" l="1"/>
  <c r="J5" i="13"/>
  <c r="J6" i="13"/>
  <c r="D2" i="13"/>
  <c r="B104" i="14"/>
  <c r="B104" i="12"/>
  <c r="A102" i="11"/>
  <c r="B103" i="11"/>
  <c r="A104" i="10"/>
  <c r="J6" i="10"/>
  <c r="J5" i="10"/>
  <c r="J4" i="10"/>
  <c r="D2" i="10"/>
  <c r="K6" i="13" l="1"/>
  <c r="J4" i="14"/>
  <c r="K5" i="13"/>
  <c r="J5" i="14"/>
  <c r="D2" i="14"/>
  <c r="J5" i="12"/>
  <c r="D2" i="12"/>
  <c r="B104" i="11"/>
  <c r="A103" i="11"/>
  <c r="K5" i="10"/>
  <c r="K6" i="10"/>
  <c r="K5" i="14" l="1"/>
  <c r="K5" i="12"/>
  <c r="J6" i="14"/>
  <c r="K6" i="14" s="1"/>
  <c r="J6" i="12"/>
  <c r="K6" i="12" s="1"/>
  <c r="A104" i="11"/>
  <c r="J5" i="11" s="1"/>
  <c r="D2" i="11"/>
  <c r="J4" i="11" l="1"/>
  <c r="K5" i="11" s="1"/>
  <c r="J6" i="11"/>
  <c r="K6" i="11" s="1"/>
</calcChain>
</file>

<file path=xl/sharedStrings.xml><?xml version="1.0" encoding="utf-8"?>
<sst xmlns="http://schemas.openxmlformats.org/spreadsheetml/2006/main" count="162" uniqueCount="78">
  <si>
    <t>Euro STOXX 50</t>
  </si>
  <si>
    <t>Risk Free Rate</t>
  </si>
  <si>
    <t>Volatility (Index)</t>
  </si>
  <si>
    <t>Volatility (FX)</t>
  </si>
  <si>
    <t>Swiss Market Index</t>
  </si>
  <si>
    <t>FTSE 100</t>
  </si>
  <si>
    <t>Strike (% of Initial Level)</t>
  </si>
  <si>
    <t>Brownian Motions Correlation Matrix</t>
  </si>
  <si>
    <t>No. of paths</t>
  </si>
  <si>
    <t>Valuation Date</t>
  </si>
  <si>
    <t>Current Price</t>
  </si>
  <si>
    <t>Future Payout Dates</t>
  </si>
  <si>
    <t>Maturity Date</t>
  </si>
  <si>
    <t>Time to maturity</t>
  </si>
  <si>
    <t>no. of trading days from valuation date</t>
  </si>
  <si>
    <t>Payout Observation Date</t>
  </si>
  <si>
    <t>Payout Threshold</t>
  </si>
  <si>
    <t>no. of trading days from now</t>
  </si>
  <si>
    <t>Assume 253 trading days a year</t>
  </si>
  <si>
    <t>Trigger Observation Dates</t>
  </si>
  <si>
    <t>Denomination</t>
  </si>
  <si>
    <t>Correlation (Exchange Rate/Index)</t>
  </si>
  <si>
    <t>Trigger Redemption Date</t>
  </si>
  <si>
    <t>US risk free rate</t>
  </si>
  <si>
    <t>Payout Amount</t>
  </si>
  <si>
    <t>Price</t>
  </si>
  <si>
    <t>Initial Level</t>
  </si>
  <si>
    <t>Philosophy for parameter sensitivity testing</t>
  </si>
  <si>
    <t>Purpose: To observe the effect of slight changes in parameters on the model calculated derivative price</t>
  </si>
  <si>
    <t>2. Only small changes in parameters are considered</t>
  </si>
  <si>
    <t>Algorithm:</t>
  </si>
  <si>
    <t>2. Adjust the parameter to be tested, calculate the derivative price with the random numbers generated in step 1</t>
  </si>
  <si>
    <t>3. Further adjust the parameters to be tested, then repeat step 2</t>
  </si>
  <si>
    <t>4. The % change in stock price is calculated to observe the effect</t>
  </si>
  <si>
    <t>Current S1</t>
  </si>
  <si>
    <t>Derivative Price</t>
  </si>
  <si>
    <t>no. of tests</t>
  </si>
  <si>
    <t>Current S2</t>
  </si>
  <si>
    <t>Current sigma 1s</t>
  </si>
  <si>
    <t>1. Only one variable is changed in each test, other variables are kept constant, with values as stated as in the parameter page</t>
  </si>
  <si>
    <t>1. Generate a set of random numbers</t>
  </si>
  <si>
    <t>S2</t>
  </si>
  <si>
    <t>S1</t>
  </si>
  <si>
    <t>Current S3</t>
  </si>
  <si>
    <t>S3</t>
  </si>
  <si>
    <t>Sigma 1s</t>
  </si>
  <si>
    <t>Summary</t>
  </si>
  <si>
    <t>% Change</t>
  </si>
  <si>
    <t>N/A</t>
  </si>
  <si>
    <t>8811.6</t>
  </si>
  <si>
    <t>8812.6</t>
  </si>
  <si>
    <t>8813.6</t>
  </si>
  <si>
    <t>6999.9</t>
  </si>
  <si>
    <t>7000.9</t>
  </si>
  <si>
    <t>7001.9</t>
  </si>
  <si>
    <t>3160.3</t>
  </si>
  <si>
    <t>3161.3</t>
  </si>
  <si>
    <t>3159.3</t>
  </si>
  <si>
    <t>Note:</t>
  </si>
  <si>
    <t>This analysis does not serve as an estimation to option Greeks like delta, vega etc. because the payoff function of our product is unlikely to be a continuous method.</t>
  </si>
  <si>
    <t>19.17%</t>
  </si>
  <si>
    <t>18.17%</t>
  </si>
  <si>
    <t>20.17%</t>
  </si>
  <si>
    <t>16.72%</t>
  </si>
  <si>
    <t>15.72%</t>
  </si>
  <si>
    <t>17.72%</t>
  </si>
  <si>
    <t>19.00%</t>
  </si>
  <si>
    <t>18.00%</t>
  </si>
  <si>
    <t>20.00%</t>
  </si>
  <si>
    <t>-0.1950%</t>
  </si>
  <si>
    <t>0.8050%</t>
  </si>
  <si>
    <t>-1.1950%</t>
  </si>
  <si>
    <t>-0.4680%</t>
  </si>
  <si>
    <t>0.5320%</t>
  </si>
  <si>
    <t>-1.4680%</t>
  </si>
  <si>
    <t>0.9100%</t>
  </si>
  <si>
    <t>1.9100%</t>
  </si>
  <si>
    <t>-0.0900%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</si>
</sst>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"/>
    <numFmt numFmtId="165" formatCode="0.0000000%"/>
    <numFmt numFmtId="166" formatCode="0.00000%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8">
    <xf numFmtId="0" fontId="0" fillId="0" borderId="0" xfId="0"/>
    <xf numFmtId="14" fontId="0" fillId="0" borderId="0" xfId="0" applyNumberFormat="1"/>
    <xf numFmtId="0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  <xf numFmtId="49" fontId="0" fillId="0" borderId="0" xfId="0" applyNumberFormat="1"/>
    <xf numFmtId="166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'Changes in S1'!$C$4:$C$104</c:f>
              <c:numCache>
                <c:formatCode>General</c:formatCode>
                <c:ptCount val="101"/>
                <c:pt idx="0">
                  <c:v>987.00843323850359</c:v>
                </c:pt>
                <c:pt idx="1">
                  <c:v>987.01251778430674</c:v>
                </c:pt>
                <c:pt idx="2">
                  <c:v>987.02638393901429</c:v>
                </c:pt>
                <c:pt idx="3">
                  <c:v>987.03043589350887</c:v>
                </c:pt>
                <c:pt idx="4">
                  <c:v>987.03343243250811</c:v>
                </c:pt>
                <c:pt idx="5">
                  <c:v>987.03837709130619</c:v>
                </c:pt>
                <c:pt idx="6">
                  <c:v>987.04815009572485</c:v>
                </c:pt>
                <c:pt idx="7">
                  <c:v>987.05414849280487</c:v>
                </c:pt>
                <c:pt idx="8">
                  <c:v>987.0643391960557</c:v>
                </c:pt>
                <c:pt idx="9">
                  <c:v>987.07083788257626</c:v>
                </c:pt>
                <c:pt idx="10">
                  <c:v>987.07623893515392</c:v>
                </c:pt>
                <c:pt idx="11">
                  <c:v>987.08409447540703</c:v>
                </c:pt>
                <c:pt idx="12">
                  <c:v>987.08604434627466</c:v>
                </c:pt>
                <c:pt idx="13">
                  <c:v>987.08853408467417</c:v>
                </c:pt>
                <c:pt idx="14">
                  <c:v>987.09513508894292</c:v>
                </c:pt>
                <c:pt idx="15">
                  <c:v>987.09699796207747</c:v>
                </c:pt>
                <c:pt idx="16">
                  <c:v>987.09837339263481</c:v>
                </c:pt>
                <c:pt idx="17">
                  <c:v>987.1024484712276</c:v>
                </c:pt>
                <c:pt idx="18">
                  <c:v>987.10922408093688</c:v>
                </c:pt>
                <c:pt idx="19">
                  <c:v>987.11328367737087</c:v>
                </c:pt>
                <c:pt idx="20">
                  <c:v>987.11619813216612</c:v>
                </c:pt>
                <c:pt idx="21">
                  <c:v>987.12279406448226</c:v>
                </c:pt>
                <c:pt idx="22">
                  <c:v>987.12418590637674</c:v>
                </c:pt>
                <c:pt idx="23">
                  <c:v>987.17853476712116</c:v>
                </c:pt>
                <c:pt idx="24">
                  <c:v>987.18148386341636</c:v>
                </c:pt>
                <c:pt idx="25">
                  <c:v>987.18500760977713</c:v>
                </c:pt>
                <c:pt idx="26">
                  <c:v>987.18909658484552</c:v>
                </c:pt>
                <c:pt idx="27">
                  <c:v>987.19906318376638</c:v>
                </c:pt>
                <c:pt idx="28">
                  <c:v>987.20308770705162</c:v>
                </c:pt>
                <c:pt idx="29">
                  <c:v>987.2078295021123</c:v>
                </c:pt>
                <c:pt idx="30">
                  <c:v>987.20922482400601</c:v>
                </c:pt>
                <c:pt idx="31">
                  <c:v>987.21705136170124</c:v>
                </c:pt>
                <c:pt idx="32">
                  <c:v>987.22295430537247</c:v>
                </c:pt>
                <c:pt idx="33">
                  <c:v>987.23069013181066</c:v>
                </c:pt>
                <c:pt idx="34">
                  <c:v>987.23471483720346</c:v>
                </c:pt>
                <c:pt idx="35">
                  <c:v>987.25266336787172</c:v>
                </c:pt>
                <c:pt idx="36">
                  <c:v>987.2696440082658</c:v>
                </c:pt>
                <c:pt idx="37">
                  <c:v>987.29387996756509</c:v>
                </c:pt>
                <c:pt idx="38">
                  <c:v>987.29788238926903</c:v>
                </c:pt>
                <c:pt idx="39">
                  <c:v>987.30189401584425</c:v>
                </c:pt>
                <c:pt idx="40">
                  <c:v>987.30434900113255</c:v>
                </c:pt>
                <c:pt idx="41">
                  <c:v>987.30569562775042</c:v>
                </c:pt>
                <c:pt idx="42">
                  <c:v>987.31806576091583</c:v>
                </c:pt>
                <c:pt idx="43">
                  <c:v>987.32407428748729</c:v>
                </c:pt>
                <c:pt idx="44">
                  <c:v>987.33678149236152</c:v>
                </c:pt>
                <c:pt idx="45">
                  <c:v>987.34570513925246</c:v>
                </c:pt>
                <c:pt idx="46">
                  <c:v>987.35843109623431</c:v>
                </c:pt>
                <c:pt idx="47">
                  <c:v>987.36263686672112</c:v>
                </c:pt>
                <c:pt idx="48">
                  <c:v>987.369169593533</c:v>
                </c:pt>
                <c:pt idx="49">
                  <c:v>987.36888012098518</c:v>
                </c:pt>
                <c:pt idx="50">
                  <c:v>987.37411536383775</c:v>
                </c:pt>
                <c:pt idx="51">
                  <c:v>987.3845336117181</c:v>
                </c:pt>
                <c:pt idx="52">
                  <c:v>987.3885227313383</c:v>
                </c:pt>
                <c:pt idx="53">
                  <c:v>987.3987544371364</c:v>
                </c:pt>
                <c:pt idx="54">
                  <c:v>987.40273108195379</c:v>
                </c:pt>
                <c:pt idx="55">
                  <c:v>987.40956053624177</c:v>
                </c:pt>
                <c:pt idx="56">
                  <c:v>987.41451489711744</c:v>
                </c:pt>
                <c:pt idx="57">
                  <c:v>987.41797405925024</c:v>
                </c:pt>
                <c:pt idx="58">
                  <c:v>987.44811823346367</c:v>
                </c:pt>
                <c:pt idx="59">
                  <c:v>987.44682026171267</c:v>
                </c:pt>
                <c:pt idx="60">
                  <c:v>987.45713811966766</c:v>
                </c:pt>
                <c:pt idx="61">
                  <c:v>987.46360730672336</c:v>
                </c:pt>
                <c:pt idx="62">
                  <c:v>987.46779329686649</c:v>
                </c:pt>
                <c:pt idx="63">
                  <c:v>987.46639710320142</c:v>
                </c:pt>
                <c:pt idx="64">
                  <c:v>987.46999152714886</c:v>
                </c:pt>
                <c:pt idx="65">
                  <c:v>987.47243532177583</c:v>
                </c:pt>
                <c:pt idx="66">
                  <c:v>987.47587722692424</c:v>
                </c:pt>
                <c:pt idx="67">
                  <c:v>987.47985673212395</c:v>
                </c:pt>
                <c:pt idx="68">
                  <c:v>987.48752826757891</c:v>
                </c:pt>
                <c:pt idx="69">
                  <c:v>987.49783619528193</c:v>
                </c:pt>
                <c:pt idx="70">
                  <c:v>987.50880423457681</c:v>
                </c:pt>
                <c:pt idx="71">
                  <c:v>987.51276249016473</c:v>
                </c:pt>
                <c:pt idx="72">
                  <c:v>987.51672074575242</c:v>
                </c:pt>
                <c:pt idx="73">
                  <c:v>987.53704600443689</c:v>
                </c:pt>
                <c:pt idx="74">
                  <c:v>987.5439694005272</c:v>
                </c:pt>
                <c:pt idx="75">
                  <c:v>987.54043319488005</c:v>
                </c:pt>
                <c:pt idx="76">
                  <c:v>987.5457308306552</c:v>
                </c:pt>
                <c:pt idx="77">
                  <c:v>987.5497922856481</c:v>
                </c:pt>
                <c:pt idx="78">
                  <c:v>987.5506410379694</c:v>
                </c:pt>
                <c:pt idx="79">
                  <c:v>987.55355217896545</c:v>
                </c:pt>
                <c:pt idx="80">
                  <c:v>987.55751656312998</c:v>
                </c:pt>
                <c:pt idx="81">
                  <c:v>987.56391581516198</c:v>
                </c:pt>
                <c:pt idx="82">
                  <c:v>987.56803784658598</c:v>
                </c:pt>
                <c:pt idx="83">
                  <c:v>987.58340193286767</c:v>
                </c:pt>
                <c:pt idx="84">
                  <c:v>987.58739063038331</c:v>
                </c:pt>
                <c:pt idx="85">
                  <c:v>987.58837526571199</c:v>
                </c:pt>
                <c:pt idx="86">
                  <c:v>987.59230476688958</c:v>
                </c:pt>
                <c:pt idx="87">
                  <c:v>987.59178838889056</c:v>
                </c:pt>
                <c:pt idx="88">
                  <c:v>987.5982638925243</c:v>
                </c:pt>
                <c:pt idx="89">
                  <c:v>987.60350983608737</c:v>
                </c:pt>
                <c:pt idx="90">
                  <c:v>987.60219522548698</c:v>
                </c:pt>
                <c:pt idx="91">
                  <c:v>987.60611976899406</c:v>
                </c:pt>
                <c:pt idx="92">
                  <c:v>987.61029372532687</c:v>
                </c:pt>
                <c:pt idx="93">
                  <c:v>987.62165443090282</c:v>
                </c:pt>
                <c:pt idx="94">
                  <c:v>987.63833366737254</c:v>
                </c:pt>
                <c:pt idx="95">
                  <c:v>987.64063868701305</c:v>
                </c:pt>
                <c:pt idx="96">
                  <c:v>987.64403712094429</c:v>
                </c:pt>
                <c:pt idx="97">
                  <c:v>987.64808757828655</c:v>
                </c:pt>
                <c:pt idx="98">
                  <c:v>987.65095460889097</c:v>
                </c:pt>
                <c:pt idx="99">
                  <c:v>987.65561080483531</c:v>
                </c:pt>
                <c:pt idx="100">
                  <c:v>987.65902049050987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781-4537-8D50-C2B95365BD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138880"/>
        <c:axId val="108140800"/>
      </c:lineChart>
      <c:catAx>
        <c:axId val="1081388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40800"/>
        <c:crosses val="autoZero"/>
        <c:auto val="1"/>
        <c:lblAlgn val="ctr"/>
        <c:lblOffset val="100"/>
        <c:noMultiLvlLbl val="0"/>
      </c:catAx>
      <c:valAx>
        <c:axId val="10814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138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'Changes in S2'!$C$4:$C$104</c:f>
              <c:numCache>
                <c:formatCode>General</c:formatCode>
                <c:ptCount val="101"/>
                <c:pt idx="0">
                  <c:v>976.80043550994014</c:v>
                </c:pt>
                <c:pt idx="1">
                  <c:v>976.80067287790655</c:v>
                </c:pt>
                <c:pt idx="2">
                  <c:v>976.80091024587352</c:v>
                </c:pt>
                <c:pt idx="3">
                  <c:v>976.80117524197215</c:v>
                </c:pt>
                <c:pt idx="4">
                  <c:v>976.80141260993855</c:v>
                </c:pt>
                <c:pt idx="5">
                  <c:v>976.80164997790496</c:v>
                </c:pt>
                <c:pt idx="6">
                  <c:v>976.80188734587114</c:v>
                </c:pt>
                <c:pt idx="7">
                  <c:v>976.802124713838</c:v>
                </c:pt>
                <c:pt idx="8">
                  <c:v>976.80236208180474</c:v>
                </c:pt>
                <c:pt idx="9">
                  <c:v>976.80259944977183</c:v>
                </c:pt>
                <c:pt idx="10">
                  <c:v>976.8028368177379</c:v>
                </c:pt>
                <c:pt idx="11">
                  <c:v>976.80432013639995</c:v>
                </c:pt>
                <c:pt idx="12">
                  <c:v>976.80455750436704</c:v>
                </c:pt>
                <c:pt idx="13">
                  <c:v>976.80479487233367</c:v>
                </c:pt>
                <c:pt idx="14">
                  <c:v>976.80503141288659</c:v>
                </c:pt>
                <c:pt idx="15">
                  <c:v>976.80526776566489</c:v>
                </c:pt>
                <c:pt idx="16">
                  <c:v>976.80550411844365</c:v>
                </c:pt>
                <c:pt idx="17">
                  <c:v>976.80574047122229</c:v>
                </c:pt>
                <c:pt idx="18">
                  <c:v>976.80597682399991</c:v>
                </c:pt>
                <c:pt idx="19">
                  <c:v>976.80621317677867</c:v>
                </c:pt>
                <c:pt idx="20">
                  <c:v>976.80644952955697</c:v>
                </c:pt>
                <c:pt idx="21">
                  <c:v>976.80668588233607</c:v>
                </c:pt>
                <c:pt idx="22">
                  <c:v>976.80692223511471</c:v>
                </c:pt>
                <c:pt idx="23">
                  <c:v>976.80961379580071</c:v>
                </c:pt>
                <c:pt idx="24">
                  <c:v>976.80985014857959</c:v>
                </c:pt>
                <c:pt idx="25">
                  <c:v>976.810086501358</c:v>
                </c:pt>
                <c:pt idx="26">
                  <c:v>976.81032285413653</c:v>
                </c:pt>
                <c:pt idx="27">
                  <c:v>976.81055920691517</c:v>
                </c:pt>
                <c:pt idx="28">
                  <c:v>976.8107955596937</c:v>
                </c:pt>
                <c:pt idx="29">
                  <c:v>976.81103191247234</c:v>
                </c:pt>
                <c:pt idx="30">
                  <c:v>976.81250507858169</c:v>
                </c:pt>
                <c:pt idx="31">
                  <c:v>976.81274143136034</c:v>
                </c:pt>
                <c:pt idx="32">
                  <c:v>976.81297778413875</c:v>
                </c:pt>
                <c:pt idx="33">
                  <c:v>976.82180736459395</c:v>
                </c:pt>
                <c:pt idx="34">
                  <c:v>976.82204371737203</c:v>
                </c:pt>
                <c:pt idx="35">
                  <c:v>976.82228007015078</c:v>
                </c:pt>
                <c:pt idx="36">
                  <c:v>976.82252562779956</c:v>
                </c:pt>
                <c:pt idx="37">
                  <c:v>976.82276198057741</c:v>
                </c:pt>
                <c:pt idx="38">
                  <c:v>976.82244831534183</c:v>
                </c:pt>
                <c:pt idx="39">
                  <c:v>976.82268466812059</c:v>
                </c:pt>
                <c:pt idx="40">
                  <c:v>976.82292102089912</c:v>
                </c:pt>
                <c:pt idx="41">
                  <c:v>976.82315737367753</c:v>
                </c:pt>
                <c:pt idx="42">
                  <c:v>976.82339372645617</c:v>
                </c:pt>
                <c:pt idx="43">
                  <c:v>976.82363007923459</c:v>
                </c:pt>
                <c:pt idx="44">
                  <c:v>976.82386643201301</c:v>
                </c:pt>
                <c:pt idx="45">
                  <c:v>976.82410278479199</c:v>
                </c:pt>
                <c:pt idx="46">
                  <c:v>976.82433913756961</c:v>
                </c:pt>
                <c:pt idx="47">
                  <c:v>976.82457549034916</c:v>
                </c:pt>
                <c:pt idx="48">
                  <c:v>976.82481184312758</c:v>
                </c:pt>
                <c:pt idx="49">
                  <c:v>976.82504819590599</c:v>
                </c:pt>
                <c:pt idx="50">
                  <c:v>976.82528454868384</c:v>
                </c:pt>
                <c:pt idx="51">
                  <c:v>976.82552090146316</c:v>
                </c:pt>
                <c:pt idx="52">
                  <c:v>976.82575725424124</c:v>
                </c:pt>
                <c:pt idx="53">
                  <c:v>976.82599360701965</c:v>
                </c:pt>
                <c:pt idx="54">
                  <c:v>976.82622995979773</c:v>
                </c:pt>
                <c:pt idx="55">
                  <c:v>976.82646631257592</c:v>
                </c:pt>
                <c:pt idx="56">
                  <c:v>976.82670266535547</c:v>
                </c:pt>
                <c:pt idx="57">
                  <c:v>976.82534800489611</c:v>
                </c:pt>
                <c:pt idx="58">
                  <c:v>976.82558435767385</c:v>
                </c:pt>
                <c:pt idx="59">
                  <c:v>976.82582071045272</c:v>
                </c:pt>
                <c:pt idx="60">
                  <c:v>976.82605706323068</c:v>
                </c:pt>
                <c:pt idx="61">
                  <c:v>976.82629341601012</c:v>
                </c:pt>
                <c:pt idx="62">
                  <c:v>976.82652976878842</c:v>
                </c:pt>
                <c:pt idx="63">
                  <c:v>976.82676612156661</c:v>
                </c:pt>
                <c:pt idx="64">
                  <c:v>976.82700247434593</c:v>
                </c:pt>
                <c:pt idx="65">
                  <c:v>976.82723882712321</c:v>
                </c:pt>
                <c:pt idx="66">
                  <c:v>976.82747517990219</c:v>
                </c:pt>
                <c:pt idx="67">
                  <c:v>976.82771153268095</c:v>
                </c:pt>
                <c:pt idx="68">
                  <c:v>976.82794788545982</c:v>
                </c:pt>
                <c:pt idx="69">
                  <c:v>976.82659322499921</c:v>
                </c:pt>
                <c:pt idx="70">
                  <c:v>976.82682957777831</c:v>
                </c:pt>
                <c:pt idx="71">
                  <c:v>976.82707541726199</c:v>
                </c:pt>
                <c:pt idx="72">
                  <c:v>976.82731177003984</c:v>
                </c:pt>
                <c:pt idx="73">
                  <c:v>976.82754812281905</c:v>
                </c:pt>
                <c:pt idx="74">
                  <c:v>976.82778447559826</c:v>
                </c:pt>
                <c:pt idx="75">
                  <c:v>976.82802082837634</c:v>
                </c:pt>
                <c:pt idx="76">
                  <c:v>976.8218437831481</c:v>
                </c:pt>
                <c:pt idx="77">
                  <c:v>976.82208013592754</c:v>
                </c:pt>
                <c:pt idx="78">
                  <c:v>976.82231648870538</c:v>
                </c:pt>
                <c:pt idx="79">
                  <c:v>976.82259852830691</c:v>
                </c:pt>
                <c:pt idx="80">
                  <c:v>976.82283488108499</c:v>
                </c:pt>
                <c:pt idx="81">
                  <c:v>976.82307123386374</c:v>
                </c:pt>
                <c:pt idx="82">
                  <c:v>976.82330758664239</c:v>
                </c:pt>
                <c:pt idx="83">
                  <c:v>976.82354393942057</c:v>
                </c:pt>
                <c:pt idx="84">
                  <c:v>976.82378029219933</c:v>
                </c:pt>
                <c:pt idx="85">
                  <c:v>976.82401664497797</c:v>
                </c:pt>
                <c:pt idx="86">
                  <c:v>976.82425299775616</c:v>
                </c:pt>
                <c:pt idx="87">
                  <c:v>976.8244884599211</c:v>
                </c:pt>
                <c:pt idx="88">
                  <c:v>976.82472389143277</c:v>
                </c:pt>
                <c:pt idx="89">
                  <c:v>976.82495932294466</c:v>
                </c:pt>
                <c:pt idx="90">
                  <c:v>976.82519475445736</c:v>
                </c:pt>
                <c:pt idx="91">
                  <c:v>976.82543018596914</c:v>
                </c:pt>
                <c:pt idx="92">
                  <c:v>976.82566561748149</c:v>
                </c:pt>
                <c:pt idx="93">
                  <c:v>976.8259010489943</c:v>
                </c:pt>
                <c:pt idx="94">
                  <c:v>976.82614568988424</c:v>
                </c:pt>
                <c:pt idx="95">
                  <c:v>976.82638112139648</c:v>
                </c:pt>
                <c:pt idx="96">
                  <c:v>976.82661621881266</c:v>
                </c:pt>
                <c:pt idx="97">
                  <c:v>976.82685073245716</c:v>
                </c:pt>
                <c:pt idx="98">
                  <c:v>976.82708524610086</c:v>
                </c:pt>
                <c:pt idx="99">
                  <c:v>976.82731975974423</c:v>
                </c:pt>
                <c:pt idx="100">
                  <c:v>976.82755427338896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3B-4F9C-92A0-B31B69A8A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542144"/>
        <c:axId val="119554048"/>
      </c:lineChart>
      <c:catAx>
        <c:axId val="11954214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54048"/>
        <c:crosses val="autoZero"/>
        <c:auto val="1"/>
        <c:lblAlgn val="ctr"/>
        <c:lblOffset val="100"/>
        <c:noMultiLvlLbl val="0"/>
      </c:catAx>
      <c:valAx>
        <c:axId val="11955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542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'Changes in S3'!$C$4:$C$104</c:f>
              <c:numCache>
                <c:formatCode>General</c:formatCode>
                <c:ptCount val="101"/>
                <c:pt idx="0">
                  <c:v>975.03499554103064</c:v>
                </c:pt>
                <c:pt idx="1">
                  <c:v>975.03597304285779</c:v>
                </c:pt>
                <c:pt idx="2">
                  <c:v>975.03695054468301</c:v>
                </c:pt>
                <c:pt idx="3">
                  <c:v>975.03635586540383</c:v>
                </c:pt>
                <c:pt idx="4">
                  <c:v>975.03856097118705</c:v>
                </c:pt>
                <c:pt idx="5">
                  <c:v>975.03953847301148</c:v>
                </c:pt>
                <c:pt idx="6">
                  <c:v>975.04051597483885</c:v>
                </c:pt>
                <c:pt idx="7">
                  <c:v>975.04151188640367</c:v>
                </c:pt>
                <c:pt idx="8">
                  <c:v>975.04248938823002</c:v>
                </c:pt>
                <c:pt idx="9">
                  <c:v>975.04346689005524</c:v>
                </c:pt>
                <c:pt idx="10">
                  <c:v>975.04444439188194</c:v>
                </c:pt>
                <c:pt idx="11">
                  <c:v>975.04542189370875</c:v>
                </c:pt>
                <c:pt idx="12">
                  <c:v>975.04639939553488</c:v>
                </c:pt>
                <c:pt idx="13">
                  <c:v>975.04864125779602</c:v>
                </c:pt>
                <c:pt idx="14">
                  <c:v>975.04961875962272</c:v>
                </c:pt>
                <c:pt idx="15">
                  <c:v>975.05059626144896</c:v>
                </c:pt>
                <c:pt idx="16">
                  <c:v>975.05289440891488</c:v>
                </c:pt>
                <c:pt idx="17">
                  <c:v>975.05387191074215</c:v>
                </c:pt>
                <c:pt idx="18">
                  <c:v>975.05272972040927</c:v>
                </c:pt>
                <c:pt idx="19">
                  <c:v>975.05370722223586</c:v>
                </c:pt>
                <c:pt idx="20">
                  <c:v>975.05469386142636</c:v>
                </c:pt>
                <c:pt idx="21">
                  <c:v>975.05567136325135</c:v>
                </c:pt>
                <c:pt idx="22">
                  <c:v>975.05664886507839</c:v>
                </c:pt>
                <c:pt idx="23">
                  <c:v>975.0576263669052</c:v>
                </c:pt>
                <c:pt idx="24">
                  <c:v>975.06667790609765</c:v>
                </c:pt>
                <c:pt idx="25">
                  <c:v>975.06765540792446</c:v>
                </c:pt>
                <c:pt idx="26">
                  <c:v>975.06863290975082</c:v>
                </c:pt>
                <c:pt idx="27">
                  <c:v>975.06961041157604</c:v>
                </c:pt>
                <c:pt idx="28">
                  <c:v>975.06945722632304</c:v>
                </c:pt>
                <c:pt idx="29">
                  <c:v>975.07043472814757</c:v>
                </c:pt>
                <c:pt idx="30">
                  <c:v>975.07215761129908</c:v>
                </c:pt>
                <c:pt idx="31">
                  <c:v>975.07313511312452</c:v>
                </c:pt>
                <c:pt idx="32">
                  <c:v>975.07536777051632</c:v>
                </c:pt>
                <c:pt idx="33">
                  <c:v>975.07475425910377</c:v>
                </c:pt>
                <c:pt idx="34">
                  <c:v>975.08067901425477</c:v>
                </c:pt>
                <c:pt idx="35">
                  <c:v>975.08168490555875</c:v>
                </c:pt>
                <c:pt idx="36">
                  <c:v>975.08266126567139</c:v>
                </c:pt>
                <c:pt idx="37">
                  <c:v>975.08489263440936</c:v>
                </c:pt>
                <c:pt idx="38">
                  <c:v>975.08712400314653</c:v>
                </c:pt>
                <c:pt idx="39">
                  <c:v>975.08756627717958</c:v>
                </c:pt>
                <c:pt idx="40">
                  <c:v>975.0885424903496</c:v>
                </c:pt>
                <c:pt idx="41">
                  <c:v>975.08951870352394</c:v>
                </c:pt>
                <c:pt idx="42">
                  <c:v>975.09049491669714</c:v>
                </c:pt>
                <c:pt idx="43">
                  <c:v>975.09147112986739</c:v>
                </c:pt>
                <c:pt idx="44">
                  <c:v>975.09244734304093</c:v>
                </c:pt>
                <c:pt idx="45">
                  <c:v>975.09343276108427</c:v>
                </c:pt>
                <c:pt idx="46">
                  <c:v>975.09440897425566</c:v>
                </c:pt>
                <c:pt idx="47">
                  <c:v>975.09666873247181</c:v>
                </c:pt>
                <c:pt idx="48">
                  <c:v>975.0976816391285</c:v>
                </c:pt>
                <c:pt idx="49">
                  <c:v>975.09865785229977</c:v>
                </c:pt>
                <c:pt idx="50">
                  <c:v>975.0996340654732</c:v>
                </c:pt>
                <c:pt idx="51">
                  <c:v>975.10062868838429</c:v>
                </c:pt>
                <c:pt idx="52">
                  <c:v>975.10161410642559</c:v>
                </c:pt>
                <c:pt idx="53">
                  <c:v>975.10259031960027</c:v>
                </c:pt>
                <c:pt idx="54">
                  <c:v>975.10358536490708</c:v>
                </c:pt>
                <c:pt idx="55">
                  <c:v>975.1045615780788</c:v>
                </c:pt>
                <c:pt idx="56">
                  <c:v>975.1055368594283</c:v>
                </c:pt>
                <c:pt idx="57">
                  <c:v>975.10597778474187</c:v>
                </c:pt>
                <c:pt idx="58">
                  <c:v>975.1069515226834</c:v>
                </c:pt>
                <c:pt idx="59">
                  <c:v>975.10473445600792</c:v>
                </c:pt>
                <c:pt idx="60">
                  <c:v>975.10570785794221</c:v>
                </c:pt>
                <c:pt idx="61">
                  <c:v>975.10668003035312</c:v>
                </c:pt>
                <c:pt idx="62">
                  <c:v>975.10765220276653</c:v>
                </c:pt>
                <c:pt idx="63">
                  <c:v>975.10864271741207</c:v>
                </c:pt>
                <c:pt idx="64">
                  <c:v>975.10961488982412</c:v>
                </c:pt>
                <c:pt idx="65">
                  <c:v>975.1118325047438</c:v>
                </c:pt>
                <c:pt idx="66">
                  <c:v>975.1121011003504</c:v>
                </c:pt>
                <c:pt idx="67">
                  <c:v>975.11307192421987</c:v>
                </c:pt>
                <c:pt idx="68">
                  <c:v>975.11404274809217</c:v>
                </c:pt>
                <c:pt idx="69">
                  <c:v>975.11502270932726</c:v>
                </c:pt>
                <c:pt idx="70">
                  <c:v>975.1159935331973</c:v>
                </c:pt>
                <c:pt idx="71">
                  <c:v>975.11696435706915</c:v>
                </c:pt>
                <c:pt idx="72">
                  <c:v>975.1228455967572</c:v>
                </c:pt>
                <c:pt idx="73">
                  <c:v>975.12271638459742</c:v>
                </c:pt>
                <c:pt idx="74">
                  <c:v>975.12368720846939</c:v>
                </c:pt>
                <c:pt idx="75">
                  <c:v>975.1246580323384</c:v>
                </c:pt>
                <c:pt idx="76">
                  <c:v>975.12405567912288</c:v>
                </c:pt>
                <c:pt idx="77">
                  <c:v>975.12628975624602</c:v>
                </c:pt>
                <c:pt idx="78">
                  <c:v>975.12725926173596</c:v>
                </c:pt>
                <c:pt idx="79">
                  <c:v>975.13293770995995</c:v>
                </c:pt>
                <c:pt idx="80">
                  <c:v>975.13335719743486</c:v>
                </c:pt>
                <c:pt idx="81">
                  <c:v>975.13557265362158</c:v>
                </c:pt>
                <c:pt idx="82">
                  <c:v>975.13654215911288</c:v>
                </c:pt>
                <c:pt idx="83">
                  <c:v>975.1375116646027</c:v>
                </c:pt>
                <c:pt idx="84">
                  <c:v>975.13848117009172</c:v>
                </c:pt>
                <c:pt idx="85">
                  <c:v>975.13945067558438</c:v>
                </c:pt>
                <c:pt idx="86">
                  <c:v>975.14042018107227</c:v>
                </c:pt>
                <c:pt idx="87">
                  <c:v>975.14138968656391</c:v>
                </c:pt>
                <c:pt idx="88">
                  <c:v>975.1423774667835</c:v>
                </c:pt>
                <c:pt idx="89">
                  <c:v>975.14334697227287</c:v>
                </c:pt>
                <c:pt idx="90">
                  <c:v>975.14432589382955</c:v>
                </c:pt>
                <c:pt idx="91">
                  <c:v>975.14529539932096</c:v>
                </c:pt>
                <c:pt idx="92">
                  <c:v>975.14626490480964</c:v>
                </c:pt>
                <c:pt idx="93">
                  <c:v>975.15091722216346</c:v>
                </c:pt>
                <c:pt idx="94">
                  <c:v>975.15188672765282</c:v>
                </c:pt>
                <c:pt idx="95">
                  <c:v>975.15285623314207</c:v>
                </c:pt>
                <c:pt idx="96">
                  <c:v>975.15382573863235</c:v>
                </c:pt>
                <c:pt idx="97">
                  <c:v>975.15748937928493</c:v>
                </c:pt>
                <c:pt idx="98">
                  <c:v>975.15845888477543</c:v>
                </c:pt>
                <c:pt idx="99">
                  <c:v>975.15971042434148</c:v>
                </c:pt>
                <c:pt idx="100">
                  <c:v>975.16067731924682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5D-4643-90C2-6CE6FC68C6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5242368"/>
        <c:axId val="125244928"/>
      </c:lineChart>
      <c:catAx>
        <c:axId val="1252423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4928"/>
        <c:crosses val="autoZero"/>
        <c:auto val="1"/>
        <c:lblAlgn val="ctr"/>
        <c:lblOffset val="100"/>
        <c:noMultiLvlLbl val="0"/>
      </c:catAx>
      <c:valAx>
        <c:axId val="12524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242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'Changes in sigma_S1'!$C$4:$C$104</c:f>
              <c:numCache>
                <c:formatCode>General</c:formatCode>
                <c:ptCount val="101"/>
                <c:pt idx="0">
                  <c:v>994.38593433101187</c:v>
                </c:pt>
                <c:pt idx="1">
                  <c:v>994.16351993304079</c:v>
                </c:pt>
                <c:pt idx="2">
                  <c:v>993.921843445013</c:v>
                </c:pt>
                <c:pt idx="3">
                  <c:v>993.6026068549304</c:v>
                </c:pt>
                <c:pt idx="4">
                  <c:v>993.35109153460667</c:v>
                </c:pt>
                <c:pt idx="5">
                  <c:v>993.09659170865825</c:v>
                </c:pt>
                <c:pt idx="6">
                  <c:v>992.78268676064499</c:v>
                </c:pt>
                <c:pt idx="7">
                  <c:v>992.53158314168434</c:v>
                </c:pt>
                <c:pt idx="8">
                  <c:v>992.23555527015424</c:v>
                </c:pt>
                <c:pt idx="9">
                  <c:v>991.98119845054089</c:v>
                </c:pt>
                <c:pt idx="10">
                  <c:v>991.7042100225832</c:v>
                </c:pt>
                <c:pt idx="11">
                  <c:v>991.41357765046689</c:v>
                </c:pt>
                <c:pt idx="12">
                  <c:v>991.12242151578062</c:v>
                </c:pt>
                <c:pt idx="13">
                  <c:v>990.85993270132997</c:v>
                </c:pt>
                <c:pt idx="14">
                  <c:v>990.57327523106073</c:v>
                </c:pt>
                <c:pt idx="15">
                  <c:v>990.26643244895729</c:v>
                </c:pt>
                <c:pt idx="16">
                  <c:v>989.978005112858</c:v>
                </c:pt>
                <c:pt idx="17">
                  <c:v>989.66294817594508</c:v>
                </c:pt>
                <c:pt idx="18">
                  <c:v>989.37159589240457</c:v>
                </c:pt>
                <c:pt idx="19">
                  <c:v>989.05170256431143</c:v>
                </c:pt>
                <c:pt idx="20">
                  <c:v>988.72123936637536</c:v>
                </c:pt>
                <c:pt idx="21">
                  <c:v>988.37801370924376</c:v>
                </c:pt>
                <c:pt idx="22">
                  <c:v>988.05601417826938</c:v>
                </c:pt>
                <c:pt idx="23">
                  <c:v>987.73799517852513</c:v>
                </c:pt>
                <c:pt idx="24">
                  <c:v>987.39909674172452</c:v>
                </c:pt>
                <c:pt idx="25">
                  <c:v>987.0473701184635</c:v>
                </c:pt>
                <c:pt idx="26">
                  <c:v>986.74341369848685</c:v>
                </c:pt>
                <c:pt idx="27">
                  <c:v>986.39438578903457</c:v>
                </c:pt>
                <c:pt idx="28">
                  <c:v>986.08958381705509</c:v>
                </c:pt>
                <c:pt idx="29">
                  <c:v>985.75668489096154</c:v>
                </c:pt>
                <c:pt idx="30">
                  <c:v>985.41967533677928</c:v>
                </c:pt>
                <c:pt idx="31">
                  <c:v>985.06116190796115</c:v>
                </c:pt>
                <c:pt idx="32">
                  <c:v>984.72012004518297</c:v>
                </c:pt>
                <c:pt idx="33">
                  <c:v>984.33592626570282</c:v>
                </c:pt>
                <c:pt idx="34">
                  <c:v>983.95093267825735</c:v>
                </c:pt>
                <c:pt idx="35">
                  <c:v>983.61635994238611</c:v>
                </c:pt>
                <c:pt idx="36">
                  <c:v>983.28995859452584</c:v>
                </c:pt>
                <c:pt idx="37">
                  <c:v>982.95049950448515</c:v>
                </c:pt>
                <c:pt idx="38">
                  <c:v>982.60066643147923</c:v>
                </c:pt>
                <c:pt idx="39">
                  <c:v>982.27097443524974</c:v>
                </c:pt>
                <c:pt idx="40">
                  <c:v>981.97588193630202</c:v>
                </c:pt>
                <c:pt idx="41">
                  <c:v>981.65248484564711</c:v>
                </c:pt>
                <c:pt idx="42">
                  <c:v>981.25790797252853</c:v>
                </c:pt>
                <c:pt idx="43">
                  <c:v>980.84943608194908</c:v>
                </c:pt>
                <c:pt idx="44">
                  <c:v>980.47735447859191</c:v>
                </c:pt>
                <c:pt idx="45">
                  <c:v>980.12021490892153</c:v>
                </c:pt>
                <c:pt idx="46">
                  <c:v>979.77976923318931</c:v>
                </c:pt>
                <c:pt idx="47">
                  <c:v>979.39297788796193</c:v>
                </c:pt>
                <c:pt idx="48">
                  <c:v>979.01068506842921</c:v>
                </c:pt>
                <c:pt idx="49">
                  <c:v>978.65680631526277</c:v>
                </c:pt>
                <c:pt idx="50">
                  <c:v>978.25147344368906</c:v>
                </c:pt>
                <c:pt idx="51">
                  <c:v>977.87331167843399</c:v>
                </c:pt>
                <c:pt idx="52">
                  <c:v>977.47194690977619</c:v>
                </c:pt>
                <c:pt idx="53">
                  <c:v>977.06707162492262</c:v>
                </c:pt>
                <c:pt idx="54">
                  <c:v>976.69354458379348</c:v>
                </c:pt>
                <c:pt idx="55">
                  <c:v>976.31973205384679</c:v>
                </c:pt>
                <c:pt idx="56">
                  <c:v>975.92288560822192</c:v>
                </c:pt>
                <c:pt idx="57">
                  <c:v>975.51679371079467</c:v>
                </c:pt>
                <c:pt idx="58">
                  <c:v>975.12523625872268</c:v>
                </c:pt>
                <c:pt idx="59">
                  <c:v>974.72813358928738</c:v>
                </c:pt>
                <c:pt idx="60">
                  <c:v>974.3033014913226</c:v>
                </c:pt>
                <c:pt idx="61">
                  <c:v>973.91487691241025</c:v>
                </c:pt>
                <c:pt idx="62">
                  <c:v>973.56444926817096</c:v>
                </c:pt>
                <c:pt idx="63">
                  <c:v>973.12946967136668</c:v>
                </c:pt>
                <c:pt idx="64">
                  <c:v>972.73201661891699</c:v>
                </c:pt>
                <c:pt idx="65">
                  <c:v>972.32213019064875</c:v>
                </c:pt>
                <c:pt idx="66">
                  <c:v>971.88637238295644</c:v>
                </c:pt>
                <c:pt idx="67">
                  <c:v>971.50392071892156</c:v>
                </c:pt>
                <c:pt idx="68">
                  <c:v>971.08825913516591</c:v>
                </c:pt>
                <c:pt idx="69">
                  <c:v>970.71668429209319</c:v>
                </c:pt>
                <c:pt idx="70">
                  <c:v>970.32943812033659</c:v>
                </c:pt>
                <c:pt idx="71">
                  <c:v>969.93700224923953</c:v>
                </c:pt>
                <c:pt idx="72">
                  <c:v>969.54316121261866</c:v>
                </c:pt>
                <c:pt idx="73">
                  <c:v>969.11910881967844</c:v>
                </c:pt>
                <c:pt idx="74">
                  <c:v>968.73621638897259</c:v>
                </c:pt>
                <c:pt idx="75">
                  <c:v>968.33499070439245</c:v>
                </c:pt>
                <c:pt idx="76">
                  <c:v>967.92699976614233</c:v>
                </c:pt>
                <c:pt idx="77">
                  <c:v>967.51651931504716</c:v>
                </c:pt>
                <c:pt idx="78">
                  <c:v>967.09420902593843</c:v>
                </c:pt>
                <c:pt idx="79">
                  <c:v>966.65536803497662</c:v>
                </c:pt>
                <c:pt idx="80">
                  <c:v>966.23501673606222</c:v>
                </c:pt>
                <c:pt idx="81">
                  <c:v>965.79407830501225</c:v>
                </c:pt>
                <c:pt idx="82">
                  <c:v>965.36963442901538</c:v>
                </c:pt>
                <c:pt idx="83">
                  <c:v>964.93381111868359</c:v>
                </c:pt>
                <c:pt idx="84">
                  <c:v>964.52812508309023</c:v>
                </c:pt>
                <c:pt idx="85">
                  <c:v>964.06449183425866</c:v>
                </c:pt>
                <c:pt idx="86">
                  <c:v>963.66798809438103</c:v>
                </c:pt>
                <c:pt idx="87">
                  <c:v>963.24534704220116</c:v>
                </c:pt>
                <c:pt idx="88">
                  <c:v>962.82938113846546</c:v>
                </c:pt>
                <c:pt idx="89">
                  <c:v>962.39904121538291</c:v>
                </c:pt>
                <c:pt idx="90">
                  <c:v>962.00479616183895</c:v>
                </c:pt>
                <c:pt idx="91">
                  <c:v>961.52797099978579</c:v>
                </c:pt>
                <c:pt idx="92">
                  <c:v>961.07255149605191</c:v>
                </c:pt>
                <c:pt idx="93">
                  <c:v>960.61011383606206</c:v>
                </c:pt>
                <c:pt idx="94">
                  <c:v>960.17604657943343</c:v>
                </c:pt>
                <c:pt idx="95">
                  <c:v>959.70012271087626</c:v>
                </c:pt>
                <c:pt idx="96">
                  <c:v>959.26015629527296</c:v>
                </c:pt>
                <c:pt idx="97">
                  <c:v>958.85867723463184</c:v>
                </c:pt>
                <c:pt idx="98">
                  <c:v>958.43399752830078</c:v>
                </c:pt>
                <c:pt idx="99">
                  <c:v>958.01333861903004</c:v>
                </c:pt>
                <c:pt idx="100">
                  <c:v>957.56181365871657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5316608"/>
        <c:axId val="135318528"/>
      </c:lineChart>
      <c:catAx>
        <c:axId val="135316608"/>
        <c:scaling>
          <c:orientation val="minMax"/>
        </c:scaling>
        <c:delete val="0"/>
        <c:axPos val="b"/>
        <c:majorTickMark val="out"/>
        <c:minorTickMark val="none"/>
        <c:tickLblPos val="nextTo"/>
        <c:crossAx val="135318528"/>
        <c:crosses val="autoZero"/>
        <c:auto val="1"/>
        <c:lblAlgn val="ctr"/>
        <c:lblOffset val="100"/>
        <c:noMultiLvlLbl val="0"/>
      </c:catAx>
      <c:valAx>
        <c:axId val="135318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5316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Changes_in_sigma_S2!$C$4:$C$104</c:f>
              <c:numCache>
                <c:formatCode>General</c:formatCode>
                <c:ptCount val="101"/>
                <c:pt idx="0">
                  <c:v>981.57870444109369</c:v>
                </c:pt>
                <c:pt idx="1">
                  <c:v>981.53973425423351</c:v>
                </c:pt>
                <c:pt idx="2">
                  <c:v>981.52835841650062</c:v>
                </c:pt>
                <c:pt idx="3">
                  <c:v>981.50254702410712</c:v>
                </c:pt>
                <c:pt idx="4">
                  <c:v>981.47976105272255</c:v>
                </c:pt>
                <c:pt idx="5">
                  <c:v>981.45603440266802</c:v>
                </c:pt>
                <c:pt idx="6">
                  <c:v>981.43266730251662</c:v>
                </c:pt>
                <c:pt idx="7">
                  <c:v>981.41365061919055</c:v>
                </c:pt>
                <c:pt idx="8">
                  <c:v>981.39138769965393</c:v>
                </c:pt>
                <c:pt idx="9">
                  <c:v>981.36634326325543</c:v>
                </c:pt>
                <c:pt idx="10">
                  <c:v>981.34220206268537</c:v>
                </c:pt>
                <c:pt idx="11">
                  <c:v>981.33786076317836</c:v>
                </c:pt>
                <c:pt idx="12">
                  <c:v>981.31285279161739</c:v>
                </c:pt>
                <c:pt idx="13">
                  <c:v>981.27080052735641</c:v>
                </c:pt>
                <c:pt idx="14">
                  <c:v>981.23652507831878</c:v>
                </c:pt>
                <c:pt idx="15">
                  <c:v>981.2096743489974</c:v>
                </c:pt>
                <c:pt idx="16">
                  <c:v>981.17860327713777</c:v>
                </c:pt>
                <c:pt idx="17">
                  <c:v>981.13653905497927</c:v>
                </c:pt>
                <c:pt idx="18">
                  <c:v>981.0999968186527</c:v>
                </c:pt>
                <c:pt idx="19">
                  <c:v>981.06913841494202</c:v>
                </c:pt>
                <c:pt idx="20">
                  <c:v>981.0338282489563</c:v>
                </c:pt>
                <c:pt idx="21">
                  <c:v>981.00249407988792</c:v>
                </c:pt>
                <c:pt idx="22">
                  <c:v>980.96551745432055</c:v>
                </c:pt>
                <c:pt idx="23">
                  <c:v>980.91843923497811</c:v>
                </c:pt>
                <c:pt idx="24">
                  <c:v>980.88466303154405</c:v>
                </c:pt>
                <c:pt idx="25">
                  <c:v>980.84279374568894</c:v>
                </c:pt>
                <c:pt idx="26">
                  <c:v>980.78387983964831</c:v>
                </c:pt>
                <c:pt idx="27">
                  <c:v>980.72586981442055</c:v>
                </c:pt>
                <c:pt idx="28">
                  <c:v>980.67955002614519</c:v>
                </c:pt>
                <c:pt idx="29">
                  <c:v>980.62967542903243</c:v>
                </c:pt>
                <c:pt idx="30">
                  <c:v>980.58223453727874</c:v>
                </c:pt>
                <c:pt idx="31">
                  <c:v>980.5204221749334</c:v>
                </c:pt>
                <c:pt idx="32">
                  <c:v>980.45435324174161</c:v>
                </c:pt>
                <c:pt idx="33">
                  <c:v>980.38363672489686</c:v>
                </c:pt>
                <c:pt idx="34">
                  <c:v>980.32232784516066</c:v>
                </c:pt>
                <c:pt idx="35">
                  <c:v>980.23649080649375</c:v>
                </c:pt>
                <c:pt idx="36">
                  <c:v>980.16576707544505</c:v>
                </c:pt>
                <c:pt idx="37">
                  <c:v>980.07890385700898</c:v>
                </c:pt>
                <c:pt idx="38">
                  <c:v>980.01330780748128</c:v>
                </c:pt>
                <c:pt idx="39">
                  <c:v>979.94003898731273</c:v>
                </c:pt>
                <c:pt idx="40">
                  <c:v>979.87579127632875</c:v>
                </c:pt>
                <c:pt idx="41">
                  <c:v>979.78927675849332</c:v>
                </c:pt>
                <c:pt idx="42">
                  <c:v>979.70146501695592</c:v>
                </c:pt>
                <c:pt idx="43">
                  <c:v>979.6267217323483</c:v>
                </c:pt>
                <c:pt idx="44">
                  <c:v>979.54309230438002</c:v>
                </c:pt>
                <c:pt idx="45">
                  <c:v>979.44711382729656</c:v>
                </c:pt>
                <c:pt idx="46">
                  <c:v>979.36238856038972</c:v>
                </c:pt>
                <c:pt idx="47">
                  <c:v>979.28009502680129</c:v>
                </c:pt>
                <c:pt idx="48">
                  <c:v>979.17964116677206</c:v>
                </c:pt>
                <c:pt idx="49">
                  <c:v>979.05916424803138</c:v>
                </c:pt>
                <c:pt idx="50">
                  <c:v>978.96141812757753</c:v>
                </c:pt>
                <c:pt idx="51">
                  <c:v>978.84793153021621</c:v>
                </c:pt>
                <c:pt idx="52">
                  <c:v>978.74229001772665</c:v>
                </c:pt>
                <c:pt idx="53">
                  <c:v>978.6269575188162</c:v>
                </c:pt>
                <c:pt idx="54">
                  <c:v>978.53656472435421</c:v>
                </c:pt>
                <c:pt idx="55">
                  <c:v>978.43034108193444</c:v>
                </c:pt>
                <c:pt idx="56">
                  <c:v>978.31562975385782</c:v>
                </c:pt>
                <c:pt idx="57">
                  <c:v>978.19894446049466</c:v>
                </c:pt>
                <c:pt idx="58">
                  <c:v>978.07632836046059</c:v>
                </c:pt>
                <c:pt idx="59">
                  <c:v>977.96507698478763</c:v>
                </c:pt>
                <c:pt idx="60">
                  <c:v>977.85043025664663</c:v>
                </c:pt>
                <c:pt idx="61">
                  <c:v>977.72972142659626</c:v>
                </c:pt>
                <c:pt idx="62">
                  <c:v>977.61462728571053</c:v>
                </c:pt>
                <c:pt idx="63">
                  <c:v>977.47597717840017</c:v>
                </c:pt>
                <c:pt idx="64">
                  <c:v>977.34756864002111</c:v>
                </c:pt>
                <c:pt idx="65">
                  <c:v>977.21868682416675</c:v>
                </c:pt>
                <c:pt idx="66">
                  <c:v>977.07602549750254</c:v>
                </c:pt>
                <c:pt idx="67">
                  <c:v>976.94166606823103</c:v>
                </c:pt>
                <c:pt idx="68">
                  <c:v>976.80356129691268</c:v>
                </c:pt>
                <c:pt idx="69">
                  <c:v>976.66425056104868</c:v>
                </c:pt>
                <c:pt idx="70">
                  <c:v>976.51673661861741</c:v>
                </c:pt>
                <c:pt idx="71">
                  <c:v>976.35497860812745</c:v>
                </c:pt>
                <c:pt idx="72">
                  <c:v>976.21034606158844</c:v>
                </c:pt>
                <c:pt idx="73">
                  <c:v>976.04472364834828</c:v>
                </c:pt>
                <c:pt idx="74">
                  <c:v>975.87243908237281</c:v>
                </c:pt>
                <c:pt idx="75">
                  <c:v>975.72307070520287</c:v>
                </c:pt>
                <c:pt idx="76">
                  <c:v>975.57121292723559</c:v>
                </c:pt>
                <c:pt idx="77">
                  <c:v>975.4005110879998</c:v>
                </c:pt>
                <c:pt idx="78">
                  <c:v>975.24450225123883</c:v>
                </c:pt>
                <c:pt idx="79">
                  <c:v>975.04310711050755</c:v>
                </c:pt>
                <c:pt idx="80">
                  <c:v>974.86872866776343</c:v>
                </c:pt>
                <c:pt idx="81">
                  <c:v>974.68869779100066</c:v>
                </c:pt>
                <c:pt idx="82">
                  <c:v>974.50329101328214</c:v>
                </c:pt>
                <c:pt idx="83">
                  <c:v>974.31968521604836</c:v>
                </c:pt>
                <c:pt idx="84">
                  <c:v>974.15695381116655</c:v>
                </c:pt>
                <c:pt idx="85">
                  <c:v>973.98677274371369</c:v>
                </c:pt>
                <c:pt idx="86">
                  <c:v>973.79027603686313</c:v>
                </c:pt>
                <c:pt idx="87">
                  <c:v>973.60816046628656</c:v>
                </c:pt>
                <c:pt idx="88">
                  <c:v>973.41268580531914</c:v>
                </c:pt>
                <c:pt idx="89">
                  <c:v>973.21922422120804</c:v>
                </c:pt>
                <c:pt idx="90">
                  <c:v>972.99263990600116</c:v>
                </c:pt>
                <c:pt idx="91">
                  <c:v>972.80623507512485</c:v>
                </c:pt>
                <c:pt idx="92">
                  <c:v>972.60633045894576</c:v>
                </c:pt>
                <c:pt idx="93">
                  <c:v>972.39201094857503</c:v>
                </c:pt>
                <c:pt idx="94">
                  <c:v>972.15908708858706</c:v>
                </c:pt>
                <c:pt idx="95">
                  <c:v>971.94650577682921</c:v>
                </c:pt>
                <c:pt idx="96">
                  <c:v>971.71237918924373</c:v>
                </c:pt>
                <c:pt idx="97">
                  <c:v>971.49415888945282</c:v>
                </c:pt>
                <c:pt idx="98">
                  <c:v>971.27035976556181</c:v>
                </c:pt>
                <c:pt idx="99">
                  <c:v>971.04025308963537</c:v>
                </c:pt>
                <c:pt idx="100">
                  <c:v>970.84019027813883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7376896"/>
        <c:axId val="157378816"/>
      </c:lineChart>
      <c:catAx>
        <c:axId val="157376896"/>
        <c:scaling>
          <c:orientation val="minMax"/>
        </c:scaling>
        <c:delete val="0"/>
        <c:axPos val="b"/>
        <c:majorTickMark val="out"/>
        <c:minorTickMark val="none"/>
        <c:tickLblPos val="nextTo"/>
        <c:crossAx val="157378816"/>
        <c:crosses val="autoZero"/>
        <c:auto val="1"/>
        <c:lblAlgn val="ctr"/>
        <c:lblOffset val="100"/>
        <c:noMultiLvlLbl val="0"/>
      </c:catAx>
      <c:valAx>
        <c:axId val="157378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573768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Changes_in_sigma_S3!$C$4:$C$104</c:f>
              <c:numCache>
                <c:formatCode>General</c:formatCode>
                <c:ptCount val="101"/>
                <c:pt idx="0">
                  <c:v>986.0373439149289</c:v>
                </c:pt>
                <c:pt idx="1">
                  <c:v>985.96775071372372</c:v>
                </c:pt>
                <c:pt idx="2">
                  <c:v>985.88399615664605</c:v>
                </c:pt>
                <c:pt idx="3">
                  <c:v>985.8118875103545</c:v>
                </c:pt>
                <c:pt idx="4">
                  <c:v>985.70783278077408</c:v>
                </c:pt>
                <c:pt idx="5">
                  <c:v>985.61196510461741</c:v>
                </c:pt>
                <c:pt idx="6">
                  <c:v>985.51972015481113</c:v>
                </c:pt>
                <c:pt idx="7">
                  <c:v>985.41279367931429</c:v>
                </c:pt>
                <c:pt idx="8">
                  <c:v>985.30328630082295</c:v>
                </c:pt>
                <c:pt idx="9">
                  <c:v>985.21868389995052</c:v>
                </c:pt>
                <c:pt idx="10">
                  <c:v>985.13591634176214</c:v>
                </c:pt>
                <c:pt idx="11">
                  <c:v>985.0252602785971</c:v>
                </c:pt>
                <c:pt idx="12">
                  <c:v>984.90371203021584</c:v>
                </c:pt>
                <c:pt idx="13">
                  <c:v>984.79230121515661</c:v>
                </c:pt>
                <c:pt idx="14">
                  <c:v>984.68094994426383</c:v>
                </c:pt>
                <c:pt idx="15">
                  <c:v>984.59064051892847</c:v>
                </c:pt>
                <c:pt idx="16">
                  <c:v>984.47952635191268</c:v>
                </c:pt>
                <c:pt idx="17">
                  <c:v>984.36235210309576</c:v>
                </c:pt>
                <c:pt idx="18">
                  <c:v>984.24639351911162</c:v>
                </c:pt>
                <c:pt idx="19">
                  <c:v>984.14823674315573</c:v>
                </c:pt>
                <c:pt idx="20">
                  <c:v>984.01525656550518</c:v>
                </c:pt>
                <c:pt idx="21">
                  <c:v>983.91818929325564</c:v>
                </c:pt>
                <c:pt idx="22">
                  <c:v>983.78091396740263</c:v>
                </c:pt>
                <c:pt idx="23">
                  <c:v>983.6465972255836</c:v>
                </c:pt>
                <c:pt idx="24">
                  <c:v>983.51921609469741</c:v>
                </c:pt>
                <c:pt idx="25">
                  <c:v>983.37517463098175</c:v>
                </c:pt>
                <c:pt idx="26">
                  <c:v>983.23923793395704</c:v>
                </c:pt>
                <c:pt idx="27">
                  <c:v>983.06620320791103</c:v>
                </c:pt>
                <c:pt idx="28">
                  <c:v>982.89120985877571</c:v>
                </c:pt>
                <c:pt idx="29">
                  <c:v>982.72952940284301</c:v>
                </c:pt>
                <c:pt idx="30">
                  <c:v>982.58776339430074</c:v>
                </c:pt>
                <c:pt idx="31">
                  <c:v>982.42847578090777</c:v>
                </c:pt>
                <c:pt idx="32">
                  <c:v>982.25753944602536</c:v>
                </c:pt>
                <c:pt idx="33">
                  <c:v>982.07164261616435</c:v>
                </c:pt>
                <c:pt idx="34">
                  <c:v>981.92320603185578</c:v>
                </c:pt>
                <c:pt idx="35">
                  <c:v>981.73957381806963</c:v>
                </c:pt>
                <c:pt idx="36">
                  <c:v>981.57162345389213</c:v>
                </c:pt>
                <c:pt idx="37">
                  <c:v>981.39626229600594</c:v>
                </c:pt>
                <c:pt idx="38">
                  <c:v>981.20694519025676</c:v>
                </c:pt>
                <c:pt idx="39">
                  <c:v>981.02932868591449</c:v>
                </c:pt>
                <c:pt idx="40">
                  <c:v>980.82076626600747</c:v>
                </c:pt>
                <c:pt idx="41">
                  <c:v>980.60239231164849</c:v>
                </c:pt>
                <c:pt idx="42">
                  <c:v>980.42310909555567</c:v>
                </c:pt>
                <c:pt idx="43">
                  <c:v>980.22156148106387</c:v>
                </c:pt>
                <c:pt idx="44">
                  <c:v>980.01943107774184</c:v>
                </c:pt>
                <c:pt idx="45">
                  <c:v>979.80311361848908</c:v>
                </c:pt>
                <c:pt idx="46">
                  <c:v>979.59139778714484</c:v>
                </c:pt>
                <c:pt idx="47">
                  <c:v>979.40467915966485</c:v>
                </c:pt>
                <c:pt idx="48">
                  <c:v>979.16042308543263</c:v>
                </c:pt>
                <c:pt idx="49">
                  <c:v>978.95145119952235</c:v>
                </c:pt>
                <c:pt idx="50">
                  <c:v>978.75470973659685</c:v>
                </c:pt>
                <c:pt idx="51">
                  <c:v>978.50776460226484</c:v>
                </c:pt>
                <c:pt idx="52">
                  <c:v>978.27443441831417</c:v>
                </c:pt>
                <c:pt idx="53">
                  <c:v>978.05200167784153</c:v>
                </c:pt>
                <c:pt idx="54">
                  <c:v>977.83166859674861</c:v>
                </c:pt>
                <c:pt idx="55">
                  <c:v>977.57770712060324</c:v>
                </c:pt>
                <c:pt idx="56">
                  <c:v>977.35056326490178</c:v>
                </c:pt>
                <c:pt idx="57">
                  <c:v>977.10400753449676</c:v>
                </c:pt>
                <c:pt idx="58">
                  <c:v>976.84478445540708</c:v>
                </c:pt>
                <c:pt idx="59">
                  <c:v>976.61358953853551</c:v>
                </c:pt>
                <c:pt idx="60">
                  <c:v>976.34738618262065</c:v>
                </c:pt>
                <c:pt idx="61">
                  <c:v>976.09884654803534</c:v>
                </c:pt>
                <c:pt idx="62">
                  <c:v>975.82928519091604</c:v>
                </c:pt>
                <c:pt idx="63">
                  <c:v>975.54534389289381</c:v>
                </c:pt>
                <c:pt idx="64">
                  <c:v>975.29827385690362</c:v>
                </c:pt>
                <c:pt idx="65">
                  <c:v>975.04928658774497</c:v>
                </c:pt>
                <c:pt idx="66">
                  <c:v>974.79003995554774</c:v>
                </c:pt>
                <c:pt idx="67">
                  <c:v>974.52508962130753</c:v>
                </c:pt>
                <c:pt idx="68">
                  <c:v>974.23819892309405</c:v>
                </c:pt>
                <c:pt idx="69">
                  <c:v>973.97341674354482</c:v>
                </c:pt>
                <c:pt idx="70">
                  <c:v>973.69363114203395</c:v>
                </c:pt>
                <c:pt idx="71">
                  <c:v>973.38946894344042</c:v>
                </c:pt>
                <c:pt idx="72">
                  <c:v>973.09980184924962</c:v>
                </c:pt>
                <c:pt idx="73">
                  <c:v>972.81519044782794</c:v>
                </c:pt>
                <c:pt idx="74">
                  <c:v>972.53000513235861</c:v>
                </c:pt>
                <c:pt idx="75">
                  <c:v>972.25665471920524</c:v>
                </c:pt>
                <c:pt idx="76">
                  <c:v>971.95188620172917</c:v>
                </c:pt>
                <c:pt idx="77">
                  <c:v>971.70563107762723</c:v>
                </c:pt>
                <c:pt idx="78">
                  <c:v>971.41904045351475</c:v>
                </c:pt>
                <c:pt idx="79">
                  <c:v>971.14981078035692</c:v>
                </c:pt>
                <c:pt idx="80">
                  <c:v>970.84670563767918</c:v>
                </c:pt>
                <c:pt idx="81">
                  <c:v>970.61835013296934</c:v>
                </c:pt>
                <c:pt idx="82">
                  <c:v>970.3257967555578</c:v>
                </c:pt>
                <c:pt idx="83">
                  <c:v>970.03813571928822</c:v>
                </c:pt>
                <c:pt idx="84">
                  <c:v>969.73452212233087</c:v>
                </c:pt>
                <c:pt idx="85">
                  <c:v>969.41691840721182</c:v>
                </c:pt>
                <c:pt idx="86">
                  <c:v>969.11905575636138</c:v>
                </c:pt>
                <c:pt idx="87">
                  <c:v>968.80262669880926</c:v>
                </c:pt>
                <c:pt idx="88">
                  <c:v>968.4985663152878</c:v>
                </c:pt>
                <c:pt idx="89">
                  <c:v>968.19790806650985</c:v>
                </c:pt>
                <c:pt idx="90">
                  <c:v>967.88498471051878</c:v>
                </c:pt>
                <c:pt idx="91">
                  <c:v>967.56629722156629</c:v>
                </c:pt>
                <c:pt idx="92">
                  <c:v>967.22270500665763</c:v>
                </c:pt>
                <c:pt idx="93">
                  <c:v>966.89810279298683</c:v>
                </c:pt>
                <c:pt idx="94">
                  <c:v>966.58424310044279</c:v>
                </c:pt>
                <c:pt idx="95">
                  <c:v>966.25829672648922</c:v>
                </c:pt>
                <c:pt idx="96">
                  <c:v>965.94565331459637</c:v>
                </c:pt>
                <c:pt idx="97">
                  <c:v>965.61850504498864</c:v>
                </c:pt>
                <c:pt idx="98">
                  <c:v>965.2999381557039</c:v>
                </c:pt>
                <c:pt idx="99">
                  <c:v>964.99702726124247</c:v>
                </c:pt>
                <c:pt idx="100">
                  <c:v>964.65660865151938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215360"/>
        <c:axId val="93217152"/>
      </c:lineChart>
      <c:catAx>
        <c:axId val="93215360"/>
        <c:scaling>
          <c:orientation val="minMax"/>
        </c:scaling>
        <c:delete val="0"/>
        <c:axPos val="b"/>
        <c:majorTickMark val="out"/>
        <c:minorTickMark val="none"/>
        <c:tickLblPos val="nextTo"/>
        <c:crossAx val="93217152"/>
        <c:crosses val="autoZero"/>
        <c:auto val="1"/>
        <c:lblAlgn val="ctr"/>
        <c:lblOffset val="100"/>
        <c:noMultiLvlLbl val="0"/>
      </c:catAx>
      <c:valAx>
        <c:axId val="932171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32153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333375</xdr:colOff>
          <xdr:row>3</xdr:row>
          <xdr:rowOff>47625</xdr:rowOff>
        </xdr:from>
        <xdr:to>
          <xdr:col>6</xdr:col>
          <xdr:colOff>190500</xdr:colOff>
          <xdr:row>4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495300</xdr:colOff>
      <xdr:row>9</xdr:row>
      <xdr:rowOff>38100</xdr:rowOff>
    </xdr:from>
    <xdr:to>
      <xdr:col>12</xdr:col>
      <xdr:colOff>190500</xdr:colOff>
      <xdr:row>23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4</xdr:row>
          <xdr:rowOff>0</xdr:rowOff>
        </xdr:from>
        <xdr:to>
          <xdr:col>6</xdr:col>
          <xdr:colOff>114300</xdr:colOff>
          <xdr:row>5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600075</xdr:colOff>
      <xdr:row>12</xdr:row>
      <xdr:rowOff>38100</xdr:rowOff>
    </xdr:from>
    <xdr:to>
      <xdr:col>11</xdr:col>
      <xdr:colOff>295275</xdr:colOff>
      <xdr:row>26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2</xdr:row>
          <xdr:rowOff>171450</xdr:rowOff>
        </xdr:from>
        <xdr:to>
          <xdr:col>7</xdr:col>
          <xdr:colOff>276225</xdr:colOff>
          <xdr:row>5</xdr:row>
          <xdr:rowOff>85725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266700</xdr:colOff>
      <xdr:row>6</xdr:row>
      <xdr:rowOff>152400</xdr:rowOff>
    </xdr:from>
    <xdr:to>
      <xdr:col>11</xdr:col>
      <xdr:colOff>571500</xdr:colOff>
      <xdr:row>21</xdr:row>
      <xdr:rowOff>38100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</xdr:colOff>
          <xdr:row>7</xdr:row>
          <xdr:rowOff>123825</xdr:rowOff>
        </xdr:from>
        <xdr:to>
          <xdr:col>7</xdr:col>
          <xdr:colOff>133350</xdr:colOff>
          <xdr:row>10</xdr:row>
          <xdr:rowOff>19050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561975</xdr:colOff>
      <xdr:row>8</xdr:row>
      <xdr:rowOff>14287</xdr:rowOff>
    </xdr:from>
    <xdr:to>
      <xdr:col>15</xdr:col>
      <xdr:colOff>257175</xdr:colOff>
      <xdr:row>22</xdr:row>
      <xdr:rowOff>90487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</xdr:colOff>
          <xdr:row>7</xdr:row>
          <xdr:rowOff>123825</xdr:rowOff>
        </xdr:from>
        <xdr:to>
          <xdr:col>5</xdr:col>
          <xdr:colOff>200025</xdr:colOff>
          <xdr:row>9</xdr:row>
          <xdr:rowOff>104775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533400</xdr:colOff>
      <xdr:row>7</xdr:row>
      <xdr:rowOff>33337</xdr:rowOff>
    </xdr:from>
    <xdr:to>
      <xdr:col>13</xdr:col>
      <xdr:colOff>180975</xdr:colOff>
      <xdr:row>21</xdr:row>
      <xdr:rowOff>109537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4</xdr:row>
          <xdr:rowOff>152400</xdr:rowOff>
        </xdr:from>
        <xdr:to>
          <xdr:col>5</xdr:col>
          <xdr:colOff>323850</xdr:colOff>
          <xdr:row>8</xdr:row>
          <xdr:rowOff>95250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504825</xdr:colOff>
      <xdr:row>7</xdr:row>
      <xdr:rowOff>100012</xdr:rowOff>
    </xdr:from>
    <xdr:to>
      <xdr:col>12</xdr:col>
      <xdr:colOff>361950</xdr:colOff>
      <xdr:row>21</xdr:row>
      <xdr:rowOff>176212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5</xdr:row>
          <xdr:rowOff>142875</xdr:rowOff>
        </xdr:from>
        <xdr:to>
          <xdr:col>5</xdr:col>
          <xdr:colOff>304800</xdr:colOff>
          <xdr:row>8</xdr:row>
          <xdr:rowOff>47625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266700</xdr:colOff>
          <xdr:row>5</xdr:row>
          <xdr:rowOff>104775</xdr:rowOff>
        </xdr:from>
        <xdr:to>
          <xdr:col>5</xdr:col>
          <xdr:colOff>371475</xdr:colOff>
          <xdr:row>7</xdr:row>
          <xdr:rowOff>104775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3</xdr:row>
          <xdr:rowOff>66675</xdr:rowOff>
        </xdr:from>
        <xdr:to>
          <xdr:col>5</xdr:col>
          <xdr:colOff>419100</xdr:colOff>
          <xdr:row>6</xdr:row>
          <xdr:rowOff>19050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3"/>
  <sheetViews>
    <sheetView workbookViewId="0">
      <selection activeCell="A14" sqref="A14"/>
    </sheetView>
  </sheetViews>
  <sheetFormatPr defaultRowHeight="15" x14ac:dyDescent="0.25"/>
  <sheetData>
    <row r="1" spans="1:1" x14ac:dyDescent="0.25">
      <c r="A1" t="s">
        <v>27</v>
      </c>
    </row>
    <row r="2" spans="1:1" x14ac:dyDescent="0.25">
      <c r="A2" t="s">
        <v>28</v>
      </c>
    </row>
    <row r="3" spans="1:1" x14ac:dyDescent="0.25">
      <c r="A3" t="s">
        <v>39</v>
      </c>
    </row>
    <row r="4" spans="1:1" x14ac:dyDescent="0.25">
      <c r="A4" t="s">
        <v>29</v>
      </c>
    </row>
    <row r="6" spans="1:1" x14ac:dyDescent="0.25">
      <c r="A6" t="s">
        <v>30</v>
      </c>
    </row>
    <row r="7" spans="1:1" x14ac:dyDescent="0.25">
      <c r="A7" t="s">
        <v>40</v>
      </c>
    </row>
    <row r="8" spans="1:1" x14ac:dyDescent="0.25">
      <c r="A8" t="s">
        <v>31</v>
      </c>
    </row>
    <row r="9" spans="1:1" x14ac:dyDescent="0.25">
      <c r="A9" t="s">
        <v>32</v>
      </c>
    </row>
    <row r="10" spans="1:1" x14ac:dyDescent="0.25">
      <c r="A10" t="s">
        <v>33</v>
      </c>
    </row>
    <row r="12" spans="1:1" x14ac:dyDescent="0.25">
      <c r="A12" t="s">
        <v>58</v>
      </c>
    </row>
    <row r="13" spans="1:1" x14ac:dyDescent="0.25">
      <c r="A13" t="s">
        <v>59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20"/>
  <sheetViews>
    <sheetView workbookViewId="0">
      <selection activeCell="A10" sqref="A10"/>
    </sheetView>
  </sheetViews>
  <sheetFormatPr defaultRowHeight="15" x14ac:dyDescent="0.25"/>
  <cols>
    <col min="1" max="1" width="34.5703125" bestFit="1" customWidth="1"/>
    <col min="4" max="4" width="32.140625" customWidth="1"/>
    <col min="5" max="5" width="10.7109375" bestFit="1" customWidth="1"/>
    <col min="6" max="6" width="15.85546875" bestFit="1" customWidth="1"/>
    <col min="7" max="7" width="32.140625" bestFit="1" customWidth="1"/>
    <col min="8" max="8" width="15.140625" bestFit="1" customWidth="1"/>
    <col min="11" max="11" width="23.42578125" bestFit="1" customWidth="1"/>
    <col min="12" max="12" width="26.85546875" customWidth="1"/>
    <col min="13" max="13" width="16.5703125" bestFit="1" customWidth="1"/>
    <col min="14" max="14" width="19.140625" bestFit="1" customWidth="1"/>
    <col min="15" max="15" width="26.85546875" customWidth="1"/>
    <col min="16" max="16" width="14.85546875" bestFit="1" customWidth="1"/>
    <col min="17" max="17" width="24.28515625" bestFit="1" customWidth="1"/>
    <col min="18" max="18" width="36" bestFit="1" customWidth="1"/>
    <col min="19" max="19" width="23.5703125" bestFit="1" customWidth="1"/>
    <col min="20" max="20" width="26.85546875" bestFit="1" customWidth="1"/>
  </cols>
  <sheetData>
    <row r="1" spans="1:20" x14ac:dyDescent="0.25">
      <c r="A1" t="s">
        <v>8</v>
      </c>
      <c r="B1">
        <v>10000</v>
      </c>
      <c r="D1" t="s">
        <v>9</v>
      </c>
      <c r="E1" s="1">
        <v>43423</v>
      </c>
      <c r="G1" t="s">
        <v>18</v>
      </c>
      <c r="K1" t="s">
        <v>15</v>
      </c>
      <c r="L1" t="s">
        <v>17</v>
      </c>
      <c r="M1" t="s">
        <v>16</v>
      </c>
      <c r="N1" t="s">
        <v>11</v>
      </c>
      <c r="O1" t="s">
        <v>17</v>
      </c>
      <c r="P1" t="s">
        <v>24</v>
      </c>
      <c r="Q1" t="s">
        <v>19</v>
      </c>
      <c r="R1" t="s">
        <v>14</v>
      </c>
      <c r="S1" t="s">
        <v>22</v>
      </c>
      <c r="T1" t="s">
        <v>17</v>
      </c>
    </row>
    <row r="2" spans="1:20" x14ac:dyDescent="0.25">
      <c r="A2" t="s">
        <v>20</v>
      </c>
      <c r="B2">
        <v>1000</v>
      </c>
      <c r="D2" t="s">
        <v>12</v>
      </c>
      <c r="E2" s="1">
        <v>44130</v>
      </c>
      <c r="F2" t="s">
        <v>13</v>
      </c>
      <c r="G2">
        <f>NETWORKDAYS(E1,E2)</f>
        <v>506</v>
      </c>
      <c r="H2" t="s">
        <v>23</v>
      </c>
      <c r="I2">
        <v>2.8649999999999998E-2</v>
      </c>
      <c r="K2" s="1">
        <v>43486</v>
      </c>
      <c r="L2" s="2">
        <f>NETWORKDAYS($E$1,K2)</f>
        <v>46</v>
      </c>
      <c r="M2">
        <v>0.75</v>
      </c>
      <c r="N2" s="1">
        <v>43489</v>
      </c>
      <c r="O2">
        <f>NETWORKDAYS($E$1,N2)</f>
        <v>49</v>
      </c>
      <c r="P2">
        <f>0.052/4</f>
        <v>1.2999999999999999E-2</v>
      </c>
      <c r="Q2" s="1">
        <v>43486</v>
      </c>
      <c r="R2">
        <f>NETWORKDAYS($E$1,Q2)</f>
        <v>46</v>
      </c>
      <c r="S2" s="1">
        <v>43489</v>
      </c>
      <c r="T2">
        <f>NETWORKDAYS($E$1,S2)</f>
        <v>49</v>
      </c>
    </row>
    <row r="3" spans="1:20" x14ac:dyDescent="0.25">
      <c r="A3" t="s">
        <v>0</v>
      </c>
      <c r="D3" t="s">
        <v>4</v>
      </c>
      <c r="G3" t="s">
        <v>5</v>
      </c>
      <c r="K3" s="1">
        <v>43572</v>
      </c>
      <c r="L3" s="2">
        <f t="shared" ref="L3:L9" si="0">NETWORKDAYS($E$1,K3)</f>
        <v>108</v>
      </c>
      <c r="M3">
        <f>$M$2</f>
        <v>0.75</v>
      </c>
      <c r="N3" s="1">
        <v>43579</v>
      </c>
      <c r="O3">
        <f t="shared" ref="O3:O9" si="1">NETWORKDAYS($E$1,N3)</f>
        <v>113</v>
      </c>
      <c r="P3">
        <f>$P$2</f>
        <v>1.2999999999999999E-2</v>
      </c>
      <c r="Q3" s="1">
        <v>43572</v>
      </c>
      <c r="R3">
        <f t="shared" ref="R3:R8" si="2">NETWORKDAYS($E$1,Q3)</f>
        <v>108</v>
      </c>
      <c r="S3" s="1">
        <v>43579</v>
      </c>
      <c r="T3">
        <f t="shared" ref="T3:T8" si="3">NETWORKDAYS($E$1,S3)</f>
        <v>113</v>
      </c>
    </row>
    <row r="4" spans="1:20" x14ac:dyDescent="0.25">
      <c r="K4" s="1">
        <v>43665</v>
      </c>
      <c r="L4" s="2">
        <f t="shared" si="0"/>
        <v>175</v>
      </c>
      <c r="M4">
        <f t="shared" ref="M4:M9" si="4">$M$2</f>
        <v>0.75</v>
      </c>
      <c r="N4" s="1">
        <v>43670</v>
      </c>
      <c r="O4">
        <f t="shared" si="1"/>
        <v>178</v>
      </c>
      <c r="P4">
        <f t="shared" ref="P4:P9" si="5">$P$2</f>
        <v>1.2999999999999999E-2</v>
      </c>
      <c r="Q4" s="1">
        <v>43665</v>
      </c>
      <c r="R4">
        <f t="shared" si="2"/>
        <v>175</v>
      </c>
      <c r="S4" s="1">
        <v>43670</v>
      </c>
      <c r="T4">
        <f t="shared" si="3"/>
        <v>178</v>
      </c>
    </row>
    <row r="5" spans="1:20" x14ac:dyDescent="0.25">
      <c r="A5" t="s">
        <v>1</v>
      </c>
      <c r="B5">
        <v>-1.9499999999999999E-3</v>
      </c>
      <c r="D5" t="s">
        <v>1</v>
      </c>
      <c r="E5">
        <v>-4.6800000000000001E-3</v>
      </c>
      <c r="G5" t="s">
        <v>1</v>
      </c>
      <c r="H5" s="3">
        <v>9.1000000000000004E-3</v>
      </c>
      <c r="K5" s="1">
        <v>43759</v>
      </c>
      <c r="L5" s="2">
        <f t="shared" si="0"/>
        <v>241</v>
      </c>
      <c r="M5">
        <f t="shared" si="4"/>
        <v>0.75</v>
      </c>
      <c r="N5" s="1">
        <v>43762</v>
      </c>
      <c r="O5">
        <f t="shared" si="1"/>
        <v>244</v>
      </c>
      <c r="P5">
        <f t="shared" si="5"/>
        <v>1.2999999999999999E-2</v>
      </c>
      <c r="Q5" s="1">
        <v>43759</v>
      </c>
      <c r="R5">
        <f t="shared" si="2"/>
        <v>241</v>
      </c>
      <c r="S5" s="1">
        <v>43762</v>
      </c>
      <c r="T5">
        <f t="shared" si="3"/>
        <v>244</v>
      </c>
    </row>
    <row r="6" spans="1:20" x14ac:dyDescent="0.25">
      <c r="A6" t="s">
        <v>2</v>
      </c>
      <c r="B6">
        <v>0.19170000000000001</v>
      </c>
      <c r="D6" t="s">
        <v>2</v>
      </c>
      <c r="E6">
        <v>0.16717299999999999</v>
      </c>
      <c r="G6" t="s">
        <v>2</v>
      </c>
      <c r="H6">
        <v>0.19</v>
      </c>
      <c r="K6" s="1">
        <v>43851</v>
      </c>
      <c r="L6" s="2">
        <f t="shared" si="0"/>
        <v>307</v>
      </c>
      <c r="M6">
        <f t="shared" si="4"/>
        <v>0.75</v>
      </c>
      <c r="N6" s="1">
        <v>43854</v>
      </c>
      <c r="O6">
        <f t="shared" si="1"/>
        <v>310</v>
      </c>
      <c r="P6">
        <f t="shared" si="5"/>
        <v>1.2999999999999999E-2</v>
      </c>
      <c r="Q6" s="1">
        <v>43851</v>
      </c>
      <c r="R6">
        <f t="shared" si="2"/>
        <v>307</v>
      </c>
      <c r="S6" s="1">
        <v>43854</v>
      </c>
      <c r="T6">
        <f t="shared" si="3"/>
        <v>310</v>
      </c>
    </row>
    <row r="7" spans="1:20" x14ac:dyDescent="0.25">
      <c r="A7" t="s">
        <v>3</v>
      </c>
      <c r="B7">
        <v>7.3077863528177911E-2</v>
      </c>
      <c r="D7" t="s">
        <v>3</v>
      </c>
      <c r="E7">
        <v>6.7192547109866385E-2</v>
      </c>
      <c r="G7" t="s">
        <v>3</v>
      </c>
      <c r="H7">
        <v>8.4600696113314749E-2</v>
      </c>
      <c r="K7" s="1">
        <v>43942</v>
      </c>
      <c r="L7" s="2">
        <f t="shared" si="0"/>
        <v>372</v>
      </c>
      <c r="M7">
        <f t="shared" si="4"/>
        <v>0.75</v>
      </c>
      <c r="N7" s="1">
        <v>43945</v>
      </c>
      <c r="O7">
        <f t="shared" si="1"/>
        <v>375</v>
      </c>
      <c r="P7">
        <f t="shared" si="5"/>
        <v>1.2999999999999999E-2</v>
      </c>
      <c r="Q7" s="1">
        <v>43942</v>
      </c>
      <c r="R7">
        <f t="shared" si="2"/>
        <v>372</v>
      </c>
      <c r="S7" s="1">
        <v>43945</v>
      </c>
      <c r="T7">
        <f t="shared" si="3"/>
        <v>375</v>
      </c>
    </row>
    <row r="8" spans="1:20" x14ac:dyDescent="0.25">
      <c r="A8" t="s">
        <v>26</v>
      </c>
      <c r="B8">
        <v>3607.77</v>
      </c>
      <c r="D8" t="s">
        <v>26</v>
      </c>
      <c r="E8">
        <v>9269.86</v>
      </c>
      <c r="G8" t="s">
        <v>26</v>
      </c>
      <c r="H8">
        <v>7516.17</v>
      </c>
      <c r="K8" s="1">
        <v>44033</v>
      </c>
      <c r="L8" s="2">
        <f t="shared" si="0"/>
        <v>437</v>
      </c>
      <c r="M8">
        <f t="shared" si="4"/>
        <v>0.75</v>
      </c>
      <c r="N8" s="1">
        <v>44036</v>
      </c>
      <c r="O8">
        <f t="shared" si="1"/>
        <v>440</v>
      </c>
      <c r="P8">
        <f t="shared" si="5"/>
        <v>1.2999999999999999E-2</v>
      </c>
      <c r="Q8" s="1">
        <v>44033</v>
      </c>
      <c r="R8">
        <f t="shared" si="2"/>
        <v>437</v>
      </c>
      <c r="S8" s="1">
        <v>44036</v>
      </c>
      <c r="T8">
        <f t="shared" si="3"/>
        <v>440</v>
      </c>
    </row>
    <row r="9" spans="1:20" x14ac:dyDescent="0.25">
      <c r="A9" t="s">
        <v>6</v>
      </c>
      <c r="B9" s="2">
        <v>0.75</v>
      </c>
      <c r="D9" t="s">
        <v>6</v>
      </c>
      <c r="E9" s="2">
        <v>0.75</v>
      </c>
      <c r="G9" t="s">
        <v>6</v>
      </c>
      <c r="H9" s="2">
        <v>0.75</v>
      </c>
      <c r="K9" s="1">
        <v>44125</v>
      </c>
      <c r="L9" s="2">
        <f t="shared" si="0"/>
        <v>503</v>
      </c>
      <c r="M9">
        <f t="shared" si="4"/>
        <v>0.75</v>
      </c>
      <c r="N9" s="1">
        <v>44130</v>
      </c>
      <c r="O9">
        <f t="shared" si="1"/>
        <v>506</v>
      </c>
      <c r="P9">
        <f t="shared" si="5"/>
        <v>1.2999999999999999E-2</v>
      </c>
    </row>
    <row r="10" spans="1:20" x14ac:dyDescent="0.25">
      <c r="A10" t="s">
        <v>10</v>
      </c>
      <c r="B10">
        <v>3160.33</v>
      </c>
      <c r="D10" t="s">
        <v>10</v>
      </c>
      <c r="E10">
        <v>8812.61</v>
      </c>
      <c r="G10" t="s">
        <v>10</v>
      </c>
      <c r="H10">
        <v>7000.89</v>
      </c>
    </row>
    <row r="11" spans="1:20" x14ac:dyDescent="0.25">
      <c r="A11" t="s">
        <v>21</v>
      </c>
      <c r="B11">
        <v>0.10701490448714517</v>
      </c>
      <c r="D11" t="s">
        <v>21</v>
      </c>
      <c r="E11">
        <v>0.25439896626112007</v>
      </c>
      <c r="G11" t="s">
        <v>21</v>
      </c>
      <c r="H11">
        <v>0.28147541896719003</v>
      </c>
    </row>
    <row r="12" spans="1:20" x14ac:dyDescent="0.25">
      <c r="A12" t="s">
        <v>7</v>
      </c>
    </row>
    <row r="13" spans="1:20" x14ac:dyDescent="0.25">
      <c r="B13">
        <v>1</v>
      </c>
      <c r="C13">
        <v>2</v>
      </c>
      <c r="D13">
        <v>3</v>
      </c>
    </row>
    <row r="14" spans="1:20" x14ac:dyDescent="0.25">
      <c r="A14">
        <v>1</v>
      </c>
    </row>
    <row r="15" spans="1:20" x14ac:dyDescent="0.25">
      <c r="A15">
        <v>2</v>
      </c>
      <c r="B15">
        <v>0.78724433855904363</v>
      </c>
    </row>
    <row r="16" spans="1:20" x14ac:dyDescent="0.25">
      <c r="A16">
        <v>3</v>
      </c>
      <c r="B16">
        <v>0.7405238138088448</v>
      </c>
      <c r="C16">
        <v>0.70553809898358433</v>
      </c>
    </row>
    <row r="18" spans="1:32" x14ac:dyDescent="0.25">
      <c r="A18" t="s">
        <v>25</v>
      </c>
      <c r="B18">
        <v>980.7809542252046</v>
      </c>
    </row>
    <row r="20" spans="1:32" x14ac:dyDescent="0.25">
      <c r="A20">
        <v>1</v>
      </c>
      <c r="B20">
        <f>A20+1</f>
        <v>2</v>
      </c>
      <c r="C20">
        <f t="shared" ref="C20:AF20" si="6">B20+1</f>
        <v>3</v>
      </c>
      <c r="D20">
        <f t="shared" si="6"/>
        <v>4</v>
      </c>
      <c r="E20">
        <f t="shared" si="6"/>
        <v>5</v>
      </c>
      <c r="F20">
        <f t="shared" si="6"/>
        <v>6</v>
      </c>
      <c r="G20">
        <f t="shared" si="6"/>
        <v>7</v>
      </c>
      <c r="H20">
        <f t="shared" si="6"/>
        <v>8</v>
      </c>
      <c r="I20">
        <f t="shared" si="6"/>
        <v>9</v>
      </c>
      <c r="J20">
        <f t="shared" si="6"/>
        <v>10</v>
      </c>
      <c r="K20">
        <f t="shared" si="6"/>
        <v>11</v>
      </c>
      <c r="L20">
        <f t="shared" si="6"/>
        <v>12</v>
      </c>
      <c r="M20">
        <f t="shared" si="6"/>
        <v>13</v>
      </c>
      <c r="N20">
        <f t="shared" si="6"/>
        <v>14</v>
      </c>
      <c r="O20">
        <f t="shared" si="6"/>
        <v>15</v>
      </c>
      <c r="P20">
        <f t="shared" si="6"/>
        <v>16</v>
      </c>
      <c r="Q20">
        <f t="shared" si="6"/>
        <v>17</v>
      </c>
      <c r="R20">
        <f t="shared" si="6"/>
        <v>18</v>
      </c>
      <c r="S20">
        <f t="shared" si="6"/>
        <v>19</v>
      </c>
      <c r="T20">
        <f t="shared" si="6"/>
        <v>20</v>
      </c>
      <c r="U20">
        <f t="shared" si="6"/>
        <v>21</v>
      </c>
      <c r="V20">
        <f t="shared" si="6"/>
        <v>22</v>
      </c>
      <c r="W20">
        <f t="shared" si="6"/>
        <v>23</v>
      </c>
      <c r="X20">
        <f t="shared" si="6"/>
        <v>24</v>
      </c>
      <c r="Y20">
        <f t="shared" si="6"/>
        <v>25</v>
      </c>
      <c r="Z20">
        <f t="shared" si="6"/>
        <v>26</v>
      </c>
      <c r="AA20">
        <f t="shared" si="6"/>
        <v>27</v>
      </c>
      <c r="AB20">
        <f t="shared" si="6"/>
        <v>28</v>
      </c>
      <c r="AC20">
        <f t="shared" si="6"/>
        <v>29</v>
      </c>
      <c r="AD20">
        <f t="shared" si="6"/>
        <v>30</v>
      </c>
      <c r="AE20">
        <f t="shared" si="6"/>
        <v>31</v>
      </c>
      <c r="AF20">
        <f t="shared" si="6"/>
        <v>32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104"/>
  <sheetViews>
    <sheetView topLeftCell="A7" workbookViewId="0">
      <selection activeCell="I6" sqref="I6"/>
    </sheetView>
  </sheetViews>
  <sheetFormatPr defaultRowHeight="15" x14ac:dyDescent="0.25"/>
  <cols>
    <col min="2" max="2" width="10.140625" bestFit="1" customWidth="1"/>
    <col min="3" max="3" width="15.140625" bestFit="1" customWidth="1"/>
    <col min="4" max="4" width="12" bestFit="1" customWidth="1"/>
  </cols>
  <sheetData>
    <row r="1" spans="1:11" x14ac:dyDescent="0.25">
      <c r="B1" t="s">
        <v>34</v>
      </c>
      <c r="C1">
        <f>'Parameter Page'!B10</f>
        <v>3160.33</v>
      </c>
      <c r="E1">
        <f>3160-5</f>
        <v>3155</v>
      </c>
      <c r="F1">
        <f>3160+5</f>
        <v>3165</v>
      </c>
    </row>
    <row r="2" spans="1:11" x14ac:dyDescent="0.25">
      <c r="C2" t="s">
        <v>36</v>
      </c>
      <c r="D2">
        <f>COUNT(B4:B104)</f>
        <v>101</v>
      </c>
      <c r="J2" t="s">
        <v>46</v>
      </c>
    </row>
    <row r="3" spans="1:11" x14ac:dyDescent="0.25">
      <c r="B3" t="s">
        <v>42</v>
      </c>
      <c r="C3" t="s">
        <v>35</v>
      </c>
      <c r="I3" t="s">
        <v>44</v>
      </c>
      <c r="J3" t="s">
        <v>35</v>
      </c>
      <c r="K3" t="s">
        <v>47</v>
      </c>
    </row>
    <row r="4" spans="1:11" x14ac:dyDescent="0.25">
      <c r="A4" t="str">
        <f>TEXT(B4,"0000.0")</f>
        <v>3155.0</v>
      </c>
      <c r="B4">
        <v>3155</v>
      </c>
      <c r="C4">
        <v>987.00843323850359</v>
      </c>
      <c r="I4" s="6" t="s">
        <v>57</v>
      </c>
      <c r="J4">
        <f>VLOOKUP(I4,$A$4:$C$104,3,0)</f>
        <v>987.32407428748729</v>
      </c>
      <c r="K4" t="s">
        <v>48</v>
      </c>
    </row>
    <row r="5" spans="1:11" x14ac:dyDescent="0.25">
      <c r="A5" t="str">
        <f t="shared" ref="A5:A68" si="0">TEXT(B5,"0000.0")</f>
        <v>3155.1</v>
      </c>
      <c r="B5">
        <f>B4+0.1</f>
        <v>3155.1</v>
      </c>
      <c r="C5">
        <v>987.01251778430674</v>
      </c>
      <c r="D5" s="4">
        <f>(C5-C4)/C4</f>
        <v>4.1383089197634533E-6</v>
      </c>
      <c r="I5" s="6" t="s">
        <v>55</v>
      </c>
      <c r="J5">
        <f t="shared" ref="J5:J6" si="1">VLOOKUP(I5,$A$4:$C$104,3,0)</f>
        <v>987.3987544371364</v>
      </c>
      <c r="K5" s="7">
        <f>(J5-J4)/J4</f>
        <v>7.563894327503898E-5</v>
      </c>
    </row>
    <row r="6" spans="1:11" x14ac:dyDescent="0.25">
      <c r="A6" t="str">
        <f t="shared" si="0"/>
        <v>3155.2</v>
      </c>
      <c r="B6">
        <f t="shared" ref="B6:B69" si="2">B5+0.1</f>
        <v>3155.2</v>
      </c>
      <c r="C6">
        <v>987.02638393901429</v>
      </c>
      <c r="D6" s="4">
        <f t="shared" ref="D6:D69" si="3">(C6-C5)/C5</f>
        <v>1.4048610790352037E-5</v>
      </c>
      <c r="I6" s="6" t="s">
        <v>56</v>
      </c>
      <c r="J6">
        <f t="shared" si="1"/>
        <v>987.46639710320142</v>
      </c>
      <c r="K6" s="7">
        <f>(J6-J5)/J5</f>
        <v>6.8505926061828711E-5</v>
      </c>
    </row>
    <row r="7" spans="1:11" x14ac:dyDescent="0.25">
      <c r="A7" t="str">
        <f t="shared" si="0"/>
        <v>3155.3</v>
      </c>
      <c r="B7">
        <f t="shared" si="2"/>
        <v>3155.2999999999997</v>
      </c>
      <c r="C7">
        <v>987.03043589350887</v>
      </c>
      <c r="D7" s="4">
        <f t="shared" si="3"/>
        <v>4.1052139643931981E-6</v>
      </c>
    </row>
    <row r="8" spans="1:11" x14ac:dyDescent="0.25">
      <c r="A8" t="str">
        <f t="shared" si="0"/>
        <v>3155.4</v>
      </c>
      <c r="B8">
        <f t="shared" si="2"/>
        <v>3155.3999999999996</v>
      </c>
      <c r="C8">
        <v>987.03343243250811</v>
      </c>
      <c r="D8" s="4">
        <f t="shared" si="3"/>
        <v>3.035913473659627E-6</v>
      </c>
    </row>
    <row r="9" spans="1:11" x14ac:dyDescent="0.25">
      <c r="A9" t="str">
        <f t="shared" si="0"/>
        <v>3155.5</v>
      </c>
      <c r="B9">
        <f t="shared" si="2"/>
        <v>3155.4999999999995</v>
      </c>
      <c r="C9">
        <v>987.03837709130619</v>
      </c>
      <c r="D9" s="4">
        <f t="shared" si="3"/>
        <v>5.0096163266679875E-6</v>
      </c>
    </row>
    <row r="10" spans="1:11" x14ac:dyDescent="0.25">
      <c r="A10" t="str">
        <f t="shared" si="0"/>
        <v>3155.6</v>
      </c>
      <c r="B10">
        <f t="shared" si="2"/>
        <v>3155.5999999999995</v>
      </c>
      <c r="C10">
        <v>987.04815009572485</v>
      </c>
      <c r="D10" s="4">
        <f t="shared" si="3"/>
        <v>9.9013418783795259E-6</v>
      </c>
    </row>
    <row r="11" spans="1:11" x14ac:dyDescent="0.25">
      <c r="A11" t="str">
        <f t="shared" si="0"/>
        <v>3155.7</v>
      </c>
      <c r="B11">
        <f t="shared" si="2"/>
        <v>3155.6999999999994</v>
      </c>
      <c r="C11">
        <v>987.05414849280487</v>
      </c>
      <c r="D11" s="4">
        <f t="shared" si="3"/>
        <v>6.0771068558698357E-6</v>
      </c>
    </row>
    <row r="12" spans="1:11" x14ac:dyDescent="0.25">
      <c r="A12" t="str">
        <f t="shared" si="0"/>
        <v>3155.8</v>
      </c>
      <c r="B12">
        <f t="shared" si="2"/>
        <v>3155.7999999999993</v>
      </c>
      <c r="C12">
        <v>987.0643391960557</v>
      </c>
      <c r="D12" s="4">
        <f t="shared" si="3"/>
        <v>1.0324360893866627E-5</v>
      </c>
    </row>
    <row r="13" spans="1:11" x14ac:dyDescent="0.25">
      <c r="A13" t="str">
        <f t="shared" si="0"/>
        <v>3155.9</v>
      </c>
      <c r="B13">
        <f t="shared" si="2"/>
        <v>3155.8999999999992</v>
      </c>
      <c r="C13">
        <v>987.07083788257626</v>
      </c>
      <c r="D13" s="4">
        <f t="shared" si="3"/>
        <v>6.5838530098770923E-6</v>
      </c>
    </row>
    <row r="14" spans="1:11" x14ac:dyDescent="0.25">
      <c r="A14" t="str">
        <f t="shared" si="0"/>
        <v>3156.0</v>
      </c>
      <c r="B14">
        <f t="shared" si="2"/>
        <v>3155.9999999999991</v>
      </c>
      <c r="C14">
        <v>987.07623893515392</v>
      </c>
      <c r="D14" s="4">
        <f t="shared" si="3"/>
        <v>5.4717983455510221E-6</v>
      </c>
    </row>
    <row r="15" spans="1:11" x14ac:dyDescent="0.25">
      <c r="A15" t="str">
        <f t="shared" si="0"/>
        <v>3156.1</v>
      </c>
      <c r="B15">
        <f t="shared" si="2"/>
        <v>3156.099999999999</v>
      </c>
      <c r="C15">
        <v>987.08409447540703</v>
      </c>
      <c r="D15" s="4">
        <f t="shared" si="3"/>
        <v>7.9583926177558665E-6</v>
      </c>
    </row>
    <row r="16" spans="1:11" x14ac:dyDescent="0.25">
      <c r="A16" t="str">
        <f t="shared" si="0"/>
        <v>3156.2</v>
      </c>
      <c r="B16">
        <f t="shared" si="2"/>
        <v>3156.1999999999989</v>
      </c>
      <c r="C16">
        <v>987.08604434627466</v>
      </c>
      <c r="D16" s="4">
        <f t="shared" si="3"/>
        <v>1.975384750445235E-6</v>
      </c>
    </row>
    <row r="17" spans="1:4" x14ac:dyDescent="0.25">
      <c r="A17" t="str">
        <f t="shared" si="0"/>
        <v>3156.3</v>
      </c>
      <c r="B17">
        <f t="shared" si="2"/>
        <v>3156.2999999999988</v>
      </c>
      <c r="C17">
        <v>987.08853408467417</v>
      </c>
      <c r="D17" s="4">
        <f t="shared" si="3"/>
        <v>2.5223114172917395E-6</v>
      </c>
    </row>
    <row r="18" spans="1:4" x14ac:dyDescent="0.25">
      <c r="A18" t="str">
        <f t="shared" si="0"/>
        <v>3156.4</v>
      </c>
      <c r="B18">
        <f t="shared" si="2"/>
        <v>3156.3999999999987</v>
      </c>
      <c r="C18">
        <v>987.09513508894292</v>
      </c>
      <c r="D18" s="4">
        <f t="shared" si="3"/>
        <v>6.6873477310528455E-6</v>
      </c>
    </row>
    <row r="19" spans="1:4" x14ac:dyDescent="0.25">
      <c r="A19" t="str">
        <f t="shared" si="0"/>
        <v>3156.5</v>
      </c>
      <c r="B19">
        <f t="shared" si="2"/>
        <v>3156.4999999999986</v>
      </c>
      <c r="C19">
        <v>987.09699796207747</v>
      </c>
      <c r="D19" s="4">
        <f t="shared" si="3"/>
        <v>1.8872275511455455E-6</v>
      </c>
    </row>
    <row r="20" spans="1:4" x14ac:dyDescent="0.25">
      <c r="A20" t="str">
        <f t="shared" si="0"/>
        <v>3156.6</v>
      </c>
      <c r="B20">
        <f t="shared" si="2"/>
        <v>3156.5999999999985</v>
      </c>
      <c r="C20">
        <v>987.09837339263481</v>
      </c>
      <c r="D20" s="4">
        <f t="shared" si="3"/>
        <v>1.3934097258783498E-6</v>
      </c>
    </row>
    <row r="21" spans="1:4" x14ac:dyDescent="0.25">
      <c r="A21" t="str">
        <f t="shared" si="0"/>
        <v>3156.7</v>
      </c>
      <c r="B21">
        <f t="shared" si="2"/>
        <v>3156.6999999999985</v>
      </c>
      <c r="C21">
        <v>987.1024484712276</v>
      </c>
      <c r="D21" s="4">
        <f t="shared" si="3"/>
        <v>4.1283409056640039E-6</v>
      </c>
    </row>
    <row r="22" spans="1:4" x14ac:dyDescent="0.25">
      <c r="A22" t="str">
        <f t="shared" si="0"/>
        <v>3156.8</v>
      </c>
      <c r="B22">
        <f t="shared" si="2"/>
        <v>3156.7999999999984</v>
      </c>
      <c r="C22">
        <v>987.10922408093688</v>
      </c>
      <c r="D22" s="4">
        <f t="shared" si="3"/>
        <v>6.8641403126630012E-6</v>
      </c>
    </row>
    <row r="23" spans="1:4" x14ac:dyDescent="0.25">
      <c r="A23" t="str">
        <f t="shared" si="0"/>
        <v>3156.9</v>
      </c>
      <c r="B23">
        <f t="shared" si="2"/>
        <v>3156.8999999999983</v>
      </c>
      <c r="C23">
        <v>987.11328367737087</v>
      </c>
      <c r="D23" s="4">
        <f t="shared" si="3"/>
        <v>4.1126111831948064E-6</v>
      </c>
    </row>
    <row r="24" spans="1:4" x14ac:dyDescent="0.25">
      <c r="A24" t="str">
        <f t="shared" si="0"/>
        <v>3157.0</v>
      </c>
      <c r="B24">
        <f t="shared" si="2"/>
        <v>3156.9999999999982</v>
      </c>
      <c r="C24">
        <v>987.11619813216612</v>
      </c>
      <c r="D24" s="4">
        <f t="shared" si="3"/>
        <v>2.952502862070804E-6</v>
      </c>
    </row>
    <row r="25" spans="1:4" x14ac:dyDescent="0.25">
      <c r="A25" t="str">
        <f t="shared" si="0"/>
        <v>3157.1</v>
      </c>
      <c r="B25">
        <f t="shared" si="2"/>
        <v>3157.0999999999981</v>
      </c>
      <c r="C25">
        <v>987.12279406448226</v>
      </c>
      <c r="D25" s="4">
        <f t="shared" si="3"/>
        <v>6.6820221658057972E-6</v>
      </c>
    </row>
    <row r="26" spans="1:4" x14ac:dyDescent="0.25">
      <c r="A26" t="str">
        <f t="shared" si="0"/>
        <v>3157.2</v>
      </c>
      <c r="B26">
        <f t="shared" si="2"/>
        <v>3157.199999999998</v>
      </c>
      <c r="C26">
        <v>987.12418590637674</v>
      </c>
      <c r="D26" s="4">
        <f t="shared" si="3"/>
        <v>1.4099987385998252E-6</v>
      </c>
    </row>
    <row r="27" spans="1:4" x14ac:dyDescent="0.25">
      <c r="A27" t="str">
        <f t="shared" si="0"/>
        <v>3157.3</v>
      </c>
      <c r="B27">
        <f t="shared" si="2"/>
        <v>3157.2999999999979</v>
      </c>
      <c r="C27">
        <v>987.17853476712116</v>
      </c>
      <c r="D27" s="4">
        <f t="shared" si="3"/>
        <v>5.5057774412165713E-5</v>
      </c>
    </row>
    <row r="28" spans="1:4" x14ac:dyDescent="0.25">
      <c r="A28" t="str">
        <f t="shared" si="0"/>
        <v>3157.4</v>
      </c>
      <c r="B28">
        <f t="shared" si="2"/>
        <v>3157.3999999999978</v>
      </c>
      <c r="C28">
        <v>987.18148386341636</v>
      </c>
      <c r="D28" s="4">
        <f t="shared" si="3"/>
        <v>2.9873991292694565E-6</v>
      </c>
    </row>
    <row r="29" spans="1:4" x14ac:dyDescent="0.25">
      <c r="A29" t="str">
        <f t="shared" si="0"/>
        <v>3157.5</v>
      </c>
      <c r="B29">
        <f t="shared" si="2"/>
        <v>3157.4999999999977</v>
      </c>
      <c r="C29">
        <v>987.18500760977713</v>
      </c>
      <c r="D29" s="4">
        <f t="shared" si="3"/>
        <v>3.5695020807922234E-6</v>
      </c>
    </row>
    <row r="30" spans="1:4" x14ac:dyDescent="0.25">
      <c r="A30" t="str">
        <f t="shared" si="0"/>
        <v>3157.6</v>
      </c>
      <c r="B30">
        <f t="shared" si="2"/>
        <v>3157.5999999999976</v>
      </c>
      <c r="C30">
        <v>987.18909658484552</v>
      </c>
      <c r="D30" s="4">
        <f t="shared" si="3"/>
        <v>4.1420554778126204E-6</v>
      </c>
    </row>
    <row r="31" spans="1:4" x14ac:dyDescent="0.25">
      <c r="A31" t="str">
        <f t="shared" si="0"/>
        <v>3157.7</v>
      </c>
      <c r="B31">
        <f t="shared" si="2"/>
        <v>3157.6999999999975</v>
      </c>
      <c r="C31">
        <v>987.19906318376638</v>
      </c>
      <c r="D31" s="4">
        <f t="shared" si="3"/>
        <v>1.0095936994592022E-5</v>
      </c>
    </row>
    <row r="32" spans="1:4" x14ac:dyDescent="0.25">
      <c r="A32" t="str">
        <f t="shared" si="0"/>
        <v>3157.8</v>
      </c>
      <c r="B32">
        <f t="shared" si="2"/>
        <v>3157.7999999999975</v>
      </c>
      <c r="C32">
        <v>987.20308770705162</v>
      </c>
      <c r="D32" s="4">
        <f t="shared" si="3"/>
        <v>4.0767089793007017E-6</v>
      </c>
    </row>
    <row r="33" spans="1:4" x14ac:dyDescent="0.25">
      <c r="A33" t="str">
        <f t="shared" si="0"/>
        <v>3157.9</v>
      </c>
      <c r="B33">
        <f t="shared" si="2"/>
        <v>3157.8999999999974</v>
      </c>
      <c r="C33">
        <v>987.2078295021123</v>
      </c>
      <c r="D33" s="4">
        <f t="shared" si="3"/>
        <v>4.8032619829978749E-6</v>
      </c>
    </row>
    <row r="34" spans="1:4" x14ac:dyDescent="0.25">
      <c r="A34" t="str">
        <f t="shared" si="0"/>
        <v>3158.0</v>
      </c>
      <c r="B34">
        <f t="shared" si="2"/>
        <v>3157.9999999999973</v>
      </c>
      <c r="C34">
        <v>987.20922482400601</v>
      </c>
      <c r="D34" s="4">
        <f t="shared" si="3"/>
        <v>1.4134023779107425E-6</v>
      </c>
    </row>
    <row r="35" spans="1:4" x14ac:dyDescent="0.25">
      <c r="A35" t="str">
        <f t="shared" si="0"/>
        <v>3158.1</v>
      </c>
      <c r="B35">
        <f t="shared" si="2"/>
        <v>3158.0999999999972</v>
      </c>
      <c r="C35">
        <v>987.21705136170124</v>
      </c>
      <c r="D35" s="4">
        <f t="shared" si="3"/>
        <v>7.9279422217903145E-6</v>
      </c>
    </row>
    <row r="36" spans="1:4" x14ac:dyDescent="0.25">
      <c r="A36" t="str">
        <f t="shared" si="0"/>
        <v>3158.2</v>
      </c>
      <c r="B36">
        <f t="shared" si="2"/>
        <v>3158.1999999999971</v>
      </c>
      <c r="C36">
        <v>987.22295430537247</v>
      </c>
      <c r="D36" s="4">
        <f t="shared" si="3"/>
        <v>5.9793777498967033E-6</v>
      </c>
    </row>
    <row r="37" spans="1:4" x14ac:dyDescent="0.25">
      <c r="A37" t="str">
        <f t="shared" si="0"/>
        <v>3158.3</v>
      </c>
      <c r="B37">
        <f t="shared" si="2"/>
        <v>3158.299999999997</v>
      </c>
      <c r="C37">
        <v>987.23069013181066</v>
      </c>
      <c r="D37" s="4">
        <f t="shared" si="3"/>
        <v>7.8359466870742292E-6</v>
      </c>
    </row>
    <row r="38" spans="1:4" x14ac:dyDescent="0.25">
      <c r="A38" t="str">
        <f t="shared" si="0"/>
        <v>3158.4</v>
      </c>
      <c r="B38">
        <f t="shared" si="2"/>
        <v>3158.3999999999969</v>
      </c>
      <c r="C38">
        <v>987.23471483720346</v>
      </c>
      <c r="D38" s="4">
        <f t="shared" si="3"/>
        <v>4.0767628407670777E-6</v>
      </c>
    </row>
    <row r="39" spans="1:4" x14ac:dyDescent="0.25">
      <c r="A39" t="str">
        <f t="shared" si="0"/>
        <v>3158.5</v>
      </c>
      <c r="B39">
        <f t="shared" si="2"/>
        <v>3158.4999999999968</v>
      </c>
      <c r="C39">
        <v>987.25266336787172</v>
      </c>
      <c r="D39" s="4">
        <f t="shared" si="3"/>
        <v>1.8180611356665442E-5</v>
      </c>
    </row>
    <row r="40" spans="1:4" x14ac:dyDescent="0.25">
      <c r="A40" t="str">
        <f t="shared" si="0"/>
        <v>3158.6</v>
      </c>
      <c r="B40">
        <f t="shared" si="2"/>
        <v>3158.5999999999967</v>
      </c>
      <c r="C40">
        <v>987.2696440082658</v>
      </c>
      <c r="D40" s="4">
        <f t="shared" si="3"/>
        <v>1.7199893223031739E-5</v>
      </c>
    </row>
    <row r="41" spans="1:4" x14ac:dyDescent="0.25">
      <c r="A41" t="str">
        <f t="shared" si="0"/>
        <v>3158.7</v>
      </c>
      <c r="B41">
        <f t="shared" si="2"/>
        <v>3158.6999999999966</v>
      </c>
      <c r="C41">
        <v>987.29387996756509</v>
      </c>
      <c r="D41" s="4">
        <f t="shared" si="3"/>
        <v>2.4548470062234464E-5</v>
      </c>
    </row>
    <row r="42" spans="1:4" x14ac:dyDescent="0.25">
      <c r="A42" t="str">
        <f t="shared" si="0"/>
        <v>3158.8</v>
      </c>
      <c r="B42">
        <f t="shared" si="2"/>
        <v>3158.7999999999965</v>
      </c>
      <c r="C42">
        <v>987.29788238926903</v>
      </c>
      <c r="D42" s="4">
        <f t="shared" si="3"/>
        <v>4.0539314434684644E-6</v>
      </c>
    </row>
    <row r="43" spans="1:4" x14ac:dyDescent="0.25">
      <c r="A43" t="str">
        <f t="shared" si="0"/>
        <v>3158.9</v>
      </c>
      <c r="B43">
        <f t="shared" si="2"/>
        <v>3158.8999999999965</v>
      </c>
      <c r="C43">
        <v>987.30189401584425</v>
      </c>
      <c r="D43" s="4">
        <f t="shared" si="3"/>
        <v>4.0632383060644196E-6</v>
      </c>
    </row>
    <row r="44" spans="1:4" x14ac:dyDescent="0.25">
      <c r="A44" t="str">
        <f t="shared" si="0"/>
        <v>3159.0</v>
      </c>
      <c r="B44">
        <f t="shared" si="2"/>
        <v>3158.9999999999964</v>
      </c>
      <c r="C44">
        <v>987.30434900113255</v>
      </c>
      <c r="D44" s="4">
        <f t="shared" si="3"/>
        <v>2.4865598893059319E-6</v>
      </c>
    </row>
    <row r="45" spans="1:4" x14ac:dyDescent="0.25">
      <c r="A45" t="str">
        <f t="shared" si="0"/>
        <v>3159.1</v>
      </c>
      <c r="B45">
        <f t="shared" si="2"/>
        <v>3159.0999999999963</v>
      </c>
      <c r="C45">
        <v>987.30569562775042</v>
      </c>
      <c r="D45" s="4">
        <f t="shared" si="3"/>
        <v>1.3639427591261789E-6</v>
      </c>
    </row>
    <row r="46" spans="1:4" x14ac:dyDescent="0.25">
      <c r="A46" t="str">
        <f t="shared" si="0"/>
        <v>3159.2</v>
      </c>
      <c r="B46">
        <f t="shared" si="2"/>
        <v>3159.1999999999962</v>
      </c>
      <c r="C46">
        <v>987.31806576091583</v>
      </c>
      <c r="D46" s="4">
        <f t="shared" si="3"/>
        <v>1.2529182420587065E-5</v>
      </c>
    </row>
    <row r="47" spans="1:4" x14ac:dyDescent="0.25">
      <c r="A47" t="str">
        <f t="shared" si="0"/>
        <v>3159.3</v>
      </c>
      <c r="B47">
        <f t="shared" si="2"/>
        <v>3159.2999999999961</v>
      </c>
      <c r="C47">
        <v>987.32407428748729</v>
      </c>
      <c r="D47" s="4">
        <f t="shared" si="3"/>
        <v>6.0857050831259995E-6</v>
      </c>
    </row>
    <row r="48" spans="1:4" x14ac:dyDescent="0.25">
      <c r="A48" t="str">
        <f t="shared" si="0"/>
        <v>3159.4</v>
      </c>
      <c r="B48">
        <f t="shared" si="2"/>
        <v>3159.399999999996</v>
      </c>
      <c r="C48">
        <v>987.33678149236152</v>
      </c>
      <c r="D48" s="4">
        <f t="shared" si="3"/>
        <v>1.28703484551436E-5</v>
      </c>
    </row>
    <row r="49" spans="1:4" x14ac:dyDescent="0.25">
      <c r="A49" t="str">
        <f t="shared" si="0"/>
        <v>3159.5</v>
      </c>
      <c r="B49">
        <f t="shared" si="2"/>
        <v>3159.4999999999959</v>
      </c>
      <c r="C49">
        <v>987.34570513925246</v>
      </c>
      <c r="D49" s="4">
        <f t="shared" si="3"/>
        <v>9.0380983046602636E-6</v>
      </c>
    </row>
    <row r="50" spans="1:4" x14ac:dyDescent="0.25">
      <c r="A50" t="str">
        <f t="shared" si="0"/>
        <v>3159.6</v>
      </c>
      <c r="B50">
        <f t="shared" si="2"/>
        <v>3159.5999999999958</v>
      </c>
      <c r="C50">
        <v>987.35843109623431</v>
      </c>
      <c r="D50" s="4">
        <f t="shared" si="3"/>
        <v>1.2889058934082852E-5</v>
      </c>
    </row>
    <row r="51" spans="1:4" x14ac:dyDescent="0.25">
      <c r="A51" t="str">
        <f t="shared" si="0"/>
        <v>3159.7</v>
      </c>
      <c r="B51">
        <f t="shared" si="2"/>
        <v>3159.6999999999957</v>
      </c>
      <c r="C51">
        <v>987.36263686672112</v>
      </c>
      <c r="D51" s="4">
        <f t="shared" si="3"/>
        <v>4.2596187507470452E-6</v>
      </c>
    </row>
    <row r="52" spans="1:4" x14ac:dyDescent="0.25">
      <c r="A52" t="str">
        <f t="shared" si="0"/>
        <v>3159.8</v>
      </c>
      <c r="B52">
        <f t="shared" si="2"/>
        <v>3159.7999999999956</v>
      </c>
      <c r="C52">
        <v>987.369169593533</v>
      </c>
      <c r="D52" s="4">
        <f t="shared" si="3"/>
        <v>6.6163399018362564E-6</v>
      </c>
    </row>
    <row r="53" spans="1:4" x14ac:dyDescent="0.25">
      <c r="A53" t="str">
        <f t="shared" si="0"/>
        <v>3159.9</v>
      </c>
      <c r="B53">
        <f t="shared" si="2"/>
        <v>3159.8999999999955</v>
      </c>
      <c r="C53">
        <v>987.36888012098518</v>
      </c>
      <c r="D53" s="4">
        <f t="shared" si="3"/>
        <v>-2.9317559909140682E-7</v>
      </c>
    </row>
    <row r="54" spans="1:4" x14ac:dyDescent="0.25">
      <c r="A54" t="str">
        <f t="shared" si="0"/>
        <v>3160.0</v>
      </c>
      <c r="B54">
        <f t="shared" si="2"/>
        <v>3159.9999999999955</v>
      </c>
      <c r="C54">
        <v>987.37411536383775</v>
      </c>
      <c r="D54" s="4">
        <f t="shared" si="3"/>
        <v>5.3022157756503586E-6</v>
      </c>
    </row>
    <row r="55" spans="1:4" x14ac:dyDescent="0.25">
      <c r="A55" t="str">
        <f t="shared" si="0"/>
        <v>3160.1</v>
      </c>
      <c r="B55">
        <f t="shared" si="2"/>
        <v>3160.0999999999954</v>
      </c>
      <c r="C55">
        <v>987.3845336117181</v>
      </c>
      <c r="D55" s="4">
        <f t="shared" si="3"/>
        <v>1.0551469517218667E-5</v>
      </c>
    </row>
    <row r="56" spans="1:4" x14ac:dyDescent="0.25">
      <c r="A56" t="str">
        <f t="shared" si="0"/>
        <v>3160.2</v>
      </c>
      <c r="B56">
        <f t="shared" si="2"/>
        <v>3160.1999999999953</v>
      </c>
      <c r="C56">
        <v>987.3885227313383</v>
      </c>
      <c r="D56" s="4">
        <f t="shared" si="3"/>
        <v>4.0400872045351955E-6</v>
      </c>
    </row>
    <row r="57" spans="1:4" x14ac:dyDescent="0.25">
      <c r="A57" t="str">
        <f t="shared" si="0"/>
        <v>3160.3</v>
      </c>
      <c r="B57">
        <f t="shared" si="2"/>
        <v>3160.2999999999952</v>
      </c>
      <c r="C57">
        <v>987.3987544371364</v>
      </c>
      <c r="D57" s="4">
        <f t="shared" si="3"/>
        <v>1.0362390854819945E-5</v>
      </c>
    </row>
    <row r="58" spans="1:4" x14ac:dyDescent="0.25">
      <c r="A58" t="str">
        <f t="shared" si="0"/>
        <v>3160.4</v>
      </c>
      <c r="B58">
        <f t="shared" si="2"/>
        <v>3160.3999999999951</v>
      </c>
      <c r="C58">
        <v>987.40273108195379</v>
      </c>
      <c r="D58" s="4">
        <f t="shared" si="3"/>
        <v>4.0273950108959737E-6</v>
      </c>
    </row>
    <row r="59" spans="1:4" x14ac:dyDescent="0.25">
      <c r="A59" t="str">
        <f t="shared" si="0"/>
        <v>3160.5</v>
      </c>
      <c r="B59">
        <f t="shared" si="2"/>
        <v>3160.499999999995</v>
      </c>
      <c r="C59">
        <v>987.40956053624177</v>
      </c>
      <c r="D59" s="4">
        <f t="shared" si="3"/>
        <v>6.9165843611732592E-6</v>
      </c>
    </row>
    <row r="60" spans="1:4" x14ac:dyDescent="0.25">
      <c r="A60" t="str">
        <f t="shared" si="0"/>
        <v>3160.6</v>
      </c>
      <c r="B60">
        <f t="shared" si="2"/>
        <v>3160.5999999999949</v>
      </c>
      <c r="C60">
        <v>987.41451489711744</v>
      </c>
      <c r="D60" s="4">
        <f t="shared" si="3"/>
        <v>5.0175338316367175E-6</v>
      </c>
    </row>
    <row r="61" spans="1:4" x14ac:dyDescent="0.25">
      <c r="A61" t="str">
        <f t="shared" si="0"/>
        <v>3160.7</v>
      </c>
      <c r="B61">
        <f t="shared" si="2"/>
        <v>3160.6999999999948</v>
      </c>
      <c r="C61">
        <v>987.41797405925024</v>
      </c>
      <c r="D61" s="4">
        <f t="shared" si="3"/>
        <v>3.503252261953521E-6</v>
      </c>
    </row>
    <row r="62" spans="1:4" x14ac:dyDescent="0.25">
      <c r="A62" t="str">
        <f t="shared" si="0"/>
        <v>3160.8</v>
      </c>
      <c r="B62">
        <f t="shared" si="2"/>
        <v>3160.7999999999947</v>
      </c>
      <c r="C62">
        <v>987.44811823346367</v>
      </c>
      <c r="D62" s="4">
        <f t="shared" si="3"/>
        <v>3.0528281847565553E-5</v>
      </c>
    </row>
    <row r="63" spans="1:4" x14ac:dyDescent="0.25">
      <c r="A63" t="str">
        <f t="shared" si="0"/>
        <v>3160.9</v>
      </c>
      <c r="B63">
        <f t="shared" si="2"/>
        <v>3160.8999999999946</v>
      </c>
      <c r="C63">
        <v>987.44682026171267</v>
      </c>
      <c r="D63" s="4">
        <f t="shared" si="3"/>
        <v>-1.3144708334881633E-6</v>
      </c>
    </row>
    <row r="64" spans="1:4" x14ac:dyDescent="0.25">
      <c r="A64" t="str">
        <f t="shared" si="0"/>
        <v>3161.0</v>
      </c>
      <c r="B64">
        <f t="shared" si="2"/>
        <v>3160.9999999999945</v>
      </c>
      <c r="C64">
        <v>987.45713811966766</v>
      </c>
      <c r="D64" s="4">
        <f t="shared" si="3"/>
        <v>1.0449026462258482E-5</v>
      </c>
    </row>
    <row r="65" spans="1:4" x14ac:dyDescent="0.25">
      <c r="A65" t="str">
        <f t="shared" si="0"/>
        <v>3161.1</v>
      </c>
      <c r="B65">
        <f t="shared" si="2"/>
        <v>3161.0999999999945</v>
      </c>
      <c r="C65">
        <v>987.46360730672336</v>
      </c>
      <c r="D65" s="4">
        <f t="shared" si="3"/>
        <v>6.5513598575211176E-6</v>
      </c>
    </row>
    <row r="66" spans="1:4" x14ac:dyDescent="0.25">
      <c r="A66" t="str">
        <f t="shared" si="0"/>
        <v>3161.2</v>
      </c>
      <c r="B66">
        <f t="shared" si="2"/>
        <v>3161.1999999999944</v>
      </c>
      <c r="C66">
        <v>987.46779329686649</v>
      </c>
      <c r="D66" s="4">
        <f t="shared" si="3"/>
        <v>4.2391335864469957E-6</v>
      </c>
    </row>
    <row r="67" spans="1:4" x14ac:dyDescent="0.25">
      <c r="A67" t="str">
        <f t="shared" si="0"/>
        <v>3161.3</v>
      </c>
      <c r="B67">
        <f t="shared" si="2"/>
        <v>3161.2999999999943</v>
      </c>
      <c r="C67">
        <v>987.46639710320142</v>
      </c>
      <c r="D67" s="4">
        <f t="shared" si="3"/>
        <v>-1.4139131165094099E-6</v>
      </c>
    </row>
    <row r="68" spans="1:4" x14ac:dyDescent="0.25">
      <c r="A68" t="str">
        <f t="shared" si="0"/>
        <v>3161.4</v>
      </c>
      <c r="B68">
        <f t="shared" si="2"/>
        <v>3161.3999999999942</v>
      </c>
      <c r="C68">
        <v>987.46999152714886</v>
      </c>
      <c r="D68" s="4">
        <f t="shared" si="3"/>
        <v>3.6400468491808427E-6</v>
      </c>
    </row>
    <row r="69" spans="1:4" x14ac:dyDescent="0.25">
      <c r="A69" t="str">
        <f t="shared" ref="A69:A104" si="4">TEXT(B69,"0000.0")</f>
        <v>3161.5</v>
      </c>
      <c r="B69">
        <f t="shared" si="2"/>
        <v>3161.4999999999941</v>
      </c>
      <c r="C69">
        <v>987.47243532177583</v>
      </c>
      <c r="D69" s="4">
        <f t="shared" si="3"/>
        <v>2.4748039413234029E-6</v>
      </c>
    </row>
    <row r="70" spans="1:4" x14ac:dyDescent="0.25">
      <c r="A70" t="str">
        <f t="shared" si="4"/>
        <v>3161.6</v>
      </c>
      <c r="B70">
        <f t="shared" ref="B70:B104" si="5">B69+0.1</f>
        <v>3161.599999999994</v>
      </c>
      <c r="C70">
        <v>987.47587722692424</v>
      </c>
      <c r="D70" s="4">
        <f t="shared" ref="D70:D104" si="6">(C70-C69)/C69</f>
        <v>3.485570862831127E-6</v>
      </c>
    </row>
    <row r="71" spans="1:4" x14ac:dyDescent="0.25">
      <c r="A71" t="str">
        <f t="shared" si="4"/>
        <v>3161.7</v>
      </c>
      <c r="B71">
        <f t="shared" si="5"/>
        <v>3161.6999999999939</v>
      </c>
      <c r="C71">
        <v>987.47985673212395</v>
      </c>
      <c r="D71" s="4">
        <f t="shared" si="6"/>
        <v>4.0299771280330838E-6</v>
      </c>
    </row>
    <row r="72" spans="1:4" x14ac:dyDescent="0.25">
      <c r="A72" t="str">
        <f t="shared" si="4"/>
        <v>3161.8</v>
      </c>
      <c r="B72">
        <f t="shared" si="5"/>
        <v>3161.7999999999938</v>
      </c>
      <c r="C72">
        <v>987.48752826757891</v>
      </c>
      <c r="D72" s="4">
        <f t="shared" si="6"/>
        <v>7.768801968627551E-6</v>
      </c>
    </row>
    <row r="73" spans="1:4" x14ac:dyDescent="0.25">
      <c r="A73" t="str">
        <f t="shared" si="4"/>
        <v>3161.9</v>
      </c>
      <c r="B73">
        <f t="shared" si="5"/>
        <v>3161.8999999999937</v>
      </c>
      <c r="C73">
        <v>987.49783619528193</v>
      </c>
      <c r="D73" s="4">
        <f t="shared" si="6"/>
        <v>1.0438539635137098E-5</v>
      </c>
    </row>
    <row r="74" spans="1:4" x14ac:dyDescent="0.25">
      <c r="A74" t="str">
        <f t="shared" si="4"/>
        <v>3162.0</v>
      </c>
      <c r="B74">
        <f t="shared" si="5"/>
        <v>3161.9999999999936</v>
      </c>
      <c r="C74">
        <v>987.50880423457681</v>
      </c>
      <c r="D74" s="4">
        <f t="shared" si="6"/>
        <v>1.1106899572700786E-5</v>
      </c>
    </row>
    <row r="75" spans="1:4" x14ac:dyDescent="0.25">
      <c r="A75" t="str">
        <f t="shared" si="4"/>
        <v>3162.1</v>
      </c>
      <c r="B75">
        <f t="shared" si="5"/>
        <v>3162.0999999999935</v>
      </c>
      <c r="C75">
        <v>987.51276249016473</v>
      </c>
      <c r="D75" s="4">
        <f t="shared" si="6"/>
        <v>4.0083243520911302E-6</v>
      </c>
    </row>
    <row r="76" spans="1:4" x14ac:dyDescent="0.25">
      <c r="A76" t="str">
        <f t="shared" si="4"/>
        <v>3162.2</v>
      </c>
      <c r="B76">
        <f t="shared" si="5"/>
        <v>3162.1999999999935</v>
      </c>
      <c r="C76">
        <v>987.51672074575242</v>
      </c>
      <c r="D76" s="4">
        <f t="shared" si="6"/>
        <v>4.0083082852611704E-6</v>
      </c>
    </row>
    <row r="77" spans="1:4" x14ac:dyDescent="0.25">
      <c r="A77" t="str">
        <f t="shared" si="4"/>
        <v>3162.3</v>
      </c>
      <c r="B77">
        <f t="shared" si="5"/>
        <v>3162.2999999999934</v>
      </c>
      <c r="C77">
        <v>987.53704600443689</v>
      </c>
      <c r="D77" s="4">
        <f t="shared" si="6"/>
        <v>2.0582191934042729E-5</v>
      </c>
    </row>
    <row r="78" spans="1:4" x14ac:dyDescent="0.25">
      <c r="A78" t="str">
        <f t="shared" si="4"/>
        <v>3162.4</v>
      </c>
      <c r="B78">
        <f t="shared" si="5"/>
        <v>3162.3999999999933</v>
      </c>
      <c r="C78">
        <v>987.5439694005272</v>
      </c>
      <c r="D78" s="4">
        <f t="shared" si="6"/>
        <v>7.0107710068465382E-6</v>
      </c>
    </row>
    <row r="79" spans="1:4" x14ac:dyDescent="0.25">
      <c r="A79" t="str">
        <f t="shared" si="4"/>
        <v>3162.5</v>
      </c>
      <c r="B79">
        <f t="shared" si="5"/>
        <v>3162.4999999999932</v>
      </c>
      <c r="C79">
        <v>987.54043319488005</v>
      </c>
      <c r="D79" s="4">
        <f t="shared" si="6"/>
        <v>-3.5808083049688297E-6</v>
      </c>
    </row>
    <row r="80" spans="1:4" x14ac:dyDescent="0.25">
      <c r="A80" t="str">
        <f t="shared" si="4"/>
        <v>3162.6</v>
      </c>
      <c r="B80">
        <f t="shared" si="5"/>
        <v>3162.5999999999931</v>
      </c>
      <c r="C80">
        <v>987.5457308306552</v>
      </c>
      <c r="D80" s="4">
        <f t="shared" si="6"/>
        <v>5.3644748073874378E-6</v>
      </c>
    </row>
    <row r="81" spans="1:4" x14ac:dyDescent="0.25">
      <c r="A81" t="str">
        <f t="shared" si="4"/>
        <v>3162.7</v>
      </c>
      <c r="B81">
        <f t="shared" si="5"/>
        <v>3162.699999999993</v>
      </c>
      <c r="C81">
        <v>987.5497922856481</v>
      </c>
      <c r="D81" s="4">
        <f t="shared" si="6"/>
        <v>4.1126753588180841E-6</v>
      </c>
    </row>
    <row r="82" spans="1:4" x14ac:dyDescent="0.25">
      <c r="A82" t="str">
        <f t="shared" si="4"/>
        <v>3162.8</v>
      </c>
      <c r="B82">
        <f t="shared" si="5"/>
        <v>3162.7999999999929</v>
      </c>
      <c r="C82">
        <v>987.5506410379694</v>
      </c>
      <c r="D82" s="4">
        <f t="shared" si="6"/>
        <v>8.5945268576182883E-7</v>
      </c>
    </row>
    <row r="83" spans="1:4" x14ac:dyDescent="0.25">
      <c r="A83" t="str">
        <f t="shared" si="4"/>
        <v>3162.9</v>
      </c>
      <c r="B83">
        <f t="shared" si="5"/>
        <v>3162.8999999999928</v>
      </c>
      <c r="C83">
        <v>987.55355217896545</v>
      </c>
      <c r="D83" s="4">
        <f t="shared" si="6"/>
        <v>2.9478397107697351E-6</v>
      </c>
    </row>
    <row r="84" spans="1:4" x14ac:dyDescent="0.25">
      <c r="A84" t="str">
        <f t="shared" si="4"/>
        <v>3163.0</v>
      </c>
      <c r="B84">
        <f t="shared" si="5"/>
        <v>3162.9999999999927</v>
      </c>
      <c r="C84">
        <v>987.55751656312998</v>
      </c>
      <c r="D84" s="4">
        <f t="shared" si="6"/>
        <v>4.0143485442240611E-6</v>
      </c>
    </row>
    <row r="85" spans="1:4" x14ac:dyDescent="0.25">
      <c r="A85" t="str">
        <f t="shared" si="4"/>
        <v>3163.1</v>
      </c>
      <c r="B85">
        <f t="shared" si="5"/>
        <v>3163.0999999999926</v>
      </c>
      <c r="C85">
        <v>987.56391581516198</v>
      </c>
      <c r="D85" s="4">
        <f t="shared" si="6"/>
        <v>6.4798778042494088E-6</v>
      </c>
    </row>
    <row r="86" spans="1:4" x14ac:dyDescent="0.25">
      <c r="A86" t="str">
        <f t="shared" si="4"/>
        <v>3163.2</v>
      </c>
      <c r="B86">
        <f t="shared" si="5"/>
        <v>3163.1999999999925</v>
      </c>
      <c r="C86">
        <v>987.56803784658598</v>
      </c>
      <c r="D86" s="4">
        <f t="shared" si="6"/>
        <v>4.1739388792887841E-6</v>
      </c>
    </row>
    <row r="87" spans="1:4" x14ac:dyDescent="0.25">
      <c r="A87" t="str">
        <f t="shared" si="4"/>
        <v>3163.3</v>
      </c>
      <c r="B87">
        <f t="shared" si="5"/>
        <v>3163.2999999999925</v>
      </c>
      <c r="C87">
        <v>987.58340193286767</v>
      </c>
      <c r="D87" s="4">
        <f t="shared" si="6"/>
        <v>1.555749648924905E-5</v>
      </c>
    </row>
    <row r="88" spans="1:4" x14ac:dyDescent="0.25">
      <c r="A88" t="str">
        <f t="shared" si="4"/>
        <v>3163.4</v>
      </c>
      <c r="B88">
        <f t="shared" si="5"/>
        <v>3163.3999999999924</v>
      </c>
      <c r="C88">
        <v>987.58739063038331</v>
      </c>
      <c r="D88" s="4">
        <f t="shared" si="6"/>
        <v>4.03884624613095E-6</v>
      </c>
    </row>
    <row r="89" spans="1:4" x14ac:dyDescent="0.25">
      <c r="A89" t="str">
        <f t="shared" si="4"/>
        <v>3163.5</v>
      </c>
      <c r="B89">
        <f t="shared" si="5"/>
        <v>3163.4999999999923</v>
      </c>
      <c r="C89">
        <v>987.58837526571199</v>
      </c>
      <c r="D89" s="4">
        <f t="shared" si="6"/>
        <v>9.9701083470602236E-7</v>
      </c>
    </row>
    <row r="90" spans="1:4" x14ac:dyDescent="0.25">
      <c r="A90" t="str">
        <f t="shared" si="4"/>
        <v>3163.6</v>
      </c>
      <c r="B90">
        <f t="shared" si="5"/>
        <v>3163.5999999999922</v>
      </c>
      <c r="C90">
        <v>987.59230476688958</v>
      </c>
      <c r="D90" s="4">
        <f t="shared" si="6"/>
        <v>3.9788856126800726E-6</v>
      </c>
    </row>
    <row r="91" spans="1:4" x14ac:dyDescent="0.25">
      <c r="A91" t="str">
        <f t="shared" si="4"/>
        <v>3163.7</v>
      </c>
      <c r="B91">
        <f t="shared" si="5"/>
        <v>3163.6999999999921</v>
      </c>
      <c r="C91">
        <v>987.59178838889056</v>
      </c>
      <c r="D91" s="4">
        <f t="shared" si="6"/>
        <v>-5.2286555548011182E-7</v>
      </c>
    </row>
    <row r="92" spans="1:4" x14ac:dyDescent="0.25">
      <c r="A92" t="str">
        <f t="shared" si="4"/>
        <v>3163.8</v>
      </c>
      <c r="B92">
        <f t="shared" si="5"/>
        <v>3163.799999999992</v>
      </c>
      <c r="C92">
        <v>987.5982638925243</v>
      </c>
      <c r="D92" s="4">
        <f t="shared" si="6"/>
        <v>6.5568625720361777E-6</v>
      </c>
    </row>
    <row r="93" spans="1:4" x14ac:dyDescent="0.25">
      <c r="A93" t="str">
        <f t="shared" si="4"/>
        <v>3163.9</v>
      </c>
      <c r="B93">
        <f t="shared" si="5"/>
        <v>3163.8999999999919</v>
      </c>
      <c r="C93">
        <v>987.60350983608737</v>
      </c>
      <c r="D93" s="4">
        <f t="shared" si="6"/>
        <v>5.3118193448332742E-6</v>
      </c>
    </row>
    <row r="94" spans="1:4" x14ac:dyDescent="0.25">
      <c r="A94" t="str">
        <f t="shared" si="4"/>
        <v>3164.0</v>
      </c>
      <c r="B94">
        <f t="shared" si="5"/>
        <v>3163.9999999999918</v>
      </c>
      <c r="C94">
        <v>987.60219522548698</v>
      </c>
      <c r="D94" s="4">
        <f t="shared" si="6"/>
        <v>-1.3311117136541147E-6</v>
      </c>
    </row>
    <row r="95" spans="1:4" x14ac:dyDescent="0.25">
      <c r="A95" t="str">
        <f t="shared" si="4"/>
        <v>3164.1</v>
      </c>
      <c r="B95">
        <f t="shared" si="5"/>
        <v>3164.0999999999917</v>
      </c>
      <c r="C95">
        <v>987.60611976899406</v>
      </c>
      <c r="D95" s="4">
        <f t="shared" si="6"/>
        <v>3.973810028020895E-6</v>
      </c>
    </row>
    <row r="96" spans="1:4" x14ac:dyDescent="0.25">
      <c r="A96" t="str">
        <f t="shared" si="4"/>
        <v>3164.2</v>
      </c>
      <c r="B96">
        <f t="shared" si="5"/>
        <v>3164.1999999999916</v>
      </c>
      <c r="C96">
        <v>987.61029372532687</v>
      </c>
      <c r="D96" s="4">
        <f t="shared" si="6"/>
        <v>4.2263370479951992E-6</v>
      </c>
    </row>
    <row r="97" spans="1:4" x14ac:dyDescent="0.25">
      <c r="A97" t="str">
        <f t="shared" si="4"/>
        <v>3164.3</v>
      </c>
      <c r="B97">
        <f t="shared" si="5"/>
        <v>3164.2999999999915</v>
      </c>
      <c r="C97">
        <v>987.62165443090282</v>
      </c>
      <c r="D97" s="4">
        <f t="shared" si="6"/>
        <v>1.1503227181948209E-5</v>
      </c>
    </row>
    <row r="98" spans="1:4" x14ac:dyDescent="0.25">
      <c r="A98" t="str">
        <f t="shared" si="4"/>
        <v>3164.4</v>
      </c>
      <c r="B98">
        <f t="shared" si="5"/>
        <v>3164.3999999999915</v>
      </c>
      <c r="C98">
        <v>987.63833366737254</v>
      </c>
      <c r="D98" s="4">
        <f t="shared" si="6"/>
        <v>1.6888285503747998E-5</v>
      </c>
    </row>
    <row r="99" spans="1:4" x14ac:dyDescent="0.25">
      <c r="A99" t="str">
        <f t="shared" si="4"/>
        <v>3164.5</v>
      </c>
      <c r="B99">
        <f t="shared" si="5"/>
        <v>3164.4999999999914</v>
      </c>
      <c r="C99">
        <v>987.64063868701305</v>
      </c>
      <c r="D99" s="4">
        <f t="shared" si="6"/>
        <v>2.3338701647569476E-6</v>
      </c>
    </row>
    <row r="100" spans="1:4" x14ac:dyDescent="0.25">
      <c r="A100" t="str">
        <f t="shared" si="4"/>
        <v>3164.6</v>
      </c>
      <c r="B100">
        <f t="shared" si="5"/>
        <v>3164.5999999999913</v>
      </c>
      <c r="C100">
        <v>987.64403712094429</v>
      </c>
      <c r="D100" s="4">
        <f t="shared" si="6"/>
        <v>3.4409620241591368E-6</v>
      </c>
    </row>
    <row r="101" spans="1:4" x14ac:dyDescent="0.25">
      <c r="A101" t="str">
        <f t="shared" si="4"/>
        <v>3164.7</v>
      </c>
      <c r="B101">
        <f t="shared" si="5"/>
        <v>3164.6999999999912</v>
      </c>
      <c r="C101">
        <v>987.64808757828655</v>
      </c>
      <c r="D101" s="4">
        <f t="shared" si="6"/>
        <v>4.1011307617133903E-6</v>
      </c>
    </row>
    <row r="102" spans="1:4" x14ac:dyDescent="0.25">
      <c r="A102" t="str">
        <f t="shared" si="4"/>
        <v>3164.8</v>
      </c>
      <c r="B102">
        <f t="shared" si="5"/>
        <v>3164.7999999999911</v>
      </c>
      <c r="C102">
        <v>987.65095460889097</v>
      </c>
      <c r="D102" s="4">
        <f t="shared" si="6"/>
        <v>2.9028868080436084E-6</v>
      </c>
    </row>
    <row r="103" spans="1:4" x14ac:dyDescent="0.25">
      <c r="A103" t="str">
        <f t="shared" si="4"/>
        <v>3164.9</v>
      </c>
      <c r="B103">
        <f t="shared" si="5"/>
        <v>3164.899999999991</v>
      </c>
      <c r="C103">
        <v>987.65561080483531</v>
      </c>
      <c r="D103" s="4">
        <f t="shared" si="6"/>
        <v>4.7144144625254224E-6</v>
      </c>
    </row>
    <row r="104" spans="1:4" x14ac:dyDescent="0.25">
      <c r="A104" t="str">
        <f t="shared" si="4"/>
        <v>3165.0</v>
      </c>
      <c r="B104">
        <f t="shared" si="5"/>
        <v>3164.9999999999909</v>
      </c>
      <c r="C104">
        <v>987.65902049050987</v>
      </c>
      <c r="D104" s="4">
        <f t="shared" si="6"/>
        <v>3.4523022370020091E-6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2.black_scholes_sensitivity_in_step_1">
                <anchor moveWithCells="1" sizeWithCells="1">
                  <from>
                    <xdr:col>4</xdr:col>
                    <xdr:colOff>333375</xdr:colOff>
                    <xdr:row>3</xdr:row>
                    <xdr:rowOff>47625</xdr:rowOff>
                  </from>
                  <to>
                    <xdr:col>6</xdr:col>
                    <xdr:colOff>190500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04"/>
  <sheetViews>
    <sheetView workbookViewId="0"/>
  </sheetViews>
  <sheetFormatPr defaultRowHeight="15" x14ac:dyDescent="0.25"/>
  <cols>
    <col min="2" max="2" width="10.140625" bestFit="1" customWidth="1"/>
    <col min="3" max="3" width="15.140625" bestFit="1" customWidth="1"/>
  </cols>
  <sheetData>
    <row r="1" spans="1:11" x14ac:dyDescent="0.25">
      <c r="B1" t="s">
        <v>37</v>
      </c>
      <c r="C1">
        <f>'Parameter Page'!E10</f>
        <v>8812.61</v>
      </c>
      <c r="E1">
        <f>8812-5</f>
        <v>8807</v>
      </c>
      <c r="F1">
        <f>8812+5</f>
        <v>8817</v>
      </c>
    </row>
    <row r="2" spans="1:11" x14ac:dyDescent="0.25">
      <c r="C2" t="s">
        <v>36</v>
      </c>
      <c r="D2">
        <f>COUNT(B4:B104)</f>
        <v>101</v>
      </c>
      <c r="J2" t="s">
        <v>46</v>
      </c>
    </row>
    <row r="3" spans="1:11" x14ac:dyDescent="0.25">
      <c r="B3" t="s">
        <v>41</v>
      </c>
      <c r="C3" t="s">
        <v>35</v>
      </c>
      <c r="I3" t="s">
        <v>44</v>
      </c>
      <c r="J3" t="s">
        <v>35</v>
      </c>
      <c r="K3" t="s">
        <v>47</v>
      </c>
    </row>
    <row r="4" spans="1:11" x14ac:dyDescent="0.25">
      <c r="A4" t="str">
        <f>TEXT(B4,"0000.0")</f>
        <v>8807.0</v>
      </c>
      <c r="B4">
        <v>8807</v>
      </c>
      <c r="C4">
        <v>976.80043550994014</v>
      </c>
      <c r="I4" s="6" t="s">
        <v>49</v>
      </c>
      <c r="J4">
        <f>VLOOKUP(I4,$A$4:$C$104,3,0)</f>
        <v>976.82433913756961</v>
      </c>
      <c r="K4" t="s">
        <v>48</v>
      </c>
    </row>
    <row r="5" spans="1:11" x14ac:dyDescent="0.25">
      <c r="A5" t="str">
        <f t="shared" ref="A5:A68" si="0">TEXT(B5,"0000.0")</f>
        <v>8807.1</v>
      </c>
      <c r="B5">
        <f>B4+0.1</f>
        <v>8807.1</v>
      </c>
      <c r="C5">
        <v>976.80067287790655</v>
      </c>
      <c r="I5" s="6" t="s">
        <v>50</v>
      </c>
      <c r="J5">
        <f t="shared" ref="J5:J6" si="1">VLOOKUP(I5,$A$4:$C$104,3,0)</f>
        <v>976.82670266535547</v>
      </c>
      <c r="K5" s="7">
        <f>(J5-J4)/J4</f>
        <v>2.4196037006479404E-6</v>
      </c>
    </row>
    <row r="6" spans="1:11" x14ac:dyDescent="0.25">
      <c r="A6" t="str">
        <f t="shared" si="0"/>
        <v>8807.2</v>
      </c>
      <c r="B6">
        <f t="shared" ref="B6:B69" si="2">B5+0.1</f>
        <v>8807.2000000000007</v>
      </c>
      <c r="C6">
        <v>976.80091024587352</v>
      </c>
      <c r="I6" s="6" t="s">
        <v>51</v>
      </c>
      <c r="J6">
        <f t="shared" si="1"/>
        <v>976.82747517990219</v>
      </c>
      <c r="K6" s="7">
        <f>(J6-J5)/J5</f>
        <v>7.9084093894741638E-7</v>
      </c>
    </row>
    <row r="7" spans="1:11" x14ac:dyDescent="0.25">
      <c r="A7" t="str">
        <f t="shared" si="0"/>
        <v>8807.3</v>
      </c>
      <c r="B7">
        <f t="shared" si="2"/>
        <v>8807.3000000000011</v>
      </c>
      <c r="C7">
        <v>976.80117524197215</v>
      </c>
    </row>
    <row r="8" spans="1:11" x14ac:dyDescent="0.25">
      <c r="A8" t="str">
        <f t="shared" si="0"/>
        <v>8807.4</v>
      </c>
      <c r="B8">
        <f t="shared" si="2"/>
        <v>8807.4000000000015</v>
      </c>
      <c r="C8">
        <v>976.80141260993855</v>
      </c>
    </row>
    <row r="9" spans="1:11" x14ac:dyDescent="0.25">
      <c r="A9" t="str">
        <f t="shared" si="0"/>
        <v>8807.5</v>
      </c>
      <c r="B9">
        <f t="shared" si="2"/>
        <v>8807.5000000000018</v>
      </c>
      <c r="C9">
        <v>976.80164997790496</v>
      </c>
    </row>
    <row r="10" spans="1:11" x14ac:dyDescent="0.25">
      <c r="A10" t="str">
        <f t="shared" si="0"/>
        <v>8807.6</v>
      </c>
      <c r="B10">
        <f t="shared" si="2"/>
        <v>8807.6000000000022</v>
      </c>
      <c r="C10">
        <v>976.80188734587114</v>
      </c>
    </row>
    <row r="11" spans="1:11" x14ac:dyDescent="0.25">
      <c r="A11" t="str">
        <f t="shared" si="0"/>
        <v>8807.7</v>
      </c>
      <c r="B11">
        <f t="shared" si="2"/>
        <v>8807.7000000000025</v>
      </c>
      <c r="C11">
        <v>976.802124713838</v>
      </c>
    </row>
    <row r="12" spans="1:11" x14ac:dyDescent="0.25">
      <c r="A12" t="str">
        <f t="shared" si="0"/>
        <v>8807.8</v>
      </c>
      <c r="B12">
        <f t="shared" si="2"/>
        <v>8807.8000000000029</v>
      </c>
      <c r="C12">
        <v>976.80236208180474</v>
      </c>
    </row>
    <row r="13" spans="1:11" x14ac:dyDescent="0.25">
      <c r="A13" t="str">
        <f t="shared" si="0"/>
        <v>8807.9</v>
      </c>
      <c r="B13">
        <f t="shared" si="2"/>
        <v>8807.9000000000033</v>
      </c>
      <c r="C13">
        <v>976.80259944977183</v>
      </c>
    </row>
    <row r="14" spans="1:11" x14ac:dyDescent="0.25">
      <c r="A14" t="str">
        <f t="shared" si="0"/>
        <v>8808.0</v>
      </c>
      <c r="B14">
        <f t="shared" si="2"/>
        <v>8808.0000000000036</v>
      </c>
      <c r="C14">
        <v>976.8028368177379</v>
      </c>
    </row>
    <row r="15" spans="1:11" x14ac:dyDescent="0.25">
      <c r="A15" t="str">
        <f t="shared" si="0"/>
        <v>8808.1</v>
      </c>
      <c r="B15">
        <f t="shared" si="2"/>
        <v>8808.100000000004</v>
      </c>
      <c r="C15">
        <v>976.80432013639995</v>
      </c>
    </row>
    <row r="16" spans="1:11" x14ac:dyDescent="0.25">
      <c r="A16" t="str">
        <f t="shared" si="0"/>
        <v>8808.2</v>
      </c>
      <c r="B16">
        <f t="shared" si="2"/>
        <v>8808.2000000000044</v>
      </c>
      <c r="C16">
        <v>976.80455750436704</v>
      </c>
    </row>
    <row r="17" spans="1:3" x14ac:dyDescent="0.25">
      <c r="A17" t="str">
        <f t="shared" si="0"/>
        <v>8808.3</v>
      </c>
      <c r="B17">
        <f t="shared" si="2"/>
        <v>8808.3000000000047</v>
      </c>
      <c r="C17">
        <v>976.80479487233367</v>
      </c>
    </row>
    <row r="18" spans="1:3" x14ac:dyDescent="0.25">
      <c r="A18" t="str">
        <f t="shared" si="0"/>
        <v>8808.4</v>
      </c>
      <c r="B18">
        <f t="shared" si="2"/>
        <v>8808.4000000000051</v>
      </c>
      <c r="C18">
        <v>976.80503141288659</v>
      </c>
    </row>
    <row r="19" spans="1:3" x14ac:dyDescent="0.25">
      <c r="A19" t="str">
        <f t="shared" si="0"/>
        <v>8808.5</v>
      </c>
      <c r="B19">
        <f t="shared" si="2"/>
        <v>8808.5000000000055</v>
      </c>
      <c r="C19">
        <v>976.80526776566489</v>
      </c>
    </row>
    <row r="20" spans="1:3" x14ac:dyDescent="0.25">
      <c r="A20" t="str">
        <f t="shared" si="0"/>
        <v>8808.6</v>
      </c>
      <c r="B20">
        <f t="shared" si="2"/>
        <v>8808.6000000000058</v>
      </c>
      <c r="C20">
        <v>976.80550411844365</v>
      </c>
    </row>
    <row r="21" spans="1:3" x14ac:dyDescent="0.25">
      <c r="A21" t="str">
        <f t="shared" si="0"/>
        <v>8808.7</v>
      </c>
      <c r="B21">
        <f t="shared" si="2"/>
        <v>8808.7000000000062</v>
      </c>
      <c r="C21">
        <v>976.80574047122229</v>
      </c>
    </row>
    <row r="22" spans="1:3" x14ac:dyDescent="0.25">
      <c r="A22" t="str">
        <f t="shared" si="0"/>
        <v>8808.8</v>
      </c>
      <c r="B22">
        <f t="shared" si="2"/>
        <v>8808.8000000000065</v>
      </c>
      <c r="C22">
        <v>976.80597682399991</v>
      </c>
    </row>
    <row r="23" spans="1:3" x14ac:dyDescent="0.25">
      <c r="A23" t="str">
        <f t="shared" si="0"/>
        <v>8808.9</v>
      </c>
      <c r="B23">
        <f t="shared" si="2"/>
        <v>8808.9000000000069</v>
      </c>
      <c r="C23">
        <v>976.80621317677867</v>
      </c>
    </row>
    <row r="24" spans="1:3" x14ac:dyDescent="0.25">
      <c r="A24" t="str">
        <f t="shared" si="0"/>
        <v>8809.0</v>
      </c>
      <c r="B24">
        <f t="shared" si="2"/>
        <v>8809.0000000000073</v>
      </c>
      <c r="C24">
        <v>976.80644952955697</v>
      </c>
    </row>
    <row r="25" spans="1:3" x14ac:dyDescent="0.25">
      <c r="A25" t="str">
        <f t="shared" si="0"/>
        <v>8809.1</v>
      </c>
      <c r="B25">
        <f t="shared" si="2"/>
        <v>8809.1000000000076</v>
      </c>
      <c r="C25">
        <v>976.80668588233607</v>
      </c>
    </row>
    <row r="26" spans="1:3" x14ac:dyDescent="0.25">
      <c r="A26" t="str">
        <f t="shared" si="0"/>
        <v>8809.2</v>
      </c>
      <c r="B26">
        <f t="shared" si="2"/>
        <v>8809.200000000008</v>
      </c>
      <c r="C26">
        <v>976.80692223511471</v>
      </c>
    </row>
    <row r="27" spans="1:3" x14ac:dyDescent="0.25">
      <c r="A27" t="str">
        <f t="shared" si="0"/>
        <v>8809.3</v>
      </c>
      <c r="B27">
        <f t="shared" si="2"/>
        <v>8809.3000000000084</v>
      </c>
      <c r="C27">
        <v>976.80961379580071</v>
      </c>
    </row>
    <row r="28" spans="1:3" x14ac:dyDescent="0.25">
      <c r="A28" t="str">
        <f t="shared" si="0"/>
        <v>8809.4</v>
      </c>
      <c r="B28">
        <f t="shared" si="2"/>
        <v>8809.4000000000087</v>
      </c>
      <c r="C28">
        <v>976.80985014857959</v>
      </c>
    </row>
    <row r="29" spans="1:3" x14ac:dyDescent="0.25">
      <c r="A29" t="str">
        <f t="shared" si="0"/>
        <v>8809.5</v>
      </c>
      <c r="B29">
        <f t="shared" si="2"/>
        <v>8809.5000000000091</v>
      </c>
      <c r="C29">
        <v>976.810086501358</v>
      </c>
    </row>
    <row r="30" spans="1:3" x14ac:dyDescent="0.25">
      <c r="A30" t="str">
        <f t="shared" si="0"/>
        <v>8809.6</v>
      </c>
      <c r="B30">
        <f t="shared" si="2"/>
        <v>8809.6000000000095</v>
      </c>
      <c r="C30">
        <v>976.81032285413653</v>
      </c>
    </row>
    <row r="31" spans="1:3" x14ac:dyDescent="0.25">
      <c r="A31" t="str">
        <f t="shared" si="0"/>
        <v>8809.7</v>
      </c>
      <c r="B31">
        <f t="shared" si="2"/>
        <v>8809.7000000000098</v>
      </c>
      <c r="C31">
        <v>976.81055920691517</v>
      </c>
    </row>
    <row r="32" spans="1:3" x14ac:dyDescent="0.25">
      <c r="A32" t="str">
        <f t="shared" si="0"/>
        <v>8809.8</v>
      </c>
      <c r="B32">
        <f t="shared" si="2"/>
        <v>8809.8000000000102</v>
      </c>
      <c r="C32">
        <v>976.8107955596937</v>
      </c>
    </row>
    <row r="33" spans="1:3" x14ac:dyDescent="0.25">
      <c r="A33" t="str">
        <f t="shared" si="0"/>
        <v>8809.9</v>
      </c>
      <c r="B33">
        <f t="shared" si="2"/>
        <v>8809.9000000000106</v>
      </c>
      <c r="C33">
        <v>976.81103191247234</v>
      </c>
    </row>
    <row r="34" spans="1:3" x14ac:dyDescent="0.25">
      <c r="A34" t="str">
        <f t="shared" si="0"/>
        <v>8810.0</v>
      </c>
      <c r="B34">
        <f t="shared" si="2"/>
        <v>8810.0000000000109</v>
      </c>
      <c r="C34">
        <v>976.81250507858169</v>
      </c>
    </row>
    <row r="35" spans="1:3" x14ac:dyDescent="0.25">
      <c r="A35" t="str">
        <f t="shared" si="0"/>
        <v>8810.1</v>
      </c>
      <c r="B35">
        <f t="shared" si="2"/>
        <v>8810.1000000000113</v>
      </c>
      <c r="C35">
        <v>976.81274143136034</v>
      </c>
    </row>
    <row r="36" spans="1:3" x14ac:dyDescent="0.25">
      <c r="A36" t="str">
        <f t="shared" si="0"/>
        <v>8810.2</v>
      </c>
      <c r="B36">
        <f t="shared" si="2"/>
        <v>8810.2000000000116</v>
      </c>
      <c r="C36">
        <v>976.81297778413875</v>
      </c>
    </row>
    <row r="37" spans="1:3" x14ac:dyDescent="0.25">
      <c r="A37" t="str">
        <f t="shared" si="0"/>
        <v>8810.3</v>
      </c>
      <c r="B37">
        <f t="shared" si="2"/>
        <v>8810.300000000012</v>
      </c>
      <c r="C37">
        <v>976.82180736459395</v>
      </c>
    </row>
    <row r="38" spans="1:3" x14ac:dyDescent="0.25">
      <c r="A38" t="str">
        <f t="shared" si="0"/>
        <v>8810.4</v>
      </c>
      <c r="B38">
        <f t="shared" si="2"/>
        <v>8810.4000000000124</v>
      </c>
      <c r="C38">
        <v>976.82204371737203</v>
      </c>
    </row>
    <row r="39" spans="1:3" x14ac:dyDescent="0.25">
      <c r="A39" t="str">
        <f t="shared" si="0"/>
        <v>8810.5</v>
      </c>
      <c r="B39">
        <f t="shared" si="2"/>
        <v>8810.5000000000127</v>
      </c>
      <c r="C39">
        <v>976.82228007015078</v>
      </c>
    </row>
    <row r="40" spans="1:3" x14ac:dyDescent="0.25">
      <c r="A40" t="str">
        <f t="shared" si="0"/>
        <v>8810.6</v>
      </c>
      <c r="B40">
        <f t="shared" si="2"/>
        <v>8810.6000000000131</v>
      </c>
      <c r="C40">
        <v>976.82252562779956</v>
      </c>
    </row>
    <row r="41" spans="1:3" x14ac:dyDescent="0.25">
      <c r="A41" t="str">
        <f t="shared" si="0"/>
        <v>8810.7</v>
      </c>
      <c r="B41">
        <f t="shared" si="2"/>
        <v>8810.7000000000135</v>
      </c>
      <c r="C41">
        <v>976.82276198057741</v>
      </c>
    </row>
    <row r="42" spans="1:3" x14ac:dyDescent="0.25">
      <c r="A42" t="str">
        <f t="shared" si="0"/>
        <v>8810.8</v>
      </c>
      <c r="B42">
        <f t="shared" si="2"/>
        <v>8810.8000000000138</v>
      </c>
      <c r="C42">
        <v>976.82244831534183</v>
      </c>
    </row>
    <row r="43" spans="1:3" x14ac:dyDescent="0.25">
      <c r="A43" t="str">
        <f t="shared" si="0"/>
        <v>8810.9</v>
      </c>
      <c r="B43">
        <f t="shared" si="2"/>
        <v>8810.9000000000142</v>
      </c>
      <c r="C43">
        <v>976.82268466812059</v>
      </c>
    </row>
    <row r="44" spans="1:3" x14ac:dyDescent="0.25">
      <c r="A44" t="str">
        <f t="shared" si="0"/>
        <v>8811.0</v>
      </c>
      <c r="B44">
        <f t="shared" si="2"/>
        <v>8811.0000000000146</v>
      </c>
      <c r="C44">
        <v>976.82292102089912</v>
      </c>
    </row>
    <row r="45" spans="1:3" x14ac:dyDescent="0.25">
      <c r="A45" t="str">
        <f t="shared" si="0"/>
        <v>8811.1</v>
      </c>
      <c r="B45">
        <f t="shared" si="2"/>
        <v>8811.1000000000149</v>
      </c>
      <c r="C45">
        <v>976.82315737367753</v>
      </c>
    </row>
    <row r="46" spans="1:3" x14ac:dyDescent="0.25">
      <c r="A46" t="str">
        <f t="shared" si="0"/>
        <v>8811.2</v>
      </c>
      <c r="B46">
        <f t="shared" si="2"/>
        <v>8811.2000000000153</v>
      </c>
      <c r="C46">
        <v>976.82339372645617</v>
      </c>
    </row>
    <row r="47" spans="1:3" x14ac:dyDescent="0.25">
      <c r="A47" t="str">
        <f t="shared" si="0"/>
        <v>8811.3</v>
      </c>
      <c r="B47">
        <f t="shared" si="2"/>
        <v>8811.3000000000156</v>
      </c>
      <c r="C47">
        <v>976.82363007923459</v>
      </c>
    </row>
    <row r="48" spans="1:3" x14ac:dyDescent="0.25">
      <c r="A48" t="str">
        <f t="shared" si="0"/>
        <v>8811.4</v>
      </c>
      <c r="B48">
        <f t="shared" si="2"/>
        <v>8811.400000000016</v>
      </c>
      <c r="C48">
        <v>976.82386643201301</v>
      </c>
    </row>
    <row r="49" spans="1:3" x14ac:dyDescent="0.25">
      <c r="A49" t="str">
        <f t="shared" si="0"/>
        <v>8811.5</v>
      </c>
      <c r="B49">
        <f t="shared" si="2"/>
        <v>8811.5000000000164</v>
      </c>
      <c r="C49">
        <v>976.82410278479199</v>
      </c>
    </row>
    <row r="50" spans="1:3" x14ac:dyDescent="0.25">
      <c r="A50" t="str">
        <f t="shared" si="0"/>
        <v>8811.6</v>
      </c>
      <c r="B50">
        <f t="shared" si="2"/>
        <v>8811.6000000000167</v>
      </c>
      <c r="C50">
        <v>976.82433913756961</v>
      </c>
    </row>
    <row r="51" spans="1:3" x14ac:dyDescent="0.25">
      <c r="A51" t="str">
        <f t="shared" si="0"/>
        <v>8811.7</v>
      </c>
      <c r="B51">
        <f t="shared" si="2"/>
        <v>8811.7000000000171</v>
      </c>
      <c r="C51">
        <v>976.82457549034916</v>
      </c>
    </row>
    <row r="52" spans="1:3" x14ac:dyDescent="0.25">
      <c r="A52" t="str">
        <f t="shared" si="0"/>
        <v>8811.8</v>
      </c>
      <c r="B52">
        <f t="shared" si="2"/>
        <v>8811.8000000000175</v>
      </c>
      <c r="C52">
        <v>976.82481184312758</v>
      </c>
    </row>
    <row r="53" spans="1:3" x14ac:dyDescent="0.25">
      <c r="A53" t="str">
        <f t="shared" si="0"/>
        <v>8811.9</v>
      </c>
      <c r="B53">
        <f t="shared" si="2"/>
        <v>8811.9000000000178</v>
      </c>
      <c r="C53">
        <v>976.82504819590599</v>
      </c>
    </row>
    <row r="54" spans="1:3" x14ac:dyDescent="0.25">
      <c r="A54" t="str">
        <f t="shared" si="0"/>
        <v>8812.0</v>
      </c>
      <c r="B54">
        <f t="shared" si="2"/>
        <v>8812.0000000000182</v>
      </c>
      <c r="C54">
        <v>976.82528454868384</v>
      </c>
    </row>
    <row r="55" spans="1:3" x14ac:dyDescent="0.25">
      <c r="A55" t="str">
        <f t="shared" si="0"/>
        <v>8812.1</v>
      </c>
      <c r="B55">
        <f t="shared" si="2"/>
        <v>8812.1000000000186</v>
      </c>
      <c r="C55">
        <v>976.82552090146316</v>
      </c>
    </row>
    <row r="56" spans="1:3" x14ac:dyDescent="0.25">
      <c r="A56" t="str">
        <f t="shared" si="0"/>
        <v>8812.2</v>
      </c>
      <c r="B56">
        <f t="shared" si="2"/>
        <v>8812.2000000000189</v>
      </c>
      <c r="C56">
        <v>976.82575725424124</v>
      </c>
    </row>
    <row r="57" spans="1:3" x14ac:dyDescent="0.25">
      <c r="A57" t="str">
        <f t="shared" si="0"/>
        <v>8812.3</v>
      </c>
      <c r="B57">
        <f t="shared" si="2"/>
        <v>8812.3000000000193</v>
      </c>
      <c r="C57">
        <v>976.82599360701965</v>
      </c>
    </row>
    <row r="58" spans="1:3" x14ac:dyDescent="0.25">
      <c r="A58" t="str">
        <f t="shared" si="0"/>
        <v>8812.4</v>
      </c>
      <c r="B58">
        <f t="shared" si="2"/>
        <v>8812.4000000000196</v>
      </c>
      <c r="C58">
        <v>976.82622995979773</v>
      </c>
    </row>
    <row r="59" spans="1:3" x14ac:dyDescent="0.25">
      <c r="A59" t="str">
        <f t="shared" si="0"/>
        <v>8812.5</v>
      </c>
      <c r="B59">
        <f t="shared" si="2"/>
        <v>8812.50000000002</v>
      </c>
      <c r="C59">
        <v>976.82646631257592</v>
      </c>
    </row>
    <row r="60" spans="1:3" x14ac:dyDescent="0.25">
      <c r="A60" t="str">
        <f t="shared" si="0"/>
        <v>8812.6</v>
      </c>
      <c r="B60">
        <f t="shared" si="2"/>
        <v>8812.6000000000204</v>
      </c>
      <c r="C60">
        <v>976.82670266535547</v>
      </c>
    </row>
    <row r="61" spans="1:3" x14ac:dyDescent="0.25">
      <c r="A61" t="str">
        <f t="shared" si="0"/>
        <v>8812.7</v>
      </c>
      <c r="B61">
        <f t="shared" si="2"/>
        <v>8812.7000000000207</v>
      </c>
      <c r="C61">
        <v>976.82534800489611</v>
      </c>
    </row>
    <row r="62" spans="1:3" x14ac:dyDescent="0.25">
      <c r="A62" t="str">
        <f t="shared" si="0"/>
        <v>8812.8</v>
      </c>
      <c r="B62">
        <f t="shared" si="2"/>
        <v>8812.8000000000211</v>
      </c>
      <c r="C62">
        <v>976.82558435767385</v>
      </c>
    </row>
    <row r="63" spans="1:3" x14ac:dyDescent="0.25">
      <c r="A63" t="str">
        <f t="shared" si="0"/>
        <v>8812.9</v>
      </c>
      <c r="B63">
        <f t="shared" si="2"/>
        <v>8812.9000000000215</v>
      </c>
      <c r="C63">
        <v>976.82582071045272</v>
      </c>
    </row>
    <row r="64" spans="1:3" x14ac:dyDescent="0.25">
      <c r="A64" t="str">
        <f t="shared" si="0"/>
        <v>8813.0</v>
      </c>
      <c r="B64">
        <f t="shared" si="2"/>
        <v>8813.0000000000218</v>
      </c>
      <c r="C64">
        <v>976.82605706323068</v>
      </c>
    </row>
    <row r="65" spans="1:3" x14ac:dyDescent="0.25">
      <c r="A65" t="str">
        <f t="shared" si="0"/>
        <v>8813.1</v>
      </c>
      <c r="B65">
        <f t="shared" si="2"/>
        <v>8813.1000000000222</v>
      </c>
      <c r="C65">
        <v>976.82629341601012</v>
      </c>
    </row>
    <row r="66" spans="1:3" x14ac:dyDescent="0.25">
      <c r="A66" t="str">
        <f t="shared" si="0"/>
        <v>8813.2</v>
      </c>
      <c r="B66">
        <f t="shared" si="2"/>
        <v>8813.2000000000226</v>
      </c>
      <c r="C66">
        <v>976.82652976878842</v>
      </c>
    </row>
    <row r="67" spans="1:3" x14ac:dyDescent="0.25">
      <c r="A67" t="str">
        <f t="shared" si="0"/>
        <v>8813.3</v>
      </c>
      <c r="B67">
        <f t="shared" si="2"/>
        <v>8813.3000000000229</v>
      </c>
      <c r="C67">
        <v>976.82676612156661</v>
      </c>
    </row>
    <row r="68" spans="1:3" x14ac:dyDescent="0.25">
      <c r="A68" t="str">
        <f t="shared" si="0"/>
        <v>8813.4</v>
      </c>
      <c r="B68">
        <f t="shared" si="2"/>
        <v>8813.4000000000233</v>
      </c>
      <c r="C68">
        <v>976.82700247434593</v>
      </c>
    </row>
    <row r="69" spans="1:3" x14ac:dyDescent="0.25">
      <c r="A69" t="str">
        <f t="shared" ref="A69:A104" si="3">TEXT(B69,"0000.0")</f>
        <v>8813.5</v>
      </c>
      <c r="B69">
        <f t="shared" si="2"/>
        <v>8813.5000000000236</v>
      </c>
      <c r="C69">
        <v>976.82723882712321</v>
      </c>
    </row>
    <row r="70" spans="1:3" x14ac:dyDescent="0.25">
      <c r="A70" t="str">
        <f t="shared" si="3"/>
        <v>8813.6</v>
      </c>
      <c r="B70">
        <f t="shared" ref="B70:B104" si="4">B69+0.1</f>
        <v>8813.600000000024</v>
      </c>
      <c r="C70">
        <v>976.82747517990219</v>
      </c>
    </row>
    <row r="71" spans="1:3" x14ac:dyDescent="0.25">
      <c r="A71" t="str">
        <f t="shared" si="3"/>
        <v>8813.7</v>
      </c>
      <c r="B71">
        <f t="shared" si="4"/>
        <v>8813.7000000000244</v>
      </c>
      <c r="C71">
        <v>976.82771153268095</v>
      </c>
    </row>
    <row r="72" spans="1:3" x14ac:dyDescent="0.25">
      <c r="A72" t="str">
        <f t="shared" si="3"/>
        <v>8813.8</v>
      </c>
      <c r="B72">
        <f t="shared" si="4"/>
        <v>8813.8000000000247</v>
      </c>
      <c r="C72">
        <v>976.82794788545982</v>
      </c>
    </row>
    <row r="73" spans="1:3" x14ac:dyDescent="0.25">
      <c r="A73" t="str">
        <f t="shared" si="3"/>
        <v>8813.9</v>
      </c>
      <c r="B73">
        <f t="shared" si="4"/>
        <v>8813.9000000000251</v>
      </c>
      <c r="C73">
        <v>976.82659322499921</v>
      </c>
    </row>
    <row r="74" spans="1:3" x14ac:dyDescent="0.25">
      <c r="A74" t="str">
        <f t="shared" si="3"/>
        <v>8814.0</v>
      </c>
      <c r="B74">
        <f t="shared" si="4"/>
        <v>8814.0000000000255</v>
      </c>
      <c r="C74">
        <v>976.82682957777831</v>
      </c>
    </row>
    <row r="75" spans="1:3" x14ac:dyDescent="0.25">
      <c r="A75" t="str">
        <f t="shared" si="3"/>
        <v>8814.1</v>
      </c>
      <c r="B75">
        <f t="shared" si="4"/>
        <v>8814.1000000000258</v>
      </c>
      <c r="C75">
        <v>976.82707541726199</v>
      </c>
    </row>
    <row r="76" spans="1:3" x14ac:dyDescent="0.25">
      <c r="A76" t="str">
        <f t="shared" si="3"/>
        <v>8814.2</v>
      </c>
      <c r="B76">
        <f t="shared" si="4"/>
        <v>8814.2000000000262</v>
      </c>
      <c r="C76">
        <v>976.82731177003984</v>
      </c>
    </row>
    <row r="77" spans="1:3" x14ac:dyDescent="0.25">
      <c r="A77" t="str">
        <f t="shared" si="3"/>
        <v>8814.3</v>
      </c>
      <c r="B77">
        <f t="shared" si="4"/>
        <v>8814.3000000000266</v>
      </c>
      <c r="C77">
        <v>976.82754812281905</v>
      </c>
    </row>
    <row r="78" spans="1:3" x14ac:dyDescent="0.25">
      <c r="A78" t="str">
        <f t="shared" si="3"/>
        <v>8814.4</v>
      </c>
      <c r="B78">
        <f t="shared" si="4"/>
        <v>8814.4000000000269</v>
      </c>
      <c r="C78">
        <v>976.82778447559826</v>
      </c>
    </row>
    <row r="79" spans="1:3" x14ac:dyDescent="0.25">
      <c r="A79" t="str">
        <f t="shared" si="3"/>
        <v>8814.5</v>
      </c>
      <c r="B79">
        <f t="shared" si="4"/>
        <v>8814.5000000000273</v>
      </c>
      <c r="C79">
        <v>976.82802082837634</v>
      </c>
    </row>
    <row r="80" spans="1:3" x14ac:dyDescent="0.25">
      <c r="A80" t="str">
        <f t="shared" si="3"/>
        <v>8814.6</v>
      </c>
      <c r="B80">
        <f t="shared" si="4"/>
        <v>8814.6000000000276</v>
      </c>
      <c r="C80">
        <v>976.8218437831481</v>
      </c>
    </row>
    <row r="81" spans="1:3" x14ac:dyDescent="0.25">
      <c r="A81" t="str">
        <f t="shared" si="3"/>
        <v>8814.7</v>
      </c>
      <c r="B81">
        <f t="shared" si="4"/>
        <v>8814.700000000028</v>
      </c>
      <c r="C81">
        <v>976.82208013592754</v>
      </c>
    </row>
    <row r="82" spans="1:3" x14ac:dyDescent="0.25">
      <c r="A82" t="str">
        <f t="shared" si="3"/>
        <v>8814.8</v>
      </c>
      <c r="B82">
        <f t="shared" si="4"/>
        <v>8814.8000000000284</v>
      </c>
      <c r="C82">
        <v>976.82231648870538</v>
      </c>
    </row>
    <row r="83" spans="1:3" x14ac:dyDescent="0.25">
      <c r="A83" t="str">
        <f t="shared" si="3"/>
        <v>8814.9</v>
      </c>
      <c r="B83">
        <f t="shared" si="4"/>
        <v>8814.9000000000287</v>
      </c>
      <c r="C83">
        <v>976.82259852830691</v>
      </c>
    </row>
    <row r="84" spans="1:3" x14ac:dyDescent="0.25">
      <c r="A84" t="str">
        <f t="shared" si="3"/>
        <v>8815.0</v>
      </c>
      <c r="B84">
        <f t="shared" si="4"/>
        <v>8815.0000000000291</v>
      </c>
      <c r="C84">
        <v>976.82283488108499</v>
      </c>
    </row>
    <row r="85" spans="1:3" x14ac:dyDescent="0.25">
      <c r="A85" t="str">
        <f t="shared" si="3"/>
        <v>8815.1</v>
      </c>
      <c r="B85">
        <f t="shared" si="4"/>
        <v>8815.1000000000295</v>
      </c>
      <c r="C85">
        <v>976.82307123386374</v>
      </c>
    </row>
    <row r="86" spans="1:3" x14ac:dyDescent="0.25">
      <c r="A86" t="str">
        <f t="shared" si="3"/>
        <v>8815.2</v>
      </c>
      <c r="B86">
        <f t="shared" si="4"/>
        <v>8815.2000000000298</v>
      </c>
      <c r="C86">
        <v>976.82330758664239</v>
      </c>
    </row>
    <row r="87" spans="1:3" x14ac:dyDescent="0.25">
      <c r="A87" t="str">
        <f t="shared" si="3"/>
        <v>8815.3</v>
      </c>
      <c r="B87">
        <f t="shared" si="4"/>
        <v>8815.3000000000302</v>
      </c>
      <c r="C87">
        <v>976.82354393942057</v>
      </c>
    </row>
    <row r="88" spans="1:3" x14ac:dyDescent="0.25">
      <c r="A88" t="str">
        <f t="shared" si="3"/>
        <v>8815.4</v>
      </c>
      <c r="B88">
        <f t="shared" si="4"/>
        <v>8815.4000000000306</v>
      </c>
      <c r="C88">
        <v>976.82378029219933</v>
      </c>
    </row>
    <row r="89" spans="1:3" x14ac:dyDescent="0.25">
      <c r="A89" t="str">
        <f t="shared" si="3"/>
        <v>8815.5</v>
      </c>
      <c r="B89">
        <f t="shared" si="4"/>
        <v>8815.5000000000309</v>
      </c>
      <c r="C89">
        <v>976.82401664497797</v>
      </c>
    </row>
    <row r="90" spans="1:3" x14ac:dyDescent="0.25">
      <c r="A90" t="str">
        <f t="shared" si="3"/>
        <v>8815.6</v>
      </c>
      <c r="B90">
        <f t="shared" si="4"/>
        <v>8815.6000000000313</v>
      </c>
      <c r="C90">
        <v>976.82425299775616</v>
      </c>
    </row>
    <row r="91" spans="1:3" x14ac:dyDescent="0.25">
      <c r="A91" t="str">
        <f t="shared" si="3"/>
        <v>8815.7</v>
      </c>
      <c r="B91">
        <f t="shared" si="4"/>
        <v>8815.7000000000317</v>
      </c>
      <c r="C91">
        <v>976.8244884599211</v>
      </c>
    </row>
    <row r="92" spans="1:3" x14ac:dyDescent="0.25">
      <c r="A92" t="str">
        <f t="shared" si="3"/>
        <v>8815.8</v>
      </c>
      <c r="B92">
        <f t="shared" si="4"/>
        <v>8815.800000000032</v>
      </c>
      <c r="C92">
        <v>976.82472389143277</v>
      </c>
    </row>
    <row r="93" spans="1:3" x14ac:dyDescent="0.25">
      <c r="A93" t="str">
        <f t="shared" si="3"/>
        <v>8815.9</v>
      </c>
      <c r="B93">
        <f t="shared" si="4"/>
        <v>8815.9000000000324</v>
      </c>
      <c r="C93">
        <v>976.82495932294466</v>
      </c>
    </row>
    <row r="94" spans="1:3" x14ac:dyDescent="0.25">
      <c r="A94" t="str">
        <f t="shared" si="3"/>
        <v>8816.0</v>
      </c>
      <c r="B94">
        <f t="shared" si="4"/>
        <v>8816.0000000000327</v>
      </c>
      <c r="C94">
        <v>976.82519475445736</v>
      </c>
    </row>
    <row r="95" spans="1:3" x14ac:dyDescent="0.25">
      <c r="A95" t="str">
        <f t="shared" si="3"/>
        <v>8816.1</v>
      </c>
      <c r="B95">
        <f t="shared" si="4"/>
        <v>8816.1000000000331</v>
      </c>
      <c r="C95">
        <v>976.82543018596914</v>
      </c>
    </row>
    <row r="96" spans="1:3" x14ac:dyDescent="0.25">
      <c r="A96" t="str">
        <f t="shared" si="3"/>
        <v>8816.2</v>
      </c>
      <c r="B96">
        <f t="shared" si="4"/>
        <v>8816.2000000000335</v>
      </c>
      <c r="C96">
        <v>976.82566561748149</v>
      </c>
    </row>
    <row r="97" spans="1:3" x14ac:dyDescent="0.25">
      <c r="A97" t="str">
        <f t="shared" si="3"/>
        <v>8816.3</v>
      </c>
      <c r="B97">
        <f t="shared" si="4"/>
        <v>8816.3000000000338</v>
      </c>
      <c r="C97">
        <v>976.8259010489943</v>
      </c>
    </row>
    <row r="98" spans="1:3" x14ac:dyDescent="0.25">
      <c r="A98" t="str">
        <f t="shared" si="3"/>
        <v>8816.4</v>
      </c>
      <c r="B98">
        <f t="shared" si="4"/>
        <v>8816.4000000000342</v>
      </c>
      <c r="C98">
        <v>976.82614568988424</v>
      </c>
    </row>
    <row r="99" spans="1:3" x14ac:dyDescent="0.25">
      <c r="A99" t="str">
        <f t="shared" si="3"/>
        <v>8816.5</v>
      </c>
      <c r="B99">
        <f t="shared" si="4"/>
        <v>8816.5000000000346</v>
      </c>
      <c r="C99">
        <v>976.82638112139648</v>
      </c>
    </row>
    <row r="100" spans="1:3" x14ac:dyDescent="0.25">
      <c r="A100" t="str">
        <f t="shared" si="3"/>
        <v>8816.6</v>
      </c>
      <c r="B100">
        <f t="shared" si="4"/>
        <v>8816.6000000000349</v>
      </c>
      <c r="C100">
        <v>976.82661621881266</v>
      </c>
    </row>
    <row r="101" spans="1:3" x14ac:dyDescent="0.25">
      <c r="A101" t="str">
        <f t="shared" si="3"/>
        <v>8816.7</v>
      </c>
      <c r="B101">
        <f t="shared" si="4"/>
        <v>8816.7000000000353</v>
      </c>
      <c r="C101">
        <v>976.82685073245716</v>
      </c>
    </row>
    <row r="102" spans="1:3" x14ac:dyDescent="0.25">
      <c r="A102" t="str">
        <f t="shared" si="3"/>
        <v>8816.8</v>
      </c>
      <c r="B102">
        <f t="shared" si="4"/>
        <v>8816.8000000000357</v>
      </c>
      <c r="C102">
        <v>976.82708524610086</v>
      </c>
    </row>
    <row r="103" spans="1:3" x14ac:dyDescent="0.25">
      <c r="A103" t="str">
        <f t="shared" si="3"/>
        <v>8816.9</v>
      </c>
      <c r="B103">
        <f t="shared" si="4"/>
        <v>8816.900000000036</v>
      </c>
      <c r="C103">
        <v>976.82731975974423</v>
      </c>
    </row>
    <row r="104" spans="1:3" x14ac:dyDescent="0.25">
      <c r="A104" t="str">
        <f t="shared" si="3"/>
        <v>8817.0</v>
      </c>
      <c r="B104">
        <f t="shared" si="4"/>
        <v>8817.0000000000364</v>
      </c>
      <c r="C104">
        <v>976.82755427338896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3" name="Button 2">
              <controlPr defaultSize="0" print="0" autoFill="0" autoPict="0" macro="[0]!Sheet4.black_scholes_sensitivity_in_s2">
                <anchor moveWithCells="1" sizeWithCells="1">
                  <from>
                    <xdr:col>3</xdr:col>
                    <xdr:colOff>600075</xdr:colOff>
                    <xdr:row>4</xdr:row>
                    <xdr:rowOff>0</xdr:rowOff>
                  </from>
                  <to>
                    <xdr:col>6</xdr:col>
                    <xdr:colOff>114300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K104"/>
  <sheetViews>
    <sheetView workbookViewId="0">
      <selection activeCell="E23" sqref="E23"/>
    </sheetView>
  </sheetViews>
  <sheetFormatPr defaultRowHeight="15" x14ac:dyDescent="0.25"/>
  <cols>
    <col min="2" max="2" width="10.140625" bestFit="1" customWidth="1"/>
    <col min="3" max="3" width="15.140625" bestFit="1" customWidth="1"/>
    <col min="10" max="10" width="15.140625" bestFit="1" customWidth="1"/>
    <col min="11" max="11" width="12" bestFit="1" customWidth="1"/>
  </cols>
  <sheetData>
    <row r="1" spans="1:11" x14ac:dyDescent="0.25">
      <c r="B1" t="s">
        <v>43</v>
      </c>
      <c r="C1">
        <f>'Parameter Page'!H10</f>
        <v>7000.89</v>
      </c>
      <c r="E1">
        <f>7001-5</f>
        <v>6996</v>
      </c>
      <c r="F1">
        <f>7001+5</f>
        <v>7006</v>
      </c>
    </row>
    <row r="2" spans="1:11" x14ac:dyDescent="0.25">
      <c r="C2" t="s">
        <v>36</v>
      </c>
      <c r="D2">
        <f>COUNT(B4:B104)</f>
        <v>101</v>
      </c>
      <c r="J2" t="s">
        <v>46</v>
      </c>
    </row>
    <row r="3" spans="1:11" x14ac:dyDescent="0.25">
      <c r="B3" t="s">
        <v>44</v>
      </c>
      <c r="C3" t="s">
        <v>35</v>
      </c>
      <c r="I3" t="s">
        <v>44</v>
      </c>
      <c r="J3" t="s">
        <v>35</v>
      </c>
      <c r="K3" t="s">
        <v>47</v>
      </c>
    </row>
    <row r="4" spans="1:11" x14ac:dyDescent="0.25">
      <c r="A4" t="str">
        <f>TEXT(B4,"0000.0")</f>
        <v>6996.0</v>
      </c>
      <c r="B4" s="5">
        <f>E1</f>
        <v>6996</v>
      </c>
      <c r="C4">
        <v>975.03499554103064</v>
      </c>
      <c r="I4" s="6" t="s">
        <v>52</v>
      </c>
      <c r="J4">
        <f>VLOOKUP(I4,$A$4:$C$104,3,0)</f>
        <v>975.08756627717958</v>
      </c>
      <c r="K4" t="s">
        <v>48</v>
      </c>
    </row>
    <row r="5" spans="1:11" x14ac:dyDescent="0.25">
      <c r="A5" t="str">
        <f t="shared" ref="A5:A68" si="0">TEXT(B5,"0000.0")</f>
        <v>6996.1</v>
      </c>
      <c r="B5" s="5">
        <f>B4+0.1</f>
        <v>6996.1</v>
      </c>
      <c r="C5">
        <v>975.03597304285779</v>
      </c>
      <c r="I5" s="6" t="s">
        <v>53</v>
      </c>
      <c r="J5">
        <f t="shared" ref="J5:J6" si="1">VLOOKUP(I5,$A$4:$C$104,3,0)</f>
        <v>975.09865785229977</v>
      </c>
      <c r="K5" s="7">
        <f>(J5-J4)/J4</f>
        <v>1.1374952879911091E-5</v>
      </c>
    </row>
    <row r="6" spans="1:11" x14ac:dyDescent="0.25">
      <c r="A6" t="str">
        <f t="shared" si="0"/>
        <v>6996.2</v>
      </c>
      <c r="B6" s="5">
        <f t="shared" ref="B6:B69" si="2">B5+0.1</f>
        <v>6996.2000000000007</v>
      </c>
      <c r="C6">
        <v>975.03695054468301</v>
      </c>
      <c r="I6" s="6" t="s">
        <v>54</v>
      </c>
      <c r="J6">
        <f t="shared" si="1"/>
        <v>975.10473445600792</v>
      </c>
      <c r="K6" s="7">
        <f>(J6-J5)/J5</f>
        <v>6.2317834807978394E-6</v>
      </c>
    </row>
    <row r="7" spans="1:11" x14ac:dyDescent="0.25">
      <c r="A7" t="str">
        <f t="shared" si="0"/>
        <v>6996.3</v>
      </c>
      <c r="B7" s="5">
        <f t="shared" si="2"/>
        <v>6996.3000000000011</v>
      </c>
      <c r="C7">
        <v>975.03635586540383</v>
      </c>
    </row>
    <row r="8" spans="1:11" x14ac:dyDescent="0.25">
      <c r="A8" t="str">
        <f t="shared" si="0"/>
        <v>6996.4</v>
      </c>
      <c r="B8" s="5">
        <f t="shared" si="2"/>
        <v>6996.4000000000015</v>
      </c>
      <c r="C8">
        <v>975.03856097118705</v>
      </c>
    </row>
    <row r="9" spans="1:11" x14ac:dyDescent="0.25">
      <c r="A9" t="str">
        <f t="shared" si="0"/>
        <v>6996.5</v>
      </c>
      <c r="B9" s="5">
        <f t="shared" si="2"/>
        <v>6996.5000000000018</v>
      </c>
      <c r="C9">
        <v>975.03953847301148</v>
      </c>
    </row>
    <row r="10" spans="1:11" x14ac:dyDescent="0.25">
      <c r="A10" t="str">
        <f t="shared" si="0"/>
        <v>6996.6</v>
      </c>
      <c r="B10" s="5">
        <f t="shared" si="2"/>
        <v>6996.6000000000022</v>
      </c>
      <c r="C10">
        <v>975.04051597483885</v>
      </c>
    </row>
    <row r="11" spans="1:11" x14ac:dyDescent="0.25">
      <c r="A11" t="str">
        <f t="shared" si="0"/>
        <v>6996.7</v>
      </c>
      <c r="B11" s="5">
        <f t="shared" si="2"/>
        <v>6996.7000000000025</v>
      </c>
      <c r="C11">
        <v>975.04151188640367</v>
      </c>
    </row>
    <row r="12" spans="1:11" x14ac:dyDescent="0.25">
      <c r="A12" t="str">
        <f t="shared" si="0"/>
        <v>6996.8</v>
      </c>
      <c r="B12" s="5">
        <f t="shared" si="2"/>
        <v>6996.8000000000029</v>
      </c>
      <c r="C12">
        <v>975.04248938823002</v>
      </c>
    </row>
    <row r="13" spans="1:11" x14ac:dyDescent="0.25">
      <c r="A13" t="str">
        <f t="shared" si="0"/>
        <v>6996.9</v>
      </c>
      <c r="B13" s="5">
        <f t="shared" si="2"/>
        <v>6996.9000000000033</v>
      </c>
      <c r="C13">
        <v>975.04346689005524</v>
      </c>
    </row>
    <row r="14" spans="1:11" x14ac:dyDescent="0.25">
      <c r="A14" t="str">
        <f t="shared" si="0"/>
        <v>6997.0</v>
      </c>
      <c r="B14" s="5">
        <f t="shared" si="2"/>
        <v>6997.0000000000036</v>
      </c>
      <c r="C14">
        <v>975.04444439188194</v>
      </c>
    </row>
    <row r="15" spans="1:11" x14ac:dyDescent="0.25">
      <c r="A15" t="str">
        <f t="shared" si="0"/>
        <v>6997.1</v>
      </c>
      <c r="B15" s="5">
        <f t="shared" si="2"/>
        <v>6997.100000000004</v>
      </c>
      <c r="C15">
        <v>975.04542189370875</v>
      </c>
    </row>
    <row r="16" spans="1:11" x14ac:dyDescent="0.25">
      <c r="A16" t="str">
        <f t="shared" si="0"/>
        <v>6997.2</v>
      </c>
      <c r="B16" s="5">
        <f t="shared" si="2"/>
        <v>6997.2000000000044</v>
      </c>
      <c r="C16">
        <v>975.04639939553488</v>
      </c>
    </row>
    <row r="17" spans="1:3" x14ac:dyDescent="0.25">
      <c r="A17" t="str">
        <f t="shared" si="0"/>
        <v>6997.3</v>
      </c>
      <c r="B17" s="5">
        <f t="shared" si="2"/>
        <v>6997.3000000000047</v>
      </c>
      <c r="C17">
        <v>975.04864125779602</v>
      </c>
    </row>
    <row r="18" spans="1:3" x14ac:dyDescent="0.25">
      <c r="A18" t="str">
        <f t="shared" si="0"/>
        <v>6997.4</v>
      </c>
      <c r="B18" s="5">
        <f t="shared" si="2"/>
        <v>6997.4000000000051</v>
      </c>
      <c r="C18">
        <v>975.04961875962272</v>
      </c>
    </row>
    <row r="19" spans="1:3" x14ac:dyDescent="0.25">
      <c r="A19" t="str">
        <f t="shared" si="0"/>
        <v>6997.5</v>
      </c>
      <c r="B19" s="5">
        <f t="shared" si="2"/>
        <v>6997.5000000000055</v>
      </c>
      <c r="C19">
        <v>975.05059626144896</v>
      </c>
    </row>
    <row r="20" spans="1:3" x14ac:dyDescent="0.25">
      <c r="A20" t="str">
        <f t="shared" si="0"/>
        <v>6997.6</v>
      </c>
      <c r="B20" s="5">
        <f t="shared" si="2"/>
        <v>6997.6000000000058</v>
      </c>
      <c r="C20">
        <v>975.05289440891488</v>
      </c>
    </row>
    <row r="21" spans="1:3" x14ac:dyDescent="0.25">
      <c r="A21" t="str">
        <f t="shared" si="0"/>
        <v>6997.7</v>
      </c>
      <c r="B21" s="5">
        <f t="shared" si="2"/>
        <v>6997.7000000000062</v>
      </c>
      <c r="C21">
        <v>975.05387191074215</v>
      </c>
    </row>
    <row r="22" spans="1:3" x14ac:dyDescent="0.25">
      <c r="A22" t="str">
        <f t="shared" si="0"/>
        <v>6997.8</v>
      </c>
      <c r="B22" s="5">
        <f t="shared" si="2"/>
        <v>6997.8000000000065</v>
      </c>
      <c r="C22">
        <v>975.05272972040927</v>
      </c>
    </row>
    <row r="23" spans="1:3" x14ac:dyDescent="0.25">
      <c r="A23" t="str">
        <f t="shared" si="0"/>
        <v>6997.9</v>
      </c>
      <c r="B23" s="5">
        <f t="shared" si="2"/>
        <v>6997.9000000000069</v>
      </c>
      <c r="C23">
        <v>975.05370722223586</v>
      </c>
    </row>
    <row r="24" spans="1:3" x14ac:dyDescent="0.25">
      <c r="A24" t="str">
        <f t="shared" si="0"/>
        <v>6998.0</v>
      </c>
      <c r="B24" s="5">
        <f t="shared" si="2"/>
        <v>6998.0000000000073</v>
      </c>
      <c r="C24">
        <v>975.05469386142636</v>
      </c>
    </row>
    <row r="25" spans="1:3" x14ac:dyDescent="0.25">
      <c r="A25" t="str">
        <f t="shared" si="0"/>
        <v>6998.1</v>
      </c>
      <c r="B25" s="5">
        <f t="shared" si="2"/>
        <v>6998.1000000000076</v>
      </c>
      <c r="C25">
        <v>975.05567136325135</v>
      </c>
    </row>
    <row r="26" spans="1:3" x14ac:dyDescent="0.25">
      <c r="A26" t="str">
        <f t="shared" si="0"/>
        <v>6998.2</v>
      </c>
      <c r="B26" s="5">
        <f t="shared" si="2"/>
        <v>6998.200000000008</v>
      </c>
      <c r="C26">
        <v>975.05664886507839</v>
      </c>
    </row>
    <row r="27" spans="1:3" x14ac:dyDescent="0.25">
      <c r="A27" t="str">
        <f t="shared" si="0"/>
        <v>6998.3</v>
      </c>
      <c r="B27" s="5">
        <f t="shared" si="2"/>
        <v>6998.3000000000084</v>
      </c>
      <c r="C27">
        <v>975.0576263669052</v>
      </c>
    </row>
    <row r="28" spans="1:3" x14ac:dyDescent="0.25">
      <c r="A28" t="str">
        <f t="shared" si="0"/>
        <v>6998.4</v>
      </c>
      <c r="B28" s="5">
        <f t="shared" si="2"/>
        <v>6998.4000000000087</v>
      </c>
      <c r="C28">
        <v>975.06667790609765</v>
      </c>
    </row>
    <row r="29" spans="1:3" x14ac:dyDescent="0.25">
      <c r="A29" t="str">
        <f t="shared" si="0"/>
        <v>6998.5</v>
      </c>
      <c r="B29" s="5">
        <f t="shared" si="2"/>
        <v>6998.5000000000091</v>
      </c>
      <c r="C29">
        <v>975.06765540792446</v>
      </c>
    </row>
    <row r="30" spans="1:3" x14ac:dyDescent="0.25">
      <c r="A30" t="str">
        <f t="shared" si="0"/>
        <v>6998.6</v>
      </c>
      <c r="B30" s="5">
        <f t="shared" si="2"/>
        <v>6998.6000000000095</v>
      </c>
      <c r="C30">
        <v>975.06863290975082</v>
      </c>
    </row>
    <row r="31" spans="1:3" x14ac:dyDescent="0.25">
      <c r="A31" t="str">
        <f t="shared" si="0"/>
        <v>6998.7</v>
      </c>
      <c r="B31" s="5">
        <f t="shared" si="2"/>
        <v>6998.7000000000098</v>
      </c>
      <c r="C31">
        <v>975.06961041157604</v>
      </c>
    </row>
    <row r="32" spans="1:3" x14ac:dyDescent="0.25">
      <c r="A32" t="str">
        <f t="shared" si="0"/>
        <v>6998.8</v>
      </c>
      <c r="B32" s="5">
        <f t="shared" si="2"/>
        <v>6998.8000000000102</v>
      </c>
      <c r="C32">
        <v>975.06945722632304</v>
      </c>
    </row>
    <row r="33" spans="1:3" x14ac:dyDescent="0.25">
      <c r="A33" t="str">
        <f t="shared" si="0"/>
        <v>6998.9</v>
      </c>
      <c r="B33" s="5">
        <f t="shared" si="2"/>
        <v>6998.9000000000106</v>
      </c>
      <c r="C33">
        <v>975.07043472814757</v>
      </c>
    </row>
    <row r="34" spans="1:3" x14ac:dyDescent="0.25">
      <c r="A34" t="str">
        <f t="shared" si="0"/>
        <v>6999.0</v>
      </c>
      <c r="B34" s="5">
        <f t="shared" si="2"/>
        <v>6999.0000000000109</v>
      </c>
      <c r="C34">
        <v>975.07215761129908</v>
      </c>
    </row>
    <row r="35" spans="1:3" x14ac:dyDescent="0.25">
      <c r="A35" t="str">
        <f t="shared" si="0"/>
        <v>6999.1</v>
      </c>
      <c r="B35" s="5">
        <f t="shared" si="2"/>
        <v>6999.1000000000113</v>
      </c>
      <c r="C35">
        <v>975.07313511312452</v>
      </c>
    </row>
    <row r="36" spans="1:3" x14ac:dyDescent="0.25">
      <c r="A36" t="str">
        <f t="shared" si="0"/>
        <v>6999.2</v>
      </c>
      <c r="B36" s="5">
        <f t="shared" si="2"/>
        <v>6999.2000000000116</v>
      </c>
      <c r="C36">
        <v>975.07536777051632</v>
      </c>
    </row>
    <row r="37" spans="1:3" x14ac:dyDescent="0.25">
      <c r="A37" t="str">
        <f t="shared" si="0"/>
        <v>6999.3</v>
      </c>
      <c r="B37" s="5">
        <f t="shared" si="2"/>
        <v>6999.300000000012</v>
      </c>
      <c r="C37">
        <v>975.07475425910377</v>
      </c>
    </row>
    <row r="38" spans="1:3" x14ac:dyDescent="0.25">
      <c r="A38" t="str">
        <f t="shared" si="0"/>
        <v>6999.4</v>
      </c>
      <c r="B38" s="5">
        <f t="shared" si="2"/>
        <v>6999.4000000000124</v>
      </c>
      <c r="C38">
        <v>975.08067901425477</v>
      </c>
    </row>
    <row r="39" spans="1:3" x14ac:dyDescent="0.25">
      <c r="A39" t="str">
        <f t="shared" si="0"/>
        <v>6999.5</v>
      </c>
      <c r="B39" s="5">
        <f t="shared" si="2"/>
        <v>6999.5000000000127</v>
      </c>
      <c r="C39">
        <v>975.08168490555875</v>
      </c>
    </row>
    <row r="40" spans="1:3" x14ac:dyDescent="0.25">
      <c r="A40" t="str">
        <f t="shared" si="0"/>
        <v>6999.6</v>
      </c>
      <c r="B40" s="5">
        <f t="shared" si="2"/>
        <v>6999.6000000000131</v>
      </c>
      <c r="C40">
        <v>975.08266126567139</v>
      </c>
    </row>
    <row r="41" spans="1:3" x14ac:dyDescent="0.25">
      <c r="A41" t="str">
        <f t="shared" si="0"/>
        <v>6999.7</v>
      </c>
      <c r="B41" s="5">
        <f t="shared" si="2"/>
        <v>6999.7000000000135</v>
      </c>
      <c r="C41">
        <v>975.08489263440936</v>
      </c>
    </row>
    <row r="42" spans="1:3" x14ac:dyDescent="0.25">
      <c r="A42" t="str">
        <f t="shared" si="0"/>
        <v>6999.8</v>
      </c>
      <c r="B42" s="5">
        <f t="shared" si="2"/>
        <v>6999.8000000000138</v>
      </c>
      <c r="C42">
        <v>975.08712400314653</v>
      </c>
    </row>
    <row r="43" spans="1:3" x14ac:dyDescent="0.25">
      <c r="A43" t="str">
        <f t="shared" si="0"/>
        <v>6999.9</v>
      </c>
      <c r="B43" s="5">
        <f t="shared" si="2"/>
        <v>6999.9000000000142</v>
      </c>
      <c r="C43">
        <v>975.08756627717958</v>
      </c>
    </row>
    <row r="44" spans="1:3" x14ac:dyDescent="0.25">
      <c r="A44" t="str">
        <f t="shared" si="0"/>
        <v>7000.0</v>
      </c>
      <c r="B44" s="5">
        <f t="shared" si="2"/>
        <v>7000.0000000000146</v>
      </c>
      <c r="C44">
        <v>975.0885424903496</v>
      </c>
    </row>
    <row r="45" spans="1:3" x14ac:dyDescent="0.25">
      <c r="A45" t="str">
        <f t="shared" si="0"/>
        <v>7000.1</v>
      </c>
      <c r="B45" s="5">
        <f t="shared" si="2"/>
        <v>7000.1000000000149</v>
      </c>
      <c r="C45">
        <v>975.08951870352394</v>
      </c>
    </row>
    <row r="46" spans="1:3" x14ac:dyDescent="0.25">
      <c r="A46" t="str">
        <f t="shared" si="0"/>
        <v>7000.2</v>
      </c>
      <c r="B46" s="5">
        <f t="shared" si="2"/>
        <v>7000.2000000000153</v>
      </c>
      <c r="C46">
        <v>975.09049491669714</v>
      </c>
    </row>
    <row r="47" spans="1:3" x14ac:dyDescent="0.25">
      <c r="A47" t="str">
        <f t="shared" si="0"/>
        <v>7000.3</v>
      </c>
      <c r="B47" s="5">
        <f t="shared" si="2"/>
        <v>7000.3000000000156</v>
      </c>
      <c r="C47">
        <v>975.09147112986739</v>
      </c>
    </row>
    <row r="48" spans="1:3" x14ac:dyDescent="0.25">
      <c r="A48" t="str">
        <f t="shared" si="0"/>
        <v>7000.4</v>
      </c>
      <c r="B48" s="5">
        <f t="shared" si="2"/>
        <v>7000.400000000016</v>
      </c>
      <c r="C48">
        <v>975.09244734304093</v>
      </c>
    </row>
    <row r="49" spans="1:3" x14ac:dyDescent="0.25">
      <c r="A49" t="str">
        <f t="shared" si="0"/>
        <v>7000.5</v>
      </c>
      <c r="B49" s="5">
        <f t="shared" si="2"/>
        <v>7000.5000000000164</v>
      </c>
      <c r="C49">
        <v>975.09343276108427</v>
      </c>
    </row>
    <row r="50" spans="1:3" x14ac:dyDescent="0.25">
      <c r="A50" t="str">
        <f t="shared" si="0"/>
        <v>7000.6</v>
      </c>
      <c r="B50" s="5">
        <f t="shared" si="2"/>
        <v>7000.6000000000167</v>
      </c>
      <c r="C50">
        <v>975.09440897425566</v>
      </c>
    </row>
    <row r="51" spans="1:3" x14ac:dyDescent="0.25">
      <c r="A51" t="str">
        <f t="shared" si="0"/>
        <v>7000.7</v>
      </c>
      <c r="B51" s="5">
        <f t="shared" si="2"/>
        <v>7000.7000000000171</v>
      </c>
      <c r="C51">
        <v>975.09666873247181</v>
      </c>
    </row>
    <row r="52" spans="1:3" x14ac:dyDescent="0.25">
      <c r="A52" t="str">
        <f t="shared" si="0"/>
        <v>7000.8</v>
      </c>
      <c r="B52" s="5">
        <f t="shared" si="2"/>
        <v>7000.8000000000175</v>
      </c>
      <c r="C52">
        <v>975.0976816391285</v>
      </c>
    </row>
    <row r="53" spans="1:3" x14ac:dyDescent="0.25">
      <c r="A53" t="str">
        <f t="shared" si="0"/>
        <v>7000.9</v>
      </c>
      <c r="B53" s="5">
        <f t="shared" si="2"/>
        <v>7000.9000000000178</v>
      </c>
      <c r="C53">
        <v>975.09865785229977</v>
      </c>
    </row>
    <row r="54" spans="1:3" x14ac:dyDescent="0.25">
      <c r="A54" t="str">
        <f t="shared" si="0"/>
        <v>7001.0</v>
      </c>
      <c r="B54" s="5">
        <f t="shared" si="2"/>
        <v>7001.0000000000182</v>
      </c>
      <c r="C54">
        <v>975.0996340654732</v>
      </c>
    </row>
    <row r="55" spans="1:3" x14ac:dyDescent="0.25">
      <c r="A55" t="str">
        <f t="shared" si="0"/>
        <v>7001.1</v>
      </c>
      <c r="B55" s="5">
        <f t="shared" si="2"/>
        <v>7001.1000000000186</v>
      </c>
      <c r="C55">
        <v>975.10062868838429</v>
      </c>
    </row>
    <row r="56" spans="1:3" x14ac:dyDescent="0.25">
      <c r="A56" t="str">
        <f t="shared" si="0"/>
        <v>7001.2</v>
      </c>
      <c r="B56" s="5">
        <f t="shared" si="2"/>
        <v>7001.2000000000189</v>
      </c>
      <c r="C56">
        <v>975.10161410642559</v>
      </c>
    </row>
    <row r="57" spans="1:3" x14ac:dyDescent="0.25">
      <c r="A57" t="str">
        <f t="shared" si="0"/>
        <v>7001.3</v>
      </c>
      <c r="B57" s="5">
        <f t="shared" si="2"/>
        <v>7001.3000000000193</v>
      </c>
      <c r="C57">
        <v>975.10259031960027</v>
      </c>
    </row>
    <row r="58" spans="1:3" x14ac:dyDescent="0.25">
      <c r="A58" t="str">
        <f t="shared" si="0"/>
        <v>7001.4</v>
      </c>
      <c r="B58" s="5">
        <f t="shared" si="2"/>
        <v>7001.4000000000196</v>
      </c>
      <c r="C58">
        <v>975.10358536490708</v>
      </c>
    </row>
    <row r="59" spans="1:3" x14ac:dyDescent="0.25">
      <c r="A59" t="str">
        <f t="shared" si="0"/>
        <v>7001.5</v>
      </c>
      <c r="B59" s="5">
        <f t="shared" si="2"/>
        <v>7001.50000000002</v>
      </c>
      <c r="C59">
        <v>975.1045615780788</v>
      </c>
    </row>
    <row r="60" spans="1:3" x14ac:dyDescent="0.25">
      <c r="A60" t="str">
        <f t="shared" si="0"/>
        <v>7001.6</v>
      </c>
      <c r="B60" s="5">
        <f t="shared" si="2"/>
        <v>7001.6000000000204</v>
      </c>
      <c r="C60">
        <v>975.1055368594283</v>
      </c>
    </row>
    <row r="61" spans="1:3" x14ac:dyDescent="0.25">
      <c r="A61" t="str">
        <f t="shared" si="0"/>
        <v>7001.7</v>
      </c>
      <c r="B61" s="5">
        <f t="shared" si="2"/>
        <v>7001.7000000000207</v>
      </c>
      <c r="C61">
        <v>975.10597778474187</v>
      </c>
    </row>
    <row r="62" spans="1:3" x14ac:dyDescent="0.25">
      <c r="A62" t="str">
        <f t="shared" si="0"/>
        <v>7001.8</v>
      </c>
      <c r="B62" s="5">
        <f t="shared" si="2"/>
        <v>7001.8000000000211</v>
      </c>
      <c r="C62">
        <v>975.1069515226834</v>
      </c>
    </row>
    <row r="63" spans="1:3" x14ac:dyDescent="0.25">
      <c r="A63" t="str">
        <f t="shared" si="0"/>
        <v>7001.9</v>
      </c>
      <c r="B63" s="5">
        <f t="shared" si="2"/>
        <v>7001.9000000000215</v>
      </c>
      <c r="C63">
        <v>975.10473445600792</v>
      </c>
    </row>
    <row r="64" spans="1:3" x14ac:dyDescent="0.25">
      <c r="A64" t="str">
        <f t="shared" si="0"/>
        <v>7002.0</v>
      </c>
      <c r="B64" s="5">
        <f t="shared" si="2"/>
        <v>7002.0000000000218</v>
      </c>
      <c r="C64">
        <v>975.10570785794221</v>
      </c>
    </row>
    <row r="65" spans="1:3" x14ac:dyDescent="0.25">
      <c r="A65" t="str">
        <f t="shared" si="0"/>
        <v>7002.1</v>
      </c>
      <c r="B65" s="5">
        <f t="shared" si="2"/>
        <v>7002.1000000000222</v>
      </c>
      <c r="C65">
        <v>975.10668003035312</v>
      </c>
    </row>
    <row r="66" spans="1:3" x14ac:dyDescent="0.25">
      <c r="A66" t="str">
        <f t="shared" si="0"/>
        <v>7002.2</v>
      </c>
      <c r="B66" s="5">
        <f t="shared" si="2"/>
        <v>7002.2000000000226</v>
      </c>
      <c r="C66">
        <v>975.10765220276653</v>
      </c>
    </row>
    <row r="67" spans="1:3" x14ac:dyDescent="0.25">
      <c r="A67" t="str">
        <f t="shared" si="0"/>
        <v>7002.3</v>
      </c>
      <c r="B67" s="5">
        <f t="shared" si="2"/>
        <v>7002.3000000000229</v>
      </c>
      <c r="C67">
        <v>975.10864271741207</v>
      </c>
    </row>
    <row r="68" spans="1:3" x14ac:dyDescent="0.25">
      <c r="A68" t="str">
        <f t="shared" si="0"/>
        <v>7002.4</v>
      </c>
      <c r="B68" s="5">
        <f t="shared" si="2"/>
        <v>7002.4000000000233</v>
      </c>
      <c r="C68">
        <v>975.10961488982412</v>
      </c>
    </row>
    <row r="69" spans="1:3" x14ac:dyDescent="0.25">
      <c r="A69" t="str">
        <f t="shared" ref="A69:A104" si="3">TEXT(B69,"0000.0")</f>
        <v>7002.5</v>
      </c>
      <c r="B69" s="5">
        <f t="shared" si="2"/>
        <v>7002.5000000000236</v>
      </c>
      <c r="C69">
        <v>975.1118325047438</v>
      </c>
    </row>
    <row r="70" spans="1:3" x14ac:dyDescent="0.25">
      <c r="A70" t="str">
        <f t="shared" si="3"/>
        <v>7002.6</v>
      </c>
      <c r="B70" s="5">
        <f t="shared" ref="B70:B104" si="4">B69+0.1</f>
        <v>7002.600000000024</v>
      </c>
      <c r="C70">
        <v>975.1121011003504</v>
      </c>
    </row>
    <row r="71" spans="1:3" x14ac:dyDescent="0.25">
      <c r="A71" t="str">
        <f t="shared" si="3"/>
        <v>7002.7</v>
      </c>
      <c r="B71" s="5">
        <f t="shared" si="4"/>
        <v>7002.7000000000244</v>
      </c>
      <c r="C71">
        <v>975.11307192421987</v>
      </c>
    </row>
    <row r="72" spans="1:3" x14ac:dyDescent="0.25">
      <c r="A72" t="str">
        <f t="shared" si="3"/>
        <v>7002.8</v>
      </c>
      <c r="B72" s="5">
        <f t="shared" si="4"/>
        <v>7002.8000000000247</v>
      </c>
      <c r="C72">
        <v>975.11404274809217</v>
      </c>
    </row>
    <row r="73" spans="1:3" x14ac:dyDescent="0.25">
      <c r="A73" t="str">
        <f t="shared" si="3"/>
        <v>7002.9</v>
      </c>
      <c r="B73" s="5">
        <f t="shared" si="4"/>
        <v>7002.9000000000251</v>
      </c>
      <c r="C73">
        <v>975.11502270932726</v>
      </c>
    </row>
    <row r="74" spans="1:3" x14ac:dyDescent="0.25">
      <c r="A74" t="str">
        <f t="shared" si="3"/>
        <v>7003.0</v>
      </c>
      <c r="B74" s="5">
        <f t="shared" si="4"/>
        <v>7003.0000000000255</v>
      </c>
      <c r="C74">
        <v>975.1159935331973</v>
      </c>
    </row>
    <row r="75" spans="1:3" x14ac:dyDescent="0.25">
      <c r="A75" t="str">
        <f t="shared" si="3"/>
        <v>7003.1</v>
      </c>
      <c r="B75" s="5">
        <f t="shared" si="4"/>
        <v>7003.1000000000258</v>
      </c>
      <c r="C75">
        <v>975.11696435706915</v>
      </c>
    </row>
    <row r="76" spans="1:3" x14ac:dyDescent="0.25">
      <c r="A76" t="str">
        <f t="shared" si="3"/>
        <v>7003.2</v>
      </c>
      <c r="B76" s="5">
        <f t="shared" si="4"/>
        <v>7003.2000000000262</v>
      </c>
      <c r="C76">
        <v>975.1228455967572</v>
      </c>
    </row>
    <row r="77" spans="1:3" x14ac:dyDescent="0.25">
      <c r="A77" t="str">
        <f t="shared" si="3"/>
        <v>7003.3</v>
      </c>
      <c r="B77" s="5">
        <f t="shared" si="4"/>
        <v>7003.3000000000266</v>
      </c>
      <c r="C77">
        <v>975.12271638459742</v>
      </c>
    </row>
    <row r="78" spans="1:3" x14ac:dyDescent="0.25">
      <c r="A78" t="str">
        <f t="shared" si="3"/>
        <v>7003.4</v>
      </c>
      <c r="B78" s="5">
        <f t="shared" si="4"/>
        <v>7003.4000000000269</v>
      </c>
      <c r="C78">
        <v>975.12368720846939</v>
      </c>
    </row>
    <row r="79" spans="1:3" x14ac:dyDescent="0.25">
      <c r="A79" t="str">
        <f t="shared" si="3"/>
        <v>7003.5</v>
      </c>
      <c r="B79" s="5">
        <f t="shared" si="4"/>
        <v>7003.5000000000273</v>
      </c>
      <c r="C79">
        <v>975.1246580323384</v>
      </c>
    </row>
    <row r="80" spans="1:3" x14ac:dyDescent="0.25">
      <c r="A80" t="str">
        <f t="shared" si="3"/>
        <v>7003.6</v>
      </c>
      <c r="B80" s="5">
        <f t="shared" si="4"/>
        <v>7003.6000000000276</v>
      </c>
      <c r="C80">
        <v>975.12405567912288</v>
      </c>
    </row>
    <row r="81" spans="1:3" x14ac:dyDescent="0.25">
      <c r="A81" t="str">
        <f t="shared" si="3"/>
        <v>7003.7</v>
      </c>
      <c r="B81" s="5">
        <f t="shared" si="4"/>
        <v>7003.700000000028</v>
      </c>
      <c r="C81">
        <v>975.12628975624602</v>
      </c>
    </row>
    <row r="82" spans="1:3" x14ac:dyDescent="0.25">
      <c r="A82" t="str">
        <f t="shared" si="3"/>
        <v>7003.8</v>
      </c>
      <c r="B82" s="5">
        <f t="shared" si="4"/>
        <v>7003.8000000000284</v>
      </c>
      <c r="C82">
        <v>975.12725926173596</v>
      </c>
    </row>
    <row r="83" spans="1:3" x14ac:dyDescent="0.25">
      <c r="A83" t="str">
        <f t="shared" si="3"/>
        <v>7003.9</v>
      </c>
      <c r="B83" s="5">
        <f t="shared" si="4"/>
        <v>7003.9000000000287</v>
      </c>
      <c r="C83">
        <v>975.13293770995995</v>
      </c>
    </row>
    <row r="84" spans="1:3" x14ac:dyDescent="0.25">
      <c r="A84" t="str">
        <f t="shared" si="3"/>
        <v>7004.0</v>
      </c>
      <c r="B84" s="5">
        <f t="shared" si="4"/>
        <v>7004.0000000000291</v>
      </c>
      <c r="C84">
        <v>975.13335719743486</v>
      </c>
    </row>
    <row r="85" spans="1:3" x14ac:dyDescent="0.25">
      <c r="A85" t="str">
        <f t="shared" si="3"/>
        <v>7004.1</v>
      </c>
      <c r="B85" s="5">
        <f t="shared" si="4"/>
        <v>7004.1000000000295</v>
      </c>
      <c r="C85">
        <v>975.13557265362158</v>
      </c>
    </row>
    <row r="86" spans="1:3" x14ac:dyDescent="0.25">
      <c r="A86" t="str">
        <f t="shared" si="3"/>
        <v>7004.2</v>
      </c>
      <c r="B86" s="5">
        <f t="shared" si="4"/>
        <v>7004.2000000000298</v>
      </c>
      <c r="C86">
        <v>975.13654215911288</v>
      </c>
    </row>
    <row r="87" spans="1:3" x14ac:dyDescent="0.25">
      <c r="A87" t="str">
        <f t="shared" si="3"/>
        <v>7004.3</v>
      </c>
      <c r="B87" s="5">
        <f t="shared" si="4"/>
        <v>7004.3000000000302</v>
      </c>
      <c r="C87">
        <v>975.1375116646027</v>
      </c>
    </row>
    <row r="88" spans="1:3" x14ac:dyDescent="0.25">
      <c r="A88" t="str">
        <f t="shared" si="3"/>
        <v>7004.4</v>
      </c>
      <c r="B88" s="5">
        <f t="shared" si="4"/>
        <v>7004.4000000000306</v>
      </c>
      <c r="C88">
        <v>975.13848117009172</v>
      </c>
    </row>
    <row r="89" spans="1:3" x14ac:dyDescent="0.25">
      <c r="A89" t="str">
        <f t="shared" si="3"/>
        <v>7004.5</v>
      </c>
      <c r="B89" s="5">
        <f t="shared" si="4"/>
        <v>7004.5000000000309</v>
      </c>
      <c r="C89">
        <v>975.13945067558438</v>
      </c>
    </row>
    <row r="90" spans="1:3" x14ac:dyDescent="0.25">
      <c r="A90" t="str">
        <f t="shared" si="3"/>
        <v>7004.6</v>
      </c>
      <c r="B90" s="5">
        <f t="shared" si="4"/>
        <v>7004.6000000000313</v>
      </c>
      <c r="C90">
        <v>975.14042018107227</v>
      </c>
    </row>
    <row r="91" spans="1:3" x14ac:dyDescent="0.25">
      <c r="A91" t="str">
        <f t="shared" si="3"/>
        <v>7004.7</v>
      </c>
      <c r="B91" s="5">
        <f t="shared" si="4"/>
        <v>7004.7000000000317</v>
      </c>
      <c r="C91">
        <v>975.14138968656391</v>
      </c>
    </row>
    <row r="92" spans="1:3" x14ac:dyDescent="0.25">
      <c r="A92" t="str">
        <f t="shared" si="3"/>
        <v>7004.8</v>
      </c>
      <c r="B92" s="5">
        <f t="shared" si="4"/>
        <v>7004.800000000032</v>
      </c>
      <c r="C92">
        <v>975.1423774667835</v>
      </c>
    </row>
    <row r="93" spans="1:3" x14ac:dyDescent="0.25">
      <c r="A93" t="str">
        <f t="shared" si="3"/>
        <v>7004.9</v>
      </c>
      <c r="B93" s="5">
        <f t="shared" si="4"/>
        <v>7004.9000000000324</v>
      </c>
      <c r="C93">
        <v>975.14334697227287</v>
      </c>
    </row>
    <row r="94" spans="1:3" x14ac:dyDescent="0.25">
      <c r="A94" t="str">
        <f t="shared" si="3"/>
        <v>7005.0</v>
      </c>
      <c r="B94" s="5">
        <f t="shared" si="4"/>
        <v>7005.0000000000327</v>
      </c>
      <c r="C94">
        <v>975.14432589382955</v>
      </c>
    </row>
    <row r="95" spans="1:3" x14ac:dyDescent="0.25">
      <c r="A95" t="str">
        <f t="shared" si="3"/>
        <v>7005.1</v>
      </c>
      <c r="B95" s="5">
        <f t="shared" si="4"/>
        <v>7005.1000000000331</v>
      </c>
      <c r="C95">
        <v>975.14529539932096</v>
      </c>
    </row>
    <row r="96" spans="1:3" x14ac:dyDescent="0.25">
      <c r="A96" t="str">
        <f t="shared" si="3"/>
        <v>7005.2</v>
      </c>
      <c r="B96" s="5">
        <f t="shared" si="4"/>
        <v>7005.2000000000335</v>
      </c>
      <c r="C96">
        <v>975.14626490480964</v>
      </c>
    </row>
    <row r="97" spans="1:3" x14ac:dyDescent="0.25">
      <c r="A97" t="str">
        <f t="shared" si="3"/>
        <v>7005.3</v>
      </c>
      <c r="B97" s="5">
        <f t="shared" si="4"/>
        <v>7005.3000000000338</v>
      </c>
      <c r="C97">
        <v>975.15091722216346</v>
      </c>
    </row>
    <row r="98" spans="1:3" x14ac:dyDescent="0.25">
      <c r="A98" t="str">
        <f t="shared" si="3"/>
        <v>7005.4</v>
      </c>
      <c r="B98" s="5">
        <f t="shared" si="4"/>
        <v>7005.4000000000342</v>
      </c>
      <c r="C98">
        <v>975.15188672765282</v>
      </c>
    </row>
    <row r="99" spans="1:3" x14ac:dyDescent="0.25">
      <c r="A99" t="str">
        <f t="shared" si="3"/>
        <v>7005.5</v>
      </c>
      <c r="B99" s="5">
        <f t="shared" si="4"/>
        <v>7005.5000000000346</v>
      </c>
      <c r="C99">
        <v>975.15285623314207</v>
      </c>
    </row>
    <row r="100" spans="1:3" x14ac:dyDescent="0.25">
      <c r="A100" t="str">
        <f t="shared" si="3"/>
        <v>7005.6</v>
      </c>
      <c r="B100" s="5">
        <f t="shared" si="4"/>
        <v>7005.6000000000349</v>
      </c>
      <c r="C100">
        <v>975.15382573863235</v>
      </c>
    </row>
    <row r="101" spans="1:3" x14ac:dyDescent="0.25">
      <c r="A101" t="str">
        <f t="shared" si="3"/>
        <v>7005.7</v>
      </c>
      <c r="B101" s="5">
        <f t="shared" si="4"/>
        <v>7005.7000000000353</v>
      </c>
      <c r="C101">
        <v>975.15748937928493</v>
      </c>
    </row>
    <row r="102" spans="1:3" x14ac:dyDescent="0.25">
      <c r="A102" t="str">
        <f t="shared" si="3"/>
        <v>7005.8</v>
      </c>
      <c r="B102" s="5">
        <f t="shared" si="4"/>
        <v>7005.8000000000357</v>
      </c>
      <c r="C102">
        <v>975.15845888477543</v>
      </c>
    </row>
    <row r="103" spans="1:3" x14ac:dyDescent="0.25">
      <c r="A103" t="str">
        <f t="shared" si="3"/>
        <v>7005.9</v>
      </c>
      <c r="B103" s="5">
        <f t="shared" si="4"/>
        <v>7005.900000000036</v>
      </c>
      <c r="C103">
        <v>975.15971042434148</v>
      </c>
    </row>
    <row r="104" spans="1:3" x14ac:dyDescent="0.25">
      <c r="A104" t="str">
        <f t="shared" si="3"/>
        <v>7006.0</v>
      </c>
      <c r="B104" s="5">
        <f t="shared" si="4"/>
        <v>7006.0000000000364</v>
      </c>
      <c r="C104">
        <v>975.16067731924682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eet5.black_scholes_sensitivity_in_s3">
                <anchor moveWithCells="1" sizeWithCells="1">
                  <from>
                    <xdr:col>5</xdr:col>
                    <xdr:colOff>123825</xdr:colOff>
                    <xdr:row>2</xdr:row>
                    <xdr:rowOff>171450</xdr:rowOff>
                  </from>
                  <to>
                    <xdr:col>7</xdr:col>
                    <xdr:colOff>276225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K104"/>
  <sheetViews>
    <sheetView workbookViewId="0">
      <selection activeCell="D6" sqref="D6"/>
    </sheetView>
  </sheetViews>
  <sheetFormatPr defaultRowHeight="15" x14ac:dyDescent="0.25"/>
  <cols>
    <col min="2" max="2" width="15.7109375" bestFit="1" customWidth="1"/>
    <col min="3" max="3" width="15.140625" bestFit="1" customWidth="1"/>
    <col min="11" max="11" width="9.85546875" bestFit="1" customWidth="1"/>
  </cols>
  <sheetData>
    <row r="1" spans="1:11" x14ac:dyDescent="0.25">
      <c r="B1" t="s">
        <v>38</v>
      </c>
      <c r="C1">
        <f>'Parameter Page'!B6</f>
        <v>0.19170000000000001</v>
      </c>
      <c r="E1">
        <f>C1-0.05</f>
        <v>0.14169999999999999</v>
      </c>
      <c r="F1">
        <f>C1+0.05</f>
        <v>0.24170000000000003</v>
      </c>
    </row>
    <row r="2" spans="1:11" x14ac:dyDescent="0.25">
      <c r="C2" t="s">
        <v>36</v>
      </c>
      <c r="D2">
        <f>COUNT(B4:B204)</f>
        <v>101</v>
      </c>
      <c r="J2" t="s">
        <v>46</v>
      </c>
    </row>
    <row r="3" spans="1:11" x14ac:dyDescent="0.25">
      <c r="B3" t="s">
        <v>45</v>
      </c>
      <c r="C3" t="s">
        <v>35</v>
      </c>
      <c r="I3" t="s">
        <v>45</v>
      </c>
      <c r="J3" t="s">
        <v>35</v>
      </c>
      <c r="K3" t="s">
        <v>47</v>
      </c>
    </row>
    <row r="4" spans="1:11" x14ac:dyDescent="0.25">
      <c r="A4" t="str">
        <f>TEXT(B4,"00.00%")</f>
        <v>14.17%</v>
      </c>
      <c r="B4">
        <f>E1</f>
        <v>0.14169999999999999</v>
      </c>
      <c r="C4">
        <v>994.38593433101187</v>
      </c>
      <c r="I4" s="6" t="s">
        <v>61</v>
      </c>
      <c r="J4">
        <f>VLOOKUP(I4,$A$4:$C$104,3,0)</f>
        <v>981.97588193630202</v>
      </c>
      <c r="K4" t="s">
        <v>48</v>
      </c>
    </row>
    <row r="5" spans="1:11" x14ac:dyDescent="0.25">
      <c r="A5" t="str">
        <f t="shared" ref="A5:A68" si="0">TEXT(B5,"00.00%")</f>
        <v>14.27%</v>
      </c>
      <c r="B5">
        <f>B4+0.001</f>
        <v>0.14269999999999999</v>
      </c>
      <c r="C5">
        <v>994.16351993304079</v>
      </c>
      <c r="I5" s="6" t="s">
        <v>60</v>
      </c>
      <c r="J5">
        <f t="shared" ref="J5:J6" si="1">VLOOKUP(I5,$A$4:$C$104,3,0)</f>
        <v>978.25147344368906</v>
      </c>
      <c r="K5" s="7">
        <f>(J5-J4)/J4</f>
        <v>-3.7927698237038205E-3</v>
      </c>
    </row>
    <row r="6" spans="1:11" x14ac:dyDescent="0.25">
      <c r="A6" t="str">
        <f t="shared" si="0"/>
        <v>14.37%</v>
      </c>
      <c r="B6">
        <f t="shared" ref="B6:B69" si="2">B5+0.001</f>
        <v>0.14369999999999999</v>
      </c>
      <c r="C6">
        <v>993.921843445013</v>
      </c>
      <c r="I6" s="6" t="s">
        <v>62</v>
      </c>
      <c r="J6">
        <f t="shared" si="1"/>
        <v>974.3033014913226</v>
      </c>
      <c r="K6" s="7">
        <f>(J6-J5)/J5</f>
        <v>-4.0359478718369991E-3</v>
      </c>
    </row>
    <row r="7" spans="1:11" x14ac:dyDescent="0.25">
      <c r="A7" t="str">
        <f t="shared" si="0"/>
        <v>14.47%</v>
      </c>
      <c r="B7">
        <f t="shared" si="2"/>
        <v>0.1447</v>
      </c>
      <c r="C7">
        <v>993.6026068549304</v>
      </c>
    </row>
    <row r="8" spans="1:11" x14ac:dyDescent="0.25">
      <c r="A8" t="str">
        <f t="shared" si="0"/>
        <v>14.57%</v>
      </c>
      <c r="B8">
        <f t="shared" si="2"/>
        <v>0.1457</v>
      </c>
      <c r="C8">
        <v>993.35109153460667</v>
      </c>
    </row>
    <row r="9" spans="1:11" x14ac:dyDescent="0.25">
      <c r="A9" t="str">
        <f t="shared" si="0"/>
        <v>14.67%</v>
      </c>
      <c r="B9">
        <f t="shared" si="2"/>
        <v>0.1467</v>
      </c>
      <c r="C9">
        <v>993.09659170865825</v>
      </c>
    </row>
    <row r="10" spans="1:11" x14ac:dyDescent="0.25">
      <c r="A10" t="str">
        <f t="shared" si="0"/>
        <v>14.77%</v>
      </c>
      <c r="B10">
        <f t="shared" si="2"/>
        <v>0.1477</v>
      </c>
      <c r="C10">
        <v>992.78268676064499</v>
      </c>
    </row>
    <row r="11" spans="1:11" x14ac:dyDescent="0.25">
      <c r="A11" t="str">
        <f t="shared" si="0"/>
        <v>14.87%</v>
      </c>
      <c r="B11">
        <f t="shared" si="2"/>
        <v>0.1487</v>
      </c>
      <c r="C11">
        <v>992.53158314168434</v>
      </c>
    </row>
    <row r="12" spans="1:11" x14ac:dyDescent="0.25">
      <c r="A12" t="str">
        <f t="shared" si="0"/>
        <v>14.97%</v>
      </c>
      <c r="B12">
        <f t="shared" si="2"/>
        <v>0.1497</v>
      </c>
      <c r="C12">
        <v>992.23555527015424</v>
      </c>
    </row>
    <row r="13" spans="1:11" x14ac:dyDescent="0.25">
      <c r="A13" t="str">
        <f t="shared" si="0"/>
        <v>15.07%</v>
      </c>
      <c r="B13">
        <f t="shared" si="2"/>
        <v>0.1507</v>
      </c>
      <c r="C13">
        <v>991.98119845054089</v>
      </c>
    </row>
    <row r="14" spans="1:11" x14ac:dyDescent="0.25">
      <c r="A14" t="str">
        <f t="shared" si="0"/>
        <v>15.17%</v>
      </c>
      <c r="B14">
        <f t="shared" si="2"/>
        <v>0.1517</v>
      </c>
      <c r="C14">
        <v>991.7042100225832</v>
      </c>
    </row>
    <row r="15" spans="1:11" x14ac:dyDescent="0.25">
      <c r="A15" t="str">
        <f t="shared" si="0"/>
        <v>15.27%</v>
      </c>
      <c r="B15">
        <f t="shared" si="2"/>
        <v>0.1527</v>
      </c>
      <c r="C15">
        <v>991.41357765046689</v>
      </c>
    </row>
    <row r="16" spans="1:11" x14ac:dyDescent="0.25">
      <c r="A16" t="str">
        <f t="shared" si="0"/>
        <v>15.37%</v>
      </c>
      <c r="B16">
        <f t="shared" si="2"/>
        <v>0.1537</v>
      </c>
      <c r="C16">
        <v>991.12242151578062</v>
      </c>
    </row>
    <row r="17" spans="1:3" x14ac:dyDescent="0.25">
      <c r="A17" t="str">
        <f t="shared" si="0"/>
        <v>15.47%</v>
      </c>
      <c r="B17">
        <f t="shared" si="2"/>
        <v>0.1547</v>
      </c>
      <c r="C17">
        <v>990.85993270132997</v>
      </c>
    </row>
    <row r="18" spans="1:3" x14ac:dyDescent="0.25">
      <c r="A18" t="str">
        <f t="shared" si="0"/>
        <v>15.57%</v>
      </c>
      <c r="B18">
        <f t="shared" si="2"/>
        <v>0.15570000000000001</v>
      </c>
      <c r="C18">
        <v>990.57327523106073</v>
      </c>
    </row>
    <row r="19" spans="1:3" x14ac:dyDescent="0.25">
      <c r="A19" t="str">
        <f t="shared" si="0"/>
        <v>15.67%</v>
      </c>
      <c r="B19">
        <f t="shared" si="2"/>
        <v>0.15670000000000001</v>
      </c>
      <c r="C19">
        <v>990.26643244895729</v>
      </c>
    </row>
    <row r="20" spans="1:3" x14ac:dyDescent="0.25">
      <c r="A20" t="str">
        <f t="shared" si="0"/>
        <v>15.77%</v>
      </c>
      <c r="B20">
        <f t="shared" si="2"/>
        <v>0.15770000000000001</v>
      </c>
      <c r="C20">
        <v>989.978005112858</v>
      </c>
    </row>
    <row r="21" spans="1:3" x14ac:dyDescent="0.25">
      <c r="A21" t="str">
        <f t="shared" si="0"/>
        <v>15.87%</v>
      </c>
      <c r="B21">
        <f t="shared" si="2"/>
        <v>0.15870000000000001</v>
      </c>
      <c r="C21">
        <v>989.66294817594508</v>
      </c>
    </row>
    <row r="22" spans="1:3" x14ac:dyDescent="0.25">
      <c r="A22" t="str">
        <f t="shared" si="0"/>
        <v>15.97%</v>
      </c>
      <c r="B22">
        <f t="shared" si="2"/>
        <v>0.15970000000000001</v>
      </c>
      <c r="C22">
        <v>989.37159589240457</v>
      </c>
    </row>
    <row r="23" spans="1:3" x14ac:dyDescent="0.25">
      <c r="A23" t="str">
        <f t="shared" si="0"/>
        <v>16.07%</v>
      </c>
      <c r="B23">
        <f t="shared" si="2"/>
        <v>0.16070000000000001</v>
      </c>
      <c r="C23">
        <v>989.05170256431143</v>
      </c>
    </row>
    <row r="24" spans="1:3" x14ac:dyDescent="0.25">
      <c r="A24" t="str">
        <f t="shared" si="0"/>
        <v>16.17%</v>
      </c>
      <c r="B24">
        <f t="shared" si="2"/>
        <v>0.16170000000000001</v>
      </c>
      <c r="C24">
        <v>988.72123936637536</v>
      </c>
    </row>
    <row r="25" spans="1:3" x14ac:dyDescent="0.25">
      <c r="A25" t="str">
        <f t="shared" si="0"/>
        <v>16.27%</v>
      </c>
      <c r="B25">
        <f t="shared" si="2"/>
        <v>0.16270000000000001</v>
      </c>
      <c r="C25">
        <v>988.37801370924376</v>
      </c>
    </row>
    <row r="26" spans="1:3" x14ac:dyDescent="0.25">
      <c r="A26" t="str">
        <f t="shared" si="0"/>
        <v>16.37%</v>
      </c>
      <c r="B26">
        <f t="shared" si="2"/>
        <v>0.16370000000000001</v>
      </c>
      <c r="C26">
        <v>988.05601417826938</v>
      </c>
    </row>
    <row r="27" spans="1:3" x14ac:dyDescent="0.25">
      <c r="A27" t="str">
        <f t="shared" si="0"/>
        <v>16.47%</v>
      </c>
      <c r="B27">
        <f t="shared" si="2"/>
        <v>0.16470000000000001</v>
      </c>
      <c r="C27">
        <v>987.73799517852513</v>
      </c>
    </row>
    <row r="28" spans="1:3" x14ac:dyDescent="0.25">
      <c r="A28" t="str">
        <f t="shared" si="0"/>
        <v>16.57%</v>
      </c>
      <c r="B28">
        <f t="shared" si="2"/>
        <v>0.16570000000000001</v>
      </c>
      <c r="C28">
        <v>987.39909674172452</v>
      </c>
    </row>
    <row r="29" spans="1:3" x14ac:dyDescent="0.25">
      <c r="A29" t="str">
        <f t="shared" si="0"/>
        <v>16.67%</v>
      </c>
      <c r="B29">
        <f t="shared" si="2"/>
        <v>0.16670000000000001</v>
      </c>
      <c r="C29">
        <v>987.0473701184635</v>
      </c>
    </row>
    <row r="30" spans="1:3" x14ac:dyDescent="0.25">
      <c r="A30" t="str">
        <f t="shared" si="0"/>
        <v>16.77%</v>
      </c>
      <c r="B30">
        <f t="shared" si="2"/>
        <v>0.16770000000000002</v>
      </c>
      <c r="C30">
        <v>986.74341369848685</v>
      </c>
    </row>
    <row r="31" spans="1:3" x14ac:dyDescent="0.25">
      <c r="A31" t="str">
        <f t="shared" si="0"/>
        <v>16.87%</v>
      </c>
      <c r="B31">
        <f t="shared" si="2"/>
        <v>0.16870000000000002</v>
      </c>
      <c r="C31">
        <v>986.39438578903457</v>
      </c>
    </row>
    <row r="32" spans="1:3" x14ac:dyDescent="0.25">
      <c r="A32" t="str">
        <f t="shared" si="0"/>
        <v>16.97%</v>
      </c>
      <c r="B32">
        <f t="shared" si="2"/>
        <v>0.16970000000000002</v>
      </c>
      <c r="C32">
        <v>986.08958381705509</v>
      </c>
    </row>
    <row r="33" spans="1:3" x14ac:dyDescent="0.25">
      <c r="A33" t="str">
        <f t="shared" si="0"/>
        <v>17.07%</v>
      </c>
      <c r="B33">
        <f t="shared" si="2"/>
        <v>0.17070000000000002</v>
      </c>
      <c r="C33">
        <v>985.75668489096154</v>
      </c>
    </row>
    <row r="34" spans="1:3" x14ac:dyDescent="0.25">
      <c r="A34" t="str">
        <f t="shared" si="0"/>
        <v>17.17%</v>
      </c>
      <c r="B34">
        <f t="shared" si="2"/>
        <v>0.17170000000000002</v>
      </c>
      <c r="C34">
        <v>985.41967533677928</v>
      </c>
    </row>
    <row r="35" spans="1:3" x14ac:dyDescent="0.25">
      <c r="A35" t="str">
        <f t="shared" si="0"/>
        <v>17.27%</v>
      </c>
      <c r="B35">
        <f t="shared" si="2"/>
        <v>0.17270000000000002</v>
      </c>
      <c r="C35">
        <v>985.06116190796115</v>
      </c>
    </row>
    <row r="36" spans="1:3" x14ac:dyDescent="0.25">
      <c r="A36" t="str">
        <f t="shared" si="0"/>
        <v>17.37%</v>
      </c>
      <c r="B36">
        <f t="shared" si="2"/>
        <v>0.17370000000000002</v>
      </c>
      <c r="C36">
        <v>984.72012004518297</v>
      </c>
    </row>
    <row r="37" spans="1:3" x14ac:dyDescent="0.25">
      <c r="A37" t="str">
        <f t="shared" si="0"/>
        <v>17.47%</v>
      </c>
      <c r="B37">
        <f t="shared" si="2"/>
        <v>0.17470000000000002</v>
      </c>
      <c r="C37">
        <v>984.33592626570282</v>
      </c>
    </row>
    <row r="38" spans="1:3" x14ac:dyDescent="0.25">
      <c r="A38" t="str">
        <f t="shared" si="0"/>
        <v>17.57%</v>
      </c>
      <c r="B38">
        <f t="shared" si="2"/>
        <v>0.17570000000000002</v>
      </c>
      <c r="C38">
        <v>983.95093267825735</v>
      </c>
    </row>
    <row r="39" spans="1:3" x14ac:dyDescent="0.25">
      <c r="A39" t="str">
        <f t="shared" si="0"/>
        <v>17.67%</v>
      </c>
      <c r="B39">
        <f t="shared" si="2"/>
        <v>0.17670000000000002</v>
      </c>
      <c r="C39">
        <v>983.61635994238611</v>
      </c>
    </row>
    <row r="40" spans="1:3" x14ac:dyDescent="0.25">
      <c r="A40" t="str">
        <f t="shared" si="0"/>
        <v>17.77%</v>
      </c>
      <c r="B40">
        <f t="shared" si="2"/>
        <v>0.17770000000000002</v>
      </c>
      <c r="C40">
        <v>983.28995859452584</v>
      </c>
    </row>
    <row r="41" spans="1:3" x14ac:dyDescent="0.25">
      <c r="A41" t="str">
        <f t="shared" si="0"/>
        <v>17.87%</v>
      </c>
      <c r="B41">
        <f t="shared" si="2"/>
        <v>0.17870000000000003</v>
      </c>
      <c r="C41">
        <v>982.95049950448515</v>
      </c>
    </row>
    <row r="42" spans="1:3" x14ac:dyDescent="0.25">
      <c r="A42" t="str">
        <f t="shared" si="0"/>
        <v>17.97%</v>
      </c>
      <c r="B42">
        <f t="shared" si="2"/>
        <v>0.17970000000000003</v>
      </c>
      <c r="C42">
        <v>982.60066643147923</v>
      </c>
    </row>
    <row r="43" spans="1:3" x14ac:dyDescent="0.25">
      <c r="A43" t="str">
        <f t="shared" si="0"/>
        <v>18.07%</v>
      </c>
      <c r="B43">
        <f t="shared" si="2"/>
        <v>0.18070000000000003</v>
      </c>
      <c r="C43">
        <v>982.27097443524974</v>
      </c>
    </row>
    <row r="44" spans="1:3" x14ac:dyDescent="0.25">
      <c r="A44" t="str">
        <f t="shared" si="0"/>
        <v>18.17%</v>
      </c>
      <c r="B44">
        <f t="shared" si="2"/>
        <v>0.18170000000000003</v>
      </c>
      <c r="C44">
        <v>981.97588193630202</v>
      </c>
    </row>
    <row r="45" spans="1:3" x14ac:dyDescent="0.25">
      <c r="A45" t="str">
        <f t="shared" si="0"/>
        <v>18.27%</v>
      </c>
      <c r="B45">
        <f t="shared" si="2"/>
        <v>0.18270000000000003</v>
      </c>
      <c r="C45">
        <v>981.65248484564711</v>
      </c>
    </row>
    <row r="46" spans="1:3" x14ac:dyDescent="0.25">
      <c r="A46" t="str">
        <f t="shared" si="0"/>
        <v>18.37%</v>
      </c>
      <c r="B46">
        <f t="shared" si="2"/>
        <v>0.18370000000000003</v>
      </c>
      <c r="C46">
        <v>981.25790797252853</v>
      </c>
    </row>
    <row r="47" spans="1:3" x14ac:dyDescent="0.25">
      <c r="A47" t="str">
        <f t="shared" si="0"/>
        <v>18.47%</v>
      </c>
      <c r="B47">
        <f t="shared" si="2"/>
        <v>0.18470000000000003</v>
      </c>
      <c r="C47">
        <v>980.84943608194908</v>
      </c>
    </row>
    <row r="48" spans="1:3" x14ac:dyDescent="0.25">
      <c r="A48" t="str">
        <f t="shared" si="0"/>
        <v>18.57%</v>
      </c>
      <c r="B48">
        <f t="shared" si="2"/>
        <v>0.18570000000000003</v>
      </c>
      <c r="C48">
        <v>980.47735447859191</v>
      </c>
    </row>
    <row r="49" spans="1:3" x14ac:dyDescent="0.25">
      <c r="A49" t="str">
        <f t="shared" si="0"/>
        <v>18.67%</v>
      </c>
      <c r="B49">
        <f t="shared" si="2"/>
        <v>0.18670000000000003</v>
      </c>
      <c r="C49">
        <v>980.12021490892153</v>
      </c>
    </row>
    <row r="50" spans="1:3" x14ac:dyDescent="0.25">
      <c r="A50" t="str">
        <f t="shared" si="0"/>
        <v>18.77%</v>
      </c>
      <c r="B50">
        <f t="shared" si="2"/>
        <v>0.18770000000000003</v>
      </c>
      <c r="C50">
        <v>979.77976923318931</v>
      </c>
    </row>
    <row r="51" spans="1:3" x14ac:dyDescent="0.25">
      <c r="A51" t="str">
        <f t="shared" si="0"/>
        <v>18.87%</v>
      </c>
      <c r="B51">
        <f t="shared" si="2"/>
        <v>0.18870000000000003</v>
      </c>
      <c r="C51">
        <v>979.39297788796193</v>
      </c>
    </row>
    <row r="52" spans="1:3" x14ac:dyDescent="0.25">
      <c r="A52" t="str">
        <f t="shared" si="0"/>
        <v>18.97%</v>
      </c>
      <c r="B52">
        <f t="shared" si="2"/>
        <v>0.18970000000000004</v>
      </c>
      <c r="C52">
        <v>979.01068506842921</v>
      </c>
    </row>
    <row r="53" spans="1:3" x14ac:dyDescent="0.25">
      <c r="A53" t="str">
        <f t="shared" si="0"/>
        <v>19.07%</v>
      </c>
      <c r="B53">
        <f t="shared" si="2"/>
        <v>0.19070000000000004</v>
      </c>
      <c r="C53">
        <v>978.65680631526277</v>
      </c>
    </row>
    <row r="54" spans="1:3" x14ac:dyDescent="0.25">
      <c r="A54" t="str">
        <f t="shared" si="0"/>
        <v>19.17%</v>
      </c>
      <c r="B54">
        <f t="shared" si="2"/>
        <v>0.19170000000000004</v>
      </c>
      <c r="C54">
        <v>978.25147344368906</v>
      </c>
    </row>
    <row r="55" spans="1:3" x14ac:dyDescent="0.25">
      <c r="A55" t="str">
        <f t="shared" si="0"/>
        <v>19.27%</v>
      </c>
      <c r="B55">
        <f t="shared" si="2"/>
        <v>0.19270000000000004</v>
      </c>
      <c r="C55">
        <v>977.87331167843399</v>
      </c>
    </row>
    <row r="56" spans="1:3" x14ac:dyDescent="0.25">
      <c r="A56" t="str">
        <f t="shared" si="0"/>
        <v>19.37%</v>
      </c>
      <c r="B56">
        <f t="shared" si="2"/>
        <v>0.19370000000000004</v>
      </c>
      <c r="C56">
        <v>977.47194690977619</v>
      </c>
    </row>
    <row r="57" spans="1:3" x14ac:dyDescent="0.25">
      <c r="A57" t="str">
        <f t="shared" si="0"/>
        <v>19.47%</v>
      </c>
      <c r="B57">
        <f t="shared" si="2"/>
        <v>0.19470000000000004</v>
      </c>
      <c r="C57">
        <v>977.06707162492262</v>
      </c>
    </row>
    <row r="58" spans="1:3" x14ac:dyDescent="0.25">
      <c r="A58" t="str">
        <f t="shared" si="0"/>
        <v>19.57%</v>
      </c>
      <c r="B58">
        <f t="shared" si="2"/>
        <v>0.19570000000000004</v>
      </c>
      <c r="C58">
        <v>976.69354458379348</v>
      </c>
    </row>
    <row r="59" spans="1:3" x14ac:dyDescent="0.25">
      <c r="A59" t="str">
        <f t="shared" si="0"/>
        <v>19.67%</v>
      </c>
      <c r="B59">
        <f t="shared" si="2"/>
        <v>0.19670000000000004</v>
      </c>
      <c r="C59">
        <v>976.31973205384679</v>
      </c>
    </row>
    <row r="60" spans="1:3" x14ac:dyDescent="0.25">
      <c r="A60" t="str">
        <f t="shared" si="0"/>
        <v>19.77%</v>
      </c>
      <c r="B60">
        <f t="shared" si="2"/>
        <v>0.19770000000000004</v>
      </c>
      <c r="C60">
        <v>975.92288560822192</v>
      </c>
    </row>
    <row r="61" spans="1:3" x14ac:dyDescent="0.25">
      <c r="A61" t="str">
        <f t="shared" si="0"/>
        <v>19.87%</v>
      </c>
      <c r="B61">
        <f t="shared" si="2"/>
        <v>0.19870000000000004</v>
      </c>
      <c r="C61">
        <v>975.51679371079467</v>
      </c>
    </row>
    <row r="62" spans="1:3" x14ac:dyDescent="0.25">
      <c r="A62" t="str">
        <f t="shared" si="0"/>
        <v>19.97%</v>
      </c>
      <c r="B62">
        <f t="shared" si="2"/>
        <v>0.19970000000000004</v>
      </c>
      <c r="C62">
        <v>975.12523625872268</v>
      </c>
    </row>
    <row r="63" spans="1:3" x14ac:dyDescent="0.25">
      <c r="A63" t="str">
        <f t="shared" si="0"/>
        <v>20.07%</v>
      </c>
      <c r="B63">
        <f t="shared" si="2"/>
        <v>0.20070000000000005</v>
      </c>
      <c r="C63">
        <v>974.72813358928738</v>
      </c>
    </row>
    <row r="64" spans="1:3" x14ac:dyDescent="0.25">
      <c r="A64" t="str">
        <f t="shared" si="0"/>
        <v>20.17%</v>
      </c>
      <c r="B64">
        <f t="shared" si="2"/>
        <v>0.20170000000000005</v>
      </c>
      <c r="C64">
        <v>974.3033014913226</v>
      </c>
    </row>
    <row r="65" spans="1:3" x14ac:dyDescent="0.25">
      <c r="A65" t="str">
        <f t="shared" si="0"/>
        <v>20.27%</v>
      </c>
      <c r="B65">
        <f t="shared" si="2"/>
        <v>0.20270000000000005</v>
      </c>
      <c r="C65">
        <v>973.91487691241025</v>
      </c>
    </row>
    <row r="66" spans="1:3" x14ac:dyDescent="0.25">
      <c r="A66" t="str">
        <f t="shared" si="0"/>
        <v>20.37%</v>
      </c>
      <c r="B66">
        <f t="shared" si="2"/>
        <v>0.20370000000000005</v>
      </c>
      <c r="C66">
        <v>973.56444926817096</v>
      </c>
    </row>
    <row r="67" spans="1:3" x14ac:dyDescent="0.25">
      <c r="A67" t="str">
        <f t="shared" si="0"/>
        <v>20.47%</v>
      </c>
      <c r="B67">
        <f t="shared" si="2"/>
        <v>0.20470000000000005</v>
      </c>
      <c r="C67">
        <v>973.12946967136668</v>
      </c>
    </row>
    <row r="68" spans="1:3" x14ac:dyDescent="0.25">
      <c r="A68" t="str">
        <f t="shared" si="0"/>
        <v>20.57%</v>
      </c>
      <c r="B68">
        <f t="shared" si="2"/>
        <v>0.20570000000000005</v>
      </c>
      <c r="C68">
        <v>972.73201661891699</v>
      </c>
    </row>
    <row r="69" spans="1:3" x14ac:dyDescent="0.25">
      <c r="A69" t="str">
        <f t="shared" ref="A69:A104" si="3">TEXT(B69,"00.00%")</f>
        <v>20.67%</v>
      </c>
      <c r="B69">
        <f t="shared" si="2"/>
        <v>0.20670000000000005</v>
      </c>
      <c r="C69">
        <v>972.32213019064875</v>
      </c>
    </row>
    <row r="70" spans="1:3" x14ac:dyDescent="0.25">
      <c r="A70" t="str">
        <f t="shared" si="3"/>
        <v>20.77%</v>
      </c>
      <c r="B70">
        <f t="shared" ref="B70:B104" si="4">B69+0.001</f>
        <v>0.20770000000000005</v>
      </c>
      <c r="C70">
        <v>971.88637238295644</v>
      </c>
    </row>
    <row r="71" spans="1:3" x14ac:dyDescent="0.25">
      <c r="A71" t="str">
        <f t="shared" si="3"/>
        <v>20.87%</v>
      </c>
      <c r="B71">
        <f t="shared" si="4"/>
        <v>0.20870000000000005</v>
      </c>
      <c r="C71">
        <v>971.50392071892156</v>
      </c>
    </row>
    <row r="72" spans="1:3" x14ac:dyDescent="0.25">
      <c r="A72" t="str">
        <f t="shared" si="3"/>
        <v>20.97%</v>
      </c>
      <c r="B72">
        <f t="shared" si="4"/>
        <v>0.20970000000000005</v>
      </c>
      <c r="C72">
        <v>971.08825913516591</v>
      </c>
    </row>
    <row r="73" spans="1:3" x14ac:dyDescent="0.25">
      <c r="A73" t="str">
        <f t="shared" si="3"/>
        <v>21.07%</v>
      </c>
      <c r="B73">
        <f t="shared" si="4"/>
        <v>0.21070000000000005</v>
      </c>
      <c r="C73">
        <v>970.71668429209319</v>
      </c>
    </row>
    <row r="74" spans="1:3" x14ac:dyDescent="0.25">
      <c r="A74" t="str">
        <f t="shared" si="3"/>
        <v>21.17%</v>
      </c>
      <c r="B74">
        <f t="shared" si="4"/>
        <v>0.21170000000000005</v>
      </c>
      <c r="C74">
        <v>970.32943812033659</v>
      </c>
    </row>
    <row r="75" spans="1:3" x14ac:dyDescent="0.25">
      <c r="A75" t="str">
        <f t="shared" si="3"/>
        <v>21.27%</v>
      </c>
      <c r="B75">
        <f t="shared" si="4"/>
        <v>0.21270000000000006</v>
      </c>
      <c r="C75">
        <v>969.93700224923953</v>
      </c>
    </row>
    <row r="76" spans="1:3" x14ac:dyDescent="0.25">
      <c r="A76" t="str">
        <f t="shared" si="3"/>
        <v>21.37%</v>
      </c>
      <c r="B76">
        <f t="shared" si="4"/>
        <v>0.21370000000000006</v>
      </c>
      <c r="C76">
        <v>969.54316121261866</v>
      </c>
    </row>
    <row r="77" spans="1:3" x14ac:dyDescent="0.25">
      <c r="A77" t="str">
        <f t="shared" si="3"/>
        <v>21.47%</v>
      </c>
      <c r="B77">
        <f t="shared" si="4"/>
        <v>0.21470000000000006</v>
      </c>
      <c r="C77">
        <v>969.11910881967844</v>
      </c>
    </row>
    <row r="78" spans="1:3" x14ac:dyDescent="0.25">
      <c r="A78" t="str">
        <f t="shared" si="3"/>
        <v>21.57%</v>
      </c>
      <c r="B78">
        <f t="shared" si="4"/>
        <v>0.21570000000000006</v>
      </c>
      <c r="C78">
        <v>968.73621638897259</v>
      </c>
    </row>
    <row r="79" spans="1:3" x14ac:dyDescent="0.25">
      <c r="A79" t="str">
        <f t="shared" si="3"/>
        <v>21.67%</v>
      </c>
      <c r="B79">
        <f t="shared" si="4"/>
        <v>0.21670000000000006</v>
      </c>
      <c r="C79">
        <v>968.33499070439245</v>
      </c>
    </row>
    <row r="80" spans="1:3" x14ac:dyDescent="0.25">
      <c r="A80" t="str">
        <f t="shared" si="3"/>
        <v>21.77%</v>
      </c>
      <c r="B80">
        <f t="shared" si="4"/>
        <v>0.21770000000000006</v>
      </c>
      <c r="C80">
        <v>967.92699976614233</v>
      </c>
    </row>
    <row r="81" spans="1:3" x14ac:dyDescent="0.25">
      <c r="A81" t="str">
        <f t="shared" si="3"/>
        <v>21.87%</v>
      </c>
      <c r="B81">
        <f t="shared" si="4"/>
        <v>0.21870000000000006</v>
      </c>
      <c r="C81">
        <v>967.51651931504716</v>
      </c>
    </row>
    <row r="82" spans="1:3" x14ac:dyDescent="0.25">
      <c r="A82" t="str">
        <f t="shared" si="3"/>
        <v>21.97%</v>
      </c>
      <c r="B82">
        <f t="shared" si="4"/>
        <v>0.21970000000000006</v>
      </c>
      <c r="C82">
        <v>967.09420902593843</v>
      </c>
    </row>
    <row r="83" spans="1:3" x14ac:dyDescent="0.25">
      <c r="A83" t="str">
        <f t="shared" si="3"/>
        <v>22.07%</v>
      </c>
      <c r="B83">
        <f t="shared" si="4"/>
        <v>0.22070000000000006</v>
      </c>
      <c r="C83">
        <v>966.65536803497662</v>
      </c>
    </row>
    <row r="84" spans="1:3" x14ac:dyDescent="0.25">
      <c r="A84" t="str">
        <f t="shared" si="3"/>
        <v>22.17%</v>
      </c>
      <c r="B84">
        <f t="shared" si="4"/>
        <v>0.22170000000000006</v>
      </c>
      <c r="C84">
        <v>966.23501673606222</v>
      </c>
    </row>
    <row r="85" spans="1:3" x14ac:dyDescent="0.25">
      <c r="A85" t="str">
        <f t="shared" si="3"/>
        <v>22.27%</v>
      </c>
      <c r="B85">
        <f t="shared" si="4"/>
        <v>0.22270000000000006</v>
      </c>
      <c r="C85">
        <v>965.79407830501225</v>
      </c>
    </row>
    <row r="86" spans="1:3" x14ac:dyDescent="0.25">
      <c r="A86" t="str">
        <f t="shared" si="3"/>
        <v>22.37%</v>
      </c>
      <c r="B86">
        <f t="shared" si="4"/>
        <v>0.22370000000000007</v>
      </c>
      <c r="C86">
        <v>965.36963442901538</v>
      </c>
    </row>
    <row r="87" spans="1:3" x14ac:dyDescent="0.25">
      <c r="A87" t="str">
        <f t="shared" si="3"/>
        <v>22.47%</v>
      </c>
      <c r="B87">
        <f t="shared" si="4"/>
        <v>0.22470000000000007</v>
      </c>
      <c r="C87">
        <v>964.93381111868359</v>
      </c>
    </row>
    <row r="88" spans="1:3" x14ac:dyDescent="0.25">
      <c r="A88" t="str">
        <f t="shared" si="3"/>
        <v>22.57%</v>
      </c>
      <c r="B88">
        <f t="shared" si="4"/>
        <v>0.22570000000000007</v>
      </c>
      <c r="C88">
        <v>964.52812508309023</v>
      </c>
    </row>
    <row r="89" spans="1:3" x14ac:dyDescent="0.25">
      <c r="A89" t="str">
        <f t="shared" si="3"/>
        <v>22.67%</v>
      </c>
      <c r="B89">
        <f t="shared" si="4"/>
        <v>0.22670000000000007</v>
      </c>
      <c r="C89">
        <v>964.06449183425866</v>
      </c>
    </row>
    <row r="90" spans="1:3" x14ac:dyDescent="0.25">
      <c r="A90" t="str">
        <f t="shared" si="3"/>
        <v>22.77%</v>
      </c>
      <c r="B90">
        <f t="shared" si="4"/>
        <v>0.22770000000000007</v>
      </c>
      <c r="C90">
        <v>963.66798809438103</v>
      </c>
    </row>
    <row r="91" spans="1:3" x14ac:dyDescent="0.25">
      <c r="A91" t="str">
        <f t="shared" si="3"/>
        <v>22.87%</v>
      </c>
      <c r="B91">
        <f t="shared" si="4"/>
        <v>0.22870000000000007</v>
      </c>
      <c r="C91">
        <v>963.24534704220116</v>
      </c>
    </row>
    <row r="92" spans="1:3" x14ac:dyDescent="0.25">
      <c r="A92" t="str">
        <f t="shared" si="3"/>
        <v>22.97%</v>
      </c>
      <c r="B92">
        <f t="shared" si="4"/>
        <v>0.22970000000000007</v>
      </c>
      <c r="C92">
        <v>962.82938113846546</v>
      </c>
    </row>
    <row r="93" spans="1:3" x14ac:dyDescent="0.25">
      <c r="A93" t="str">
        <f t="shared" si="3"/>
        <v>23.07%</v>
      </c>
      <c r="B93">
        <f t="shared" si="4"/>
        <v>0.23070000000000007</v>
      </c>
      <c r="C93">
        <v>962.39904121538291</v>
      </c>
    </row>
    <row r="94" spans="1:3" x14ac:dyDescent="0.25">
      <c r="A94" t="str">
        <f t="shared" si="3"/>
        <v>23.17%</v>
      </c>
      <c r="B94">
        <f t="shared" si="4"/>
        <v>0.23170000000000007</v>
      </c>
      <c r="C94">
        <v>962.00479616183895</v>
      </c>
    </row>
    <row r="95" spans="1:3" x14ac:dyDescent="0.25">
      <c r="A95" t="str">
        <f t="shared" si="3"/>
        <v>23.27%</v>
      </c>
      <c r="B95">
        <f t="shared" si="4"/>
        <v>0.23270000000000007</v>
      </c>
      <c r="C95">
        <v>961.52797099978579</v>
      </c>
    </row>
    <row r="96" spans="1:3" x14ac:dyDescent="0.25">
      <c r="A96" t="str">
        <f t="shared" si="3"/>
        <v>23.37%</v>
      </c>
      <c r="B96">
        <f t="shared" si="4"/>
        <v>0.23370000000000007</v>
      </c>
      <c r="C96">
        <v>961.07255149605191</v>
      </c>
    </row>
    <row r="97" spans="1:3" x14ac:dyDescent="0.25">
      <c r="A97" t="str">
        <f t="shared" si="3"/>
        <v>23.47%</v>
      </c>
      <c r="B97">
        <f t="shared" si="4"/>
        <v>0.23470000000000008</v>
      </c>
      <c r="C97">
        <v>960.61011383606206</v>
      </c>
    </row>
    <row r="98" spans="1:3" x14ac:dyDescent="0.25">
      <c r="A98" t="str">
        <f t="shared" si="3"/>
        <v>23.57%</v>
      </c>
      <c r="B98">
        <f t="shared" si="4"/>
        <v>0.23570000000000008</v>
      </c>
      <c r="C98">
        <v>960.17604657943343</v>
      </c>
    </row>
    <row r="99" spans="1:3" x14ac:dyDescent="0.25">
      <c r="A99" t="str">
        <f t="shared" si="3"/>
        <v>23.67%</v>
      </c>
      <c r="B99">
        <f t="shared" si="4"/>
        <v>0.23670000000000008</v>
      </c>
      <c r="C99">
        <v>959.70012271087626</v>
      </c>
    </row>
    <row r="100" spans="1:3" x14ac:dyDescent="0.25">
      <c r="A100" t="str">
        <f t="shared" si="3"/>
        <v>23.77%</v>
      </c>
      <c r="B100">
        <f t="shared" si="4"/>
        <v>0.23770000000000008</v>
      </c>
      <c r="C100">
        <v>959.26015629527296</v>
      </c>
    </row>
    <row r="101" spans="1:3" x14ac:dyDescent="0.25">
      <c r="A101" t="str">
        <f t="shared" si="3"/>
        <v>23.87%</v>
      </c>
      <c r="B101">
        <f t="shared" si="4"/>
        <v>0.23870000000000008</v>
      </c>
      <c r="C101">
        <v>958.85867723463184</v>
      </c>
    </row>
    <row r="102" spans="1:3" x14ac:dyDescent="0.25">
      <c r="A102" t="str">
        <f t="shared" si="3"/>
        <v>23.97%</v>
      </c>
      <c r="B102">
        <f t="shared" si="4"/>
        <v>0.23970000000000008</v>
      </c>
      <c r="C102">
        <v>958.43399752830078</v>
      </c>
    </row>
    <row r="103" spans="1:3" x14ac:dyDescent="0.25">
      <c r="A103" t="str">
        <f t="shared" si="3"/>
        <v>24.07%</v>
      </c>
      <c r="B103">
        <f t="shared" si="4"/>
        <v>0.24070000000000008</v>
      </c>
      <c r="C103">
        <v>958.01333861903004</v>
      </c>
    </row>
    <row r="104" spans="1:3" x14ac:dyDescent="0.25">
      <c r="A104" t="str">
        <f t="shared" si="3"/>
        <v>24.17%</v>
      </c>
      <c r="B104">
        <f t="shared" si="4"/>
        <v>0.24170000000000008</v>
      </c>
      <c r="C104">
        <v>957.56181365871657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Sheet6.black_scholes_sensitivity_in_sigma_S_1">
                <anchor moveWithCells="1" sizeWithCells="1">
                  <from>
                    <xdr:col>5</xdr:col>
                    <xdr:colOff>28575</xdr:colOff>
                    <xdr:row>7</xdr:row>
                    <xdr:rowOff>123825</xdr:rowOff>
                  </from>
                  <to>
                    <xdr:col>7</xdr:col>
                    <xdr:colOff>133350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K104"/>
  <sheetViews>
    <sheetView workbookViewId="0"/>
  </sheetViews>
  <sheetFormatPr defaultRowHeight="15" x14ac:dyDescent="0.25"/>
  <cols>
    <col min="3" max="3" width="15.140625" bestFit="1" customWidth="1"/>
    <col min="11" max="11" width="9.85546875" bestFit="1" customWidth="1"/>
  </cols>
  <sheetData>
    <row r="1" spans="1:11" x14ac:dyDescent="0.25">
      <c r="B1" t="s">
        <v>38</v>
      </c>
      <c r="C1">
        <f>'Parameter Page'!E6</f>
        <v>0.16717299999999999</v>
      </c>
      <c r="E1">
        <f>C1-0.05</f>
        <v>0.11717299999999999</v>
      </c>
      <c r="F1">
        <f>C1+0.05</f>
        <v>0.217173</v>
      </c>
    </row>
    <row r="2" spans="1:11" x14ac:dyDescent="0.25">
      <c r="C2" t="s">
        <v>36</v>
      </c>
      <c r="D2">
        <f>COUNT(B4:B204)</f>
        <v>101</v>
      </c>
      <c r="J2" t="s">
        <v>46</v>
      </c>
    </row>
    <row r="3" spans="1:11" x14ac:dyDescent="0.25">
      <c r="B3" t="s">
        <v>45</v>
      </c>
      <c r="C3" t="s">
        <v>35</v>
      </c>
      <c r="I3" t="s">
        <v>45</v>
      </c>
      <c r="J3" t="s">
        <v>35</v>
      </c>
      <c r="K3" t="s">
        <v>47</v>
      </c>
    </row>
    <row r="4" spans="1:11" x14ac:dyDescent="0.25">
      <c r="A4" t="str">
        <f>TEXT(B4,"00.00%")</f>
        <v>11.72%</v>
      </c>
      <c r="B4">
        <f>E1</f>
        <v>0.11717299999999999</v>
      </c>
      <c r="C4">
        <v>981.57870444109369</v>
      </c>
      <c r="I4" s="6" t="s">
        <v>64</v>
      </c>
      <c r="J4">
        <f>VLOOKUP(I4,$A$4:$C$104,3,0)</f>
        <v>979.87579127632875</v>
      </c>
      <c r="K4" t="s">
        <v>48</v>
      </c>
    </row>
    <row r="5" spans="1:11" x14ac:dyDescent="0.25">
      <c r="A5" t="str">
        <f t="shared" ref="A5:A68" si="0">TEXT(B5,"00.00%")</f>
        <v>11.82%</v>
      </c>
      <c r="B5">
        <f>B4+0.001</f>
        <v>0.11817299999999999</v>
      </c>
      <c r="C5">
        <v>981.53973425423351</v>
      </c>
      <c r="I5" s="6" t="s">
        <v>63</v>
      </c>
      <c r="J5">
        <f t="shared" ref="J5:J6" si="1">VLOOKUP(I5,$A$4:$C$104,3,0)</f>
        <v>978.96141812757753</v>
      </c>
      <c r="K5" s="7">
        <f>(J5-J4)/J4</f>
        <v>-9.3315209630826293E-4</v>
      </c>
    </row>
    <row r="6" spans="1:11" x14ac:dyDescent="0.25">
      <c r="A6" t="str">
        <f t="shared" si="0"/>
        <v>11.92%</v>
      </c>
      <c r="B6">
        <f t="shared" ref="B6:B69" si="2">B5+0.001</f>
        <v>0.11917299999999999</v>
      </c>
      <c r="C6">
        <v>981.52835841650062</v>
      </c>
      <c r="I6" s="6" t="s">
        <v>65</v>
      </c>
      <c r="J6">
        <f t="shared" si="1"/>
        <v>977.85043025664663</v>
      </c>
      <c r="K6" s="7">
        <f>(J6-J5)/J5</f>
        <v>-1.134863795813162E-3</v>
      </c>
    </row>
    <row r="7" spans="1:11" x14ac:dyDescent="0.25">
      <c r="A7" t="str">
        <f t="shared" si="0"/>
        <v>12.02%</v>
      </c>
      <c r="B7">
        <f t="shared" si="2"/>
        <v>0.12017299999999999</v>
      </c>
      <c r="C7">
        <v>981.50254702410712</v>
      </c>
    </row>
    <row r="8" spans="1:11" x14ac:dyDescent="0.25">
      <c r="A8" t="str">
        <f t="shared" si="0"/>
        <v>12.12%</v>
      </c>
      <c r="B8">
        <f t="shared" si="2"/>
        <v>0.12117299999999999</v>
      </c>
      <c r="C8">
        <v>981.47976105272255</v>
      </c>
    </row>
    <row r="9" spans="1:11" x14ac:dyDescent="0.25">
      <c r="A9" t="str">
        <f t="shared" si="0"/>
        <v>12.22%</v>
      </c>
      <c r="B9">
        <f t="shared" si="2"/>
        <v>0.12217299999999999</v>
      </c>
      <c r="C9">
        <v>981.45603440266802</v>
      </c>
    </row>
    <row r="10" spans="1:11" x14ac:dyDescent="0.25">
      <c r="A10" t="str">
        <f t="shared" si="0"/>
        <v>12.32%</v>
      </c>
      <c r="B10">
        <f t="shared" si="2"/>
        <v>0.12317299999999999</v>
      </c>
      <c r="C10">
        <v>981.43266730251662</v>
      </c>
    </row>
    <row r="11" spans="1:11" x14ac:dyDescent="0.25">
      <c r="A11" t="str">
        <f t="shared" si="0"/>
        <v>12.42%</v>
      </c>
      <c r="B11">
        <f t="shared" si="2"/>
        <v>0.12417299999999999</v>
      </c>
      <c r="C11">
        <v>981.41365061919055</v>
      </c>
    </row>
    <row r="12" spans="1:11" x14ac:dyDescent="0.25">
      <c r="A12" t="str">
        <f t="shared" si="0"/>
        <v>12.52%</v>
      </c>
      <c r="B12">
        <f t="shared" si="2"/>
        <v>0.12517299999999998</v>
      </c>
      <c r="C12">
        <v>981.39138769965393</v>
      </c>
    </row>
    <row r="13" spans="1:11" x14ac:dyDescent="0.25">
      <c r="A13" t="str">
        <f t="shared" si="0"/>
        <v>12.62%</v>
      </c>
      <c r="B13">
        <f t="shared" si="2"/>
        <v>0.12617299999999998</v>
      </c>
      <c r="C13">
        <v>981.36634326325543</v>
      </c>
    </row>
    <row r="14" spans="1:11" x14ac:dyDescent="0.25">
      <c r="A14" t="str">
        <f t="shared" si="0"/>
        <v>12.72%</v>
      </c>
      <c r="B14">
        <f t="shared" si="2"/>
        <v>0.12717299999999998</v>
      </c>
      <c r="C14">
        <v>981.34220206268537</v>
      </c>
    </row>
    <row r="15" spans="1:11" x14ac:dyDescent="0.25">
      <c r="A15" t="str">
        <f t="shared" si="0"/>
        <v>12.82%</v>
      </c>
      <c r="B15">
        <f t="shared" si="2"/>
        <v>0.12817299999999998</v>
      </c>
      <c r="C15">
        <v>981.33786076317836</v>
      </c>
    </row>
    <row r="16" spans="1:11" x14ac:dyDescent="0.25">
      <c r="A16" t="str">
        <f t="shared" si="0"/>
        <v>12.92%</v>
      </c>
      <c r="B16">
        <f t="shared" si="2"/>
        <v>0.12917299999999998</v>
      </c>
      <c r="C16">
        <v>981.31285279161739</v>
      </c>
    </row>
    <row r="17" spans="1:3" x14ac:dyDescent="0.25">
      <c r="A17" t="str">
        <f t="shared" si="0"/>
        <v>13.02%</v>
      </c>
      <c r="B17">
        <f t="shared" si="2"/>
        <v>0.13017299999999998</v>
      </c>
      <c r="C17">
        <v>981.27080052735641</v>
      </c>
    </row>
    <row r="18" spans="1:3" x14ac:dyDescent="0.25">
      <c r="A18" t="str">
        <f t="shared" si="0"/>
        <v>13.12%</v>
      </c>
      <c r="B18">
        <f t="shared" si="2"/>
        <v>0.13117299999999998</v>
      </c>
      <c r="C18">
        <v>981.23652507831878</v>
      </c>
    </row>
    <row r="19" spans="1:3" x14ac:dyDescent="0.25">
      <c r="A19" t="str">
        <f t="shared" si="0"/>
        <v>13.22%</v>
      </c>
      <c r="B19">
        <f t="shared" si="2"/>
        <v>0.13217299999999998</v>
      </c>
      <c r="C19">
        <v>981.2096743489974</v>
      </c>
    </row>
    <row r="20" spans="1:3" x14ac:dyDescent="0.25">
      <c r="A20" t="str">
        <f t="shared" si="0"/>
        <v>13.32%</v>
      </c>
      <c r="B20">
        <f t="shared" si="2"/>
        <v>0.13317299999999999</v>
      </c>
      <c r="C20">
        <v>981.17860327713777</v>
      </c>
    </row>
    <row r="21" spans="1:3" x14ac:dyDescent="0.25">
      <c r="A21" t="str">
        <f t="shared" si="0"/>
        <v>13.42%</v>
      </c>
      <c r="B21">
        <f t="shared" si="2"/>
        <v>0.13417299999999999</v>
      </c>
      <c r="C21">
        <v>981.13653905497927</v>
      </c>
    </row>
    <row r="22" spans="1:3" x14ac:dyDescent="0.25">
      <c r="A22" t="str">
        <f t="shared" si="0"/>
        <v>13.52%</v>
      </c>
      <c r="B22">
        <f t="shared" si="2"/>
        <v>0.13517299999999999</v>
      </c>
      <c r="C22">
        <v>981.0999968186527</v>
      </c>
    </row>
    <row r="23" spans="1:3" x14ac:dyDescent="0.25">
      <c r="A23" t="str">
        <f t="shared" si="0"/>
        <v>13.62%</v>
      </c>
      <c r="B23">
        <f t="shared" si="2"/>
        <v>0.13617299999999999</v>
      </c>
      <c r="C23">
        <v>981.06913841494202</v>
      </c>
    </row>
    <row r="24" spans="1:3" x14ac:dyDescent="0.25">
      <c r="A24" t="str">
        <f t="shared" si="0"/>
        <v>13.72%</v>
      </c>
      <c r="B24">
        <f t="shared" si="2"/>
        <v>0.13717299999999999</v>
      </c>
      <c r="C24">
        <v>981.0338282489563</v>
      </c>
    </row>
    <row r="25" spans="1:3" x14ac:dyDescent="0.25">
      <c r="A25" t="str">
        <f t="shared" si="0"/>
        <v>13.82%</v>
      </c>
      <c r="B25">
        <f t="shared" si="2"/>
        <v>0.13817299999999999</v>
      </c>
      <c r="C25">
        <v>981.00249407988792</v>
      </c>
    </row>
    <row r="26" spans="1:3" x14ac:dyDescent="0.25">
      <c r="A26" t="str">
        <f t="shared" si="0"/>
        <v>13.92%</v>
      </c>
      <c r="B26">
        <f t="shared" si="2"/>
        <v>0.13917299999999999</v>
      </c>
      <c r="C26">
        <v>980.96551745432055</v>
      </c>
    </row>
    <row r="27" spans="1:3" x14ac:dyDescent="0.25">
      <c r="A27" t="str">
        <f t="shared" si="0"/>
        <v>14.02%</v>
      </c>
      <c r="B27">
        <f t="shared" si="2"/>
        <v>0.14017299999999999</v>
      </c>
      <c r="C27">
        <v>980.91843923497811</v>
      </c>
    </row>
    <row r="28" spans="1:3" x14ac:dyDescent="0.25">
      <c r="A28" t="str">
        <f t="shared" si="0"/>
        <v>14.12%</v>
      </c>
      <c r="B28">
        <f t="shared" si="2"/>
        <v>0.14117299999999999</v>
      </c>
      <c r="C28">
        <v>980.88466303154405</v>
      </c>
    </row>
    <row r="29" spans="1:3" x14ac:dyDescent="0.25">
      <c r="A29" t="str">
        <f t="shared" si="0"/>
        <v>14.22%</v>
      </c>
      <c r="B29">
        <f t="shared" si="2"/>
        <v>0.14217299999999999</v>
      </c>
      <c r="C29">
        <v>980.84279374568894</v>
      </c>
    </row>
    <row r="30" spans="1:3" x14ac:dyDescent="0.25">
      <c r="A30" t="str">
        <f t="shared" si="0"/>
        <v>14.32%</v>
      </c>
      <c r="B30">
        <f t="shared" si="2"/>
        <v>0.14317299999999999</v>
      </c>
      <c r="C30">
        <v>980.78387983964831</v>
      </c>
    </row>
    <row r="31" spans="1:3" x14ac:dyDescent="0.25">
      <c r="A31" t="str">
        <f t="shared" si="0"/>
        <v>14.42%</v>
      </c>
      <c r="B31">
        <f t="shared" si="2"/>
        <v>0.144173</v>
      </c>
      <c r="C31">
        <v>980.72586981442055</v>
      </c>
    </row>
    <row r="32" spans="1:3" x14ac:dyDescent="0.25">
      <c r="A32" t="str">
        <f t="shared" si="0"/>
        <v>14.52%</v>
      </c>
      <c r="B32">
        <f t="shared" si="2"/>
        <v>0.145173</v>
      </c>
      <c r="C32">
        <v>980.67955002614519</v>
      </c>
    </row>
    <row r="33" spans="1:3" x14ac:dyDescent="0.25">
      <c r="A33" t="str">
        <f t="shared" si="0"/>
        <v>14.62%</v>
      </c>
      <c r="B33">
        <f t="shared" si="2"/>
        <v>0.146173</v>
      </c>
      <c r="C33">
        <v>980.62967542903243</v>
      </c>
    </row>
    <row r="34" spans="1:3" x14ac:dyDescent="0.25">
      <c r="A34" t="str">
        <f t="shared" si="0"/>
        <v>14.72%</v>
      </c>
      <c r="B34">
        <f t="shared" si="2"/>
        <v>0.147173</v>
      </c>
      <c r="C34">
        <v>980.58223453727874</v>
      </c>
    </row>
    <row r="35" spans="1:3" x14ac:dyDescent="0.25">
      <c r="A35" t="str">
        <f t="shared" si="0"/>
        <v>14.82%</v>
      </c>
      <c r="B35">
        <f t="shared" si="2"/>
        <v>0.148173</v>
      </c>
      <c r="C35">
        <v>980.5204221749334</v>
      </c>
    </row>
    <row r="36" spans="1:3" x14ac:dyDescent="0.25">
      <c r="A36" t="str">
        <f t="shared" si="0"/>
        <v>14.92%</v>
      </c>
      <c r="B36">
        <f t="shared" si="2"/>
        <v>0.149173</v>
      </c>
      <c r="C36">
        <v>980.45435324174161</v>
      </c>
    </row>
    <row r="37" spans="1:3" x14ac:dyDescent="0.25">
      <c r="A37" t="str">
        <f t="shared" si="0"/>
        <v>15.02%</v>
      </c>
      <c r="B37">
        <f t="shared" si="2"/>
        <v>0.150173</v>
      </c>
      <c r="C37">
        <v>980.38363672489686</v>
      </c>
    </row>
    <row r="38" spans="1:3" x14ac:dyDescent="0.25">
      <c r="A38" t="str">
        <f t="shared" si="0"/>
        <v>15.12%</v>
      </c>
      <c r="B38">
        <f t="shared" si="2"/>
        <v>0.151173</v>
      </c>
      <c r="C38">
        <v>980.32232784516066</v>
      </c>
    </row>
    <row r="39" spans="1:3" x14ac:dyDescent="0.25">
      <c r="A39" t="str">
        <f t="shared" si="0"/>
        <v>15.22%</v>
      </c>
      <c r="B39">
        <f t="shared" si="2"/>
        <v>0.152173</v>
      </c>
      <c r="C39">
        <v>980.23649080649375</v>
      </c>
    </row>
    <row r="40" spans="1:3" x14ac:dyDescent="0.25">
      <c r="A40" t="str">
        <f t="shared" si="0"/>
        <v>15.32%</v>
      </c>
      <c r="B40">
        <f t="shared" si="2"/>
        <v>0.153173</v>
      </c>
      <c r="C40">
        <v>980.16576707544505</v>
      </c>
    </row>
    <row r="41" spans="1:3" x14ac:dyDescent="0.25">
      <c r="A41" t="str">
        <f t="shared" si="0"/>
        <v>15.42%</v>
      </c>
      <c r="B41">
        <f t="shared" si="2"/>
        <v>0.154173</v>
      </c>
      <c r="C41">
        <v>980.07890385700898</v>
      </c>
    </row>
    <row r="42" spans="1:3" x14ac:dyDescent="0.25">
      <c r="A42" t="str">
        <f t="shared" si="0"/>
        <v>15.52%</v>
      </c>
      <c r="B42">
        <f t="shared" si="2"/>
        <v>0.15517300000000001</v>
      </c>
      <c r="C42">
        <v>980.01330780748128</v>
      </c>
    </row>
    <row r="43" spans="1:3" x14ac:dyDescent="0.25">
      <c r="A43" t="str">
        <f t="shared" si="0"/>
        <v>15.62%</v>
      </c>
      <c r="B43">
        <f t="shared" si="2"/>
        <v>0.15617300000000001</v>
      </c>
      <c r="C43">
        <v>979.94003898731273</v>
      </c>
    </row>
    <row r="44" spans="1:3" x14ac:dyDescent="0.25">
      <c r="A44" t="str">
        <f t="shared" si="0"/>
        <v>15.72%</v>
      </c>
      <c r="B44">
        <f t="shared" si="2"/>
        <v>0.15717300000000001</v>
      </c>
      <c r="C44">
        <v>979.87579127632875</v>
      </c>
    </row>
    <row r="45" spans="1:3" x14ac:dyDescent="0.25">
      <c r="A45" t="str">
        <f t="shared" si="0"/>
        <v>15.82%</v>
      </c>
      <c r="B45">
        <f t="shared" si="2"/>
        <v>0.15817300000000001</v>
      </c>
      <c r="C45">
        <v>979.78927675849332</v>
      </c>
    </row>
    <row r="46" spans="1:3" x14ac:dyDescent="0.25">
      <c r="A46" t="str">
        <f t="shared" si="0"/>
        <v>15.92%</v>
      </c>
      <c r="B46">
        <f t="shared" si="2"/>
        <v>0.15917300000000001</v>
      </c>
      <c r="C46">
        <v>979.70146501695592</v>
      </c>
    </row>
    <row r="47" spans="1:3" x14ac:dyDescent="0.25">
      <c r="A47" t="str">
        <f t="shared" si="0"/>
        <v>16.02%</v>
      </c>
      <c r="B47">
        <f t="shared" si="2"/>
        <v>0.16017300000000001</v>
      </c>
      <c r="C47">
        <v>979.6267217323483</v>
      </c>
    </row>
    <row r="48" spans="1:3" x14ac:dyDescent="0.25">
      <c r="A48" t="str">
        <f t="shared" si="0"/>
        <v>16.12%</v>
      </c>
      <c r="B48">
        <f t="shared" si="2"/>
        <v>0.16117300000000001</v>
      </c>
      <c r="C48">
        <v>979.54309230438002</v>
      </c>
    </row>
    <row r="49" spans="1:3" x14ac:dyDescent="0.25">
      <c r="A49" t="str">
        <f t="shared" si="0"/>
        <v>16.22%</v>
      </c>
      <c r="B49">
        <f t="shared" si="2"/>
        <v>0.16217300000000001</v>
      </c>
      <c r="C49">
        <v>979.44711382729656</v>
      </c>
    </row>
    <row r="50" spans="1:3" x14ac:dyDescent="0.25">
      <c r="A50" t="str">
        <f t="shared" si="0"/>
        <v>16.32%</v>
      </c>
      <c r="B50">
        <f t="shared" si="2"/>
        <v>0.16317300000000001</v>
      </c>
      <c r="C50">
        <v>979.36238856038972</v>
      </c>
    </row>
    <row r="51" spans="1:3" x14ac:dyDescent="0.25">
      <c r="A51" t="str">
        <f t="shared" si="0"/>
        <v>16.42%</v>
      </c>
      <c r="B51">
        <f t="shared" si="2"/>
        <v>0.16417300000000001</v>
      </c>
      <c r="C51">
        <v>979.28009502680129</v>
      </c>
    </row>
    <row r="52" spans="1:3" x14ac:dyDescent="0.25">
      <c r="A52" t="str">
        <f t="shared" si="0"/>
        <v>16.52%</v>
      </c>
      <c r="B52">
        <f t="shared" si="2"/>
        <v>0.16517300000000001</v>
      </c>
      <c r="C52">
        <v>979.17964116677206</v>
      </c>
    </row>
    <row r="53" spans="1:3" x14ac:dyDescent="0.25">
      <c r="A53" t="str">
        <f t="shared" si="0"/>
        <v>16.62%</v>
      </c>
      <c r="B53">
        <f t="shared" si="2"/>
        <v>0.16617300000000002</v>
      </c>
      <c r="C53">
        <v>979.05916424803138</v>
      </c>
    </row>
    <row r="54" spans="1:3" x14ac:dyDescent="0.25">
      <c r="A54" t="str">
        <f t="shared" si="0"/>
        <v>16.72%</v>
      </c>
      <c r="B54">
        <f t="shared" si="2"/>
        <v>0.16717300000000002</v>
      </c>
      <c r="C54">
        <v>978.96141812757753</v>
      </c>
    </row>
    <row r="55" spans="1:3" x14ac:dyDescent="0.25">
      <c r="A55" t="str">
        <f t="shared" si="0"/>
        <v>16.82%</v>
      </c>
      <c r="B55">
        <f t="shared" si="2"/>
        <v>0.16817300000000002</v>
      </c>
      <c r="C55">
        <v>978.84793153021621</v>
      </c>
    </row>
    <row r="56" spans="1:3" x14ac:dyDescent="0.25">
      <c r="A56" t="str">
        <f t="shared" si="0"/>
        <v>16.92%</v>
      </c>
      <c r="B56">
        <f t="shared" si="2"/>
        <v>0.16917300000000002</v>
      </c>
      <c r="C56">
        <v>978.74229001772665</v>
      </c>
    </row>
    <row r="57" spans="1:3" x14ac:dyDescent="0.25">
      <c r="A57" t="str">
        <f t="shared" si="0"/>
        <v>17.02%</v>
      </c>
      <c r="B57">
        <f t="shared" si="2"/>
        <v>0.17017300000000002</v>
      </c>
      <c r="C57">
        <v>978.6269575188162</v>
      </c>
    </row>
    <row r="58" spans="1:3" x14ac:dyDescent="0.25">
      <c r="A58" t="str">
        <f t="shared" si="0"/>
        <v>17.12%</v>
      </c>
      <c r="B58">
        <f t="shared" si="2"/>
        <v>0.17117300000000002</v>
      </c>
      <c r="C58">
        <v>978.53656472435421</v>
      </c>
    </row>
    <row r="59" spans="1:3" x14ac:dyDescent="0.25">
      <c r="A59" t="str">
        <f t="shared" si="0"/>
        <v>17.22%</v>
      </c>
      <c r="B59">
        <f t="shared" si="2"/>
        <v>0.17217300000000002</v>
      </c>
      <c r="C59">
        <v>978.43034108193444</v>
      </c>
    </row>
    <row r="60" spans="1:3" x14ac:dyDescent="0.25">
      <c r="A60" t="str">
        <f t="shared" si="0"/>
        <v>17.32%</v>
      </c>
      <c r="B60">
        <f t="shared" si="2"/>
        <v>0.17317300000000002</v>
      </c>
      <c r="C60">
        <v>978.31562975385782</v>
      </c>
    </row>
    <row r="61" spans="1:3" x14ac:dyDescent="0.25">
      <c r="A61" t="str">
        <f t="shared" si="0"/>
        <v>17.42%</v>
      </c>
      <c r="B61">
        <f t="shared" si="2"/>
        <v>0.17417300000000002</v>
      </c>
      <c r="C61">
        <v>978.19894446049466</v>
      </c>
    </row>
    <row r="62" spans="1:3" x14ac:dyDescent="0.25">
      <c r="A62" t="str">
        <f t="shared" si="0"/>
        <v>17.52%</v>
      </c>
      <c r="B62">
        <f t="shared" si="2"/>
        <v>0.17517300000000002</v>
      </c>
      <c r="C62">
        <v>978.07632836046059</v>
      </c>
    </row>
    <row r="63" spans="1:3" x14ac:dyDescent="0.25">
      <c r="A63" t="str">
        <f t="shared" si="0"/>
        <v>17.62%</v>
      </c>
      <c r="B63">
        <f t="shared" si="2"/>
        <v>0.17617300000000002</v>
      </c>
      <c r="C63">
        <v>977.96507698478763</v>
      </c>
    </row>
    <row r="64" spans="1:3" x14ac:dyDescent="0.25">
      <c r="A64" t="str">
        <f t="shared" si="0"/>
        <v>17.72%</v>
      </c>
      <c r="B64">
        <f t="shared" si="2"/>
        <v>0.17717300000000002</v>
      </c>
      <c r="C64">
        <v>977.85043025664663</v>
      </c>
    </row>
    <row r="65" spans="1:3" x14ac:dyDescent="0.25">
      <c r="A65" t="str">
        <f t="shared" si="0"/>
        <v>17.82%</v>
      </c>
      <c r="B65">
        <f t="shared" si="2"/>
        <v>0.17817300000000003</v>
      </c>
      <c r="C65">
        <v>977.72972142659626</v>
      </c>
    </row>
    <row r="66" spans="1:3" x14ac:dyDescent="0.25">
      <c r="A66" t="str">
        <f t="shared" si="0"/>
        <v>17.92%</v>
      </c>
      <c r="B66">
        <f t="shared" si="2"/>
        <v>0.17917300000000003</v>
      </c>
      <c r="C66">
        <v>977.61462728571053</v>
      </c>
    </row>
    <row r="67" spans="1:3" x14ac:dyDescent="0.25">
      <c r="A67" t="str">
        <f t="shared" si="0"/>
        <v>18.02%</v>
      </c>
      <c r="B67">
        <f t="shared" si="2"/>
        <v>0.18017300000000003</v>
      </c>
      <c r="C67">
        <v>977.47597717840017</v>
      </c>
    </row>
    <row r="68" spans="1:3" x14ac:dyDescent="0.25">
      <c r="A68" t="str">
        <f t="shared" si="0"/>
        <v>18.12%</v>
      </c>
      <c r="B68">
        <f t="shared" si="2"/>
        <v>0.18117300000000003</v>
      </c>
      <c r="C68">
        <v>977.34756864002111</v>
      </c>
    </row>
    <row r="69" spans="1:3" x14ac:dyDescent="0.25">
      <c r="A69" t="str">
        <f t="shared" ref="A69:A104" si="3">TEXT(B69,"00.00%")</f>
        <v>18.22%</v>
      </c>
      <c r="B69">
        <f t="shared" si="2"/>
        <v>0.18217300000000003</v>
      </c>
      <c r="C69">
        <v>977.21868682416675</v>
      </c>
    </row>
    <row r="70" spans="1:3" x14ac:dyDescent="0.25">
      <c r="A70" t="str">
        <f t="shared" si="3"/>
        <v>18.32%</v>
      </c>
      <c r="B70">
        <f t="shared" ref="B70:B104" si="4">B69+0.001</f>
        <v>0.18317300000000003</v>
      </c>
      <c r="C70">
        <v>977.07602549750254</v>
      </c>
    </row>
    <row r="71" spans="1:3" x14ac:dyDescent="0.25">
      <c r="A71" t="str">
        <f t="shared" si="3"/>
        <v>18.42%</v>
      </c>
      <c r="B71">
        <f t="shared" si="4"/>
        <v>0.18417300000000003</v>
      </c>
      <c r="C71">
        <v>976.94166606823103</v>
      </c>
    </row>
    <row r="72" spans="1:3" x14ac:dyDescent="0.25">
      <c r="A72" t="str">
        <f t="shared" si="3"/>
        <v>18.52%</v>
      </c>
      <c r="B72">
        <f t="shared" si="4"/>
        <v>0.18517300000000003</v>
      </c>
      <c r="C72">
        <v>976.80356129691268</v>
      </c>
    </row>
    <row r="73" spans="1:3" x14ac:dyDescent="0.25">
      <c r="A73" t="str">
        <f t="shared" si="3"/>
        <v>18.62%</v>
      </c>
      <c r="B73">
        <f t="shared" si="4"/>
        <v>0.18617300000000003</v>
      </c>
      <c r="C73">
        <v>976.66425056104868</v>
      </c>
    </row>
    <row r="74" spans="1:3" x14ac:dyDescent="0.25">
      <c r="A74" t="str">
        <f t="shared" si="3"/>
        <v>18.72%</v>
      </c>
      <c r="B74">
        <f t="shared" si="4"/>
        <v>0.18717300000000003</v>
      </c>
      <c r="C74">
        <v>976.51673661861741</v>
      </c>
    </row>
    <row r="75" spans="1:3" x14ac:dyDescent="0.25">
      <c r="A75" t="str">
        <f t="shared" si="3"/>
        <v>18.82%</v>
      </c>
      <c r="B75">
        <f t="shared" si="4"/>
        <v>0.18817300000000003</v>
      </c>
      <c r="C75">
        <v>976.35497860812745</v>
      </c>
    </row>
    <row r="76" spans="1:3" x14ac:dyDescent="0.25">
      <c r="A76" t="str">
        <f t="shared" si="3"/>
        <v>18.92%</v>
      </c>
      <c r="B76">
        <f t="shared" si="4"/>
        <v>0.18917300000000004</v>
      </c>
      <c r="C76">
        <v>976.21034606158844</v>
      </c>
    </row>
    <row r="77" spans="1:3" x14ac:dyDescent="0.25">
      <c r="A77" t="str">
        <f t="shared" si="3"/>
        <v>19.02%</v>
      </c>
      <c r="B77">
        <f t="shared" si="4"/>
        <v>0.19017300000000004</v>
      </c>
      <c r="C77">
        <v>976.04472364834828</v>
      </c>
    </row>
    <row r="78" spans="1:3" x14ac:dyDescent="0.25">
      <c r="A78" t="str">
        <f t="shared" si="3"/>
        <v>19.12%</v>
      </c>
      <c r="B78">
        <f t="shared" si="4"/>
        <v>0.19117300000000004</v>
      </c>
      <c r="C78">
        <v>975.87243908237281</v>
      </c>
    </row>
    <row r="79" spans="1:3" x14ac:dyDescent="0.25">
      <c r="A79" t="str">
        <f t="shared" si="3"/>
        <v>19.22%</v>
      </c>
      <c r="B79">
        <f t="shared" si="4"/>
        <v>0.19217300000000004</v>
      </c>
      <c r="C79">
        <v>975.72307070520287</v>
      </c>
    </row>
    <row r="80" spans="1:3" x14ac:dyDescent="0.25">
      <c r="A80" t="str">
        <f t="shared" si="3"/>
        <v>19.32%</v>
      </c>
      <c r="B80">
        <f t="shared" si="4"/>
        <v>0.19317300000000004</v>
      </c>
      <c r="C80">
        <v>975.57121292723559</v>
      </c>
    </row>
    <row r="81" spans="1:3" x14ac:dyDescent="0.25">
      <c r="A81" t="str">
        <f t="shared" si="3"/>
        <v>19.42%</v>
      </c>
      <c r="B81">
        <f t="shared" si="4"/>
        <v>0.19417300000000004</v>
      </c>
      <c r="C81">
        <v>975.4005110879998</v>
      </c>
    </row>
    <row r="82" spans="1:3" x14ac:dyDescent="0.25">
      <c r="A82" t="str">
        <f t="shared" si="3"/>
        <v>19.52%</v>
      </c>
      <c r="B82">
        <f t="shared" si="4"/>
        <v>0.19517300000000004</v>
      </c>
      <c r="C82">
        <v>975.24450225123883</v>
      </c>
    </row>
    <row r="83" spans="1:3" x14ac:dyDescent="0.25">
      <c r="A83" t="str">
        <f t="shared" si="3"/>
        <v>19.62%</v>
      </c>
      <c r="B83">
        <f t="shared" si="4"/>
        <v>0.19617300000000004</v>
      </c>
      <c r="C83">
        <v>975.04310711050755</v>
      </c>
    </row>
    <row r="84" spans="1:3" x14ac:dyDescent="0.25">
      <c r="A84" t="str">
        <f t="shared" si="3"/>
        <v>19.72%</v>
      </c>
      <c r="B84">
        <f t="shared" si="4"/>
        <v>0.19717300000000004</v>
      </c>
      <c r="C84">
        <v>974.86872866776343</v>
      </c>
    </row>
    <row r="85" spans="1:3" x14ac:dyDescent="0.25">
      <c r="A85" t="str">
        <f t="shared" si="3"/>
        <v>19.82%</v>
      </c>
      <c r="B85">
        <f t="shared" si="4"/>
        <v>0.19817300000000004</v>
      </c>
      <c r="C85">
        <v>974.68869779100066</v>
      </c>
    </row>
    <row r="86" spans="1:3" x14ac:dyDescent="0.25">
      <c r="A86" t="str">
        <f t="shared" si="3"/>
        <v>19.92%</v>
      </c>
      <c r="B86">
        <f t="shared" si="4"/>
        <v>0.19917300000000004</v>
      </c>
      <c r="C86">
        <v>974.50329101328214</v>
      </c>
    </row>
    <row r="87" spans="1:3" x14ac:dyDescent="0.25">
      <c r="A87" t="str">
        <f t="shared" si="3"/>
        <v>20.02%</v>
      </c>
      <c r="B87">
        <f t="shared" si="4"/>
        <v>0.20017300000000005</v>
      </c>
      <c r="C87">
        <v>974.31968521604836</v>
      </c>
    </row>
    <row r="88" spans="1:3" x14ac:dyDescent="0.25">
      <c r="A88" t="str">
        <f t="shared" si="3"/>
        <v>20.12%</v>
      </c>
      <c r="B88">
        <f t="shared" si="4"/>
        <v>0.20117300000000005</v>
      </c>
      <c r="C88">
        <v>974.15695381116655</v>
      </c>
    </row>
    <row r="89" spans="1:3" x14ac:dyDescent="0.25">
      <c r="A89" t="str">
        <f t="shared" si="3"/>
        <v>20.22%</v>
      </c>
      <c r="B89">
        <f t="shared" si="4"/>
        <v>0.20217300000000005</v>
      </c>
      <c r="C89">
        <v>973.98677274371369</v>
      </c>
    </row>
    <row r="90" spans="1:3" x14ac:dyDescent="0.25">
      <c r="A90" t="str">
        <f t="shared" si="3"/>
        <v>20.32%</v>
      </c>
      <c r="B90">
        <f t="shared" si="4"/>
        <v>0.20317300000000005</v>
      </c>
      <c r="C90">
        <v>973.79027603686313</v>
      </c>
    </row>
    <row r="91" spans="1:3" x14ac:dyDescent="0.25">
      <c r="A91" t="str">
        <f t="shared" si="3"/>
        <v>20.42%</v>
      </c>
      <c r="B91">
        <f t="shared" si="4"/>
        <v>0.20417300000000005</v>
      </c>
      <c r="C91">
        <v>973.60816046628656</v>
      </c>
    </row>
    <row r="92" spans="1:3" x14ac:dyDescent="0.25">
      <c r="A92" t="str">
        <f t="shared" si="3"/>
        <v>20.52%</v>
      </c>
      <c r="B92">
        <f t="shared" si="4"/>
        <v>0.20517300000000005</v>
      </c>
      <c r="C92">
        <v>973.41268580531914</v>
      </c>
    </row>
    <row r="93" spans="1:3" x14ac:dyDescent="0.25">
      <c r="A93" t="str">
        <f t="shared" si="3"/>
        <v>20.62%</v>
      </c>
      <c r="B93">
        <f t="shared" si="4"/>
        <v>0.20617300000000005</v>
      </c>
      <c r="C93">
        <v>973.21922422120804</v>
      </c>
    </row>
    <row r="94" spans="1:3" x14ac:dyDescent="0.25">
      <c r="A94" t="str">
        <f t="shared" si="3"/>
        <v>20.72%</v>
      </c>
      <c r="B94">
        <f t="shared" si="4"/>
        <v>0.20717300000000005</v>
      </c>
      <c r="C94">
        <v>972.99263990600116</v>
      </c>
    </row>
    <row r="95" spans="1:3" x14ac:dyDescent="0.25">
      <c r="A95" t="str">
        <f t="shared" si="3"/>
        <v>20.82%</v>
      </c>
      <c r="B95">
        <f t="shared" si="4"/>
        <v>0.20817300000000005</v>
      </c>
      <c r="C95">
        <v>972.80623507512485</v>
      </c>
    </row>
    <row r="96" spans="1:3" x14ac:dyDescent="0.25">
      <c r="A96" t="str">
        <f t="shared" si="3"/>
        <v>20.92%</v>
      </c>
      <c r="B96">
        <f t="shared" si="4"/>
        <v>0.20917300000000005</v>
      </c>
      <c r="C96">
        <v>972.60633045894576</v>
      </c>
    </row>
    <row r="97" spans="1:3" x14ac:dyDescent="0.25">
      <c r="A97" t="str">
        <f t="shared" si="3"/>
        <v>21.02%</v>
      </c>
      <c r="B97">
        <f t="shared" si="4"/>
        <v>0.21017300000000005</v>
      </c>
      <c r="C97">
        <v>972.39201094857503</v>
      </c>
    </row>
    <row r="98" spans="1:3" x14ac:dyDescent="0.25">
      <c r="A98" t="str">
        <f t="shared" si="3"/>
        <v>21.12%</v>
      </c>
      <c r="B98">
        <f t="shared" si="4"/>
        <v>0.21117300000000006</v>
      </c>
      <c r="C98">
        <v>972.15908708858706</v>
      </c>
    </row>
    <row r="99" spans="1:3" x14ac:dyDescent="0.25">
      <c r="A99" t="str">
        <f t="shared" si="3"/>
        <v>21.22%</v>
      </c>
      <c r="B99">
        <f t="shared" si="4"/>
        <v>0.21217300000000006</v>
      </c>
      <c r="C99">
        <v>971.94650577682921</v>
      </c>
    </row>
    <row r="100" spans="1:3" x14ac:dyDescent="0.25">
      <c r="A100" t="str">
        <f t="shared" si="3"/>
        <v>21.32%</v>
      </c>
      <c r="B100">
        <f t="shared" si="4"/>
        <v>0.21317300000000006</v>
      </c>
      <c r="C100">
        <v>971.71237918924373</v>
      </c>
    </row>
    <row r="101" spans="1:3" x14ac:dyDescent="0.25">
      <c r="A101" t="str">
        <f t="shared" si="3"/>
        <v>21.42%</v>
      </c>
      <c r="B101">
        <f t="shared" si="4"/>
        <v>0.21417300000000006</v>
      </c>
      <c r="C101">
        <v>971.49415888945282</v>
      </c>
    </row>
    <row r="102" spans="1:3" x14ac:dyDescent="0.25">
      <c r="A102" t="str">
        <f t="shared" si="3"/>
        <v>21.52%</v>
      </c>
      <c r="B102">
        <f t="shared" si="4"/>
        <v>0.21517300000000006</v>
      </c>
      <c r="C102">
        <v>971.27035976556181</v>
      </c>
    </row>
    <row r="103" spans="1:3" x14ac:dyDescent="0.25">
      <c r="A103" t="str">
        <f t="shared" si="3"/>
        <v>21.62%</v>
      </c>
      <c r="B103">
        <f t="shared" si="4"/>
        <v>0.21617300000000006</v>
      </c>
      <c r="C103">
        <v>971.04025308963537</v>
      </c>
    </row>
    <row r="104" spans="1:3" x14ac:dyDescent="0.25">
      <c r="A104" t="str">
        <f t="shared" si="3"/>
        <v>21.72%</v>
      </c>
      <c r="B104">
        <f t="shared" si="4"/>
        <v>0.21717300000000006</v>
      </c>
      <c r="C104">
        <v>970.84019027813883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Sheet7.black_scholes_sensitivity_in_sigma_S_2">
                <anchor moveWithCells="1" sizeWithCells="1">
                  <from>
                    <xdr:col>4</xdr:col>
                    <xdr:colOff>66675</xdr:colOff>
                    <xdr:row>7</xdr:row>
                    <xdr:rowOff>123825</xdr:rowOff>
                  </from>
                  <to>
                    <xdr:col>5</xdr:col>
                    <xdr:colOff>200025</xdr:colOff>
                    <xdr:row>9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K104"/>
  <sheetViews>
    <sheetView workbookViewId="0">
      <selection activeCell="I2" sqref="I2:K6"/>
    </sheetView>
  </sheetViews>
  <sheetFormatPr defaultRowHeight="15" x14ac:dyDescent="0.25"/>
  <cols>
    <col min="3" max="3" width="15.140625" bestFit="1" customWidth="1"/>
    <col min="10" max="10" width="15.140625" bestFit="1" customWidth="1"/>
    <col min="11" max="11" width="9.85546875" bestFit="1" customWidth="1"/>
  </cols>
  <sheetData>
    <row r="1" spans="1:11" x14ac:dyDescent="0.25">
      <c r="B1" t="s">
        <v>38</v>
      </c>
      <c r="C1">
        <f>'Parameter Page'!H6</f>
        <v>0.19</v>
      </c>
      <c r="E1">
        <f>C1-0.05</f>
        <v>0.14000000000000001</v>
      </c>
      <c r="F1">
        <f>C1+0.05</f>
        <v>0.24</v>
      </c>
    </row>
    <row r="2" spans="1:11" x14ac:dyDescent="0.25">
      <c r="C2" t="s">
        <v>36</v>
      </c>
      <c r="D2">
        <f>COUNT(B4:B204)</f>
        <v>101</v>
      </c>
      <c r="J2" t="s">
        <v>46</v>
      </c>
    </row>
    <row r="3" spans="1:11" x14ac:dyDescent="0.25">
      <c r="B3" t="s">
        <v>45</v>
      </c>
      <c r="C3" t="s">
        <v>35</v>
      </c>
      <c r="I3" t="s">
        <v>45</v>
      </c>
      <c r="J3" t="s">
        <v>35</v>
      </c>
      <c r="K3" t="s">
        <v>47</v>
      </c>
    </row>
    <row r="4" spans="1:11" x14ac:dyDescent="0.25">
      <c r="A4" t="str">
        <f>TEXT(B4,"00.00%")</f>
        <v>14.00%</v>
      </c>
      <c r="B4">
        <f>E1</f>
        <v>0.14000000000000001</v>
      </c>
      <c r="C4">
        <v>986.0373439149289</v>
      </c>
      <c r="I4" s="6" t="s">
        <v>67</v>
      </c>
      <c r="J4">
        <f>VLOOKUP(I4,$A$4:$C$104,3,0)</f>
        <v>980.82076626600747</v>
      </c>
      <c r="K4" t="s">
        <v>48</v>
      </c>
    </row>
    <row r="5" spans="1:11" x14ac:dyDescent="0.25">
      <c r="A5" t="str">
        <f t="shared" ref="A5:A68" si="0">TEXT(B5,"00.00%")</f>
        <v>14.10%</v>
      </c>
      <c r="B5">
        <f>B4+0.001</f>
        <v>0.14100000000000001</v>
      </c>
      <c r="C5">
        <v>985.96775071372372</v>
      </c>
      <c r="I5" s="6" t="s">
        <v>66</v>
      </c>
      <c r="J5">
        <f t="shared" ref="J5:J6" si="1">VLOOKUP(I5,$A$4:$C$104,3,0)</f>
        <v>978.75470973659685</v>
      </c>
      <c r="K5" s="7">
        <f>(J5-J4)/J4</f>
        <v>-2.1064567558822292E-3</v>
      </c>
    </row>
    <row r="6" spans="1:11" x14ac:dyDescent="0.25">
      <c r="A6" t="str">
        <f t="shared" si="0"/>
        <v>14.20%</v>
      </c>
      <c r="B6">
        <f t="shared" ref="B6:B69" si="2">B5+0.001</f>
        <v>0.14200000000000002</v>
      </c>
      <c r="C6">
        <v>985.88399615664605</v>
      </c>
      <c r="I6" s="6" t="s">
        <v>68</v>
      </c>
      <c r="J6">
        <f t="shared" si="1"/>
        <v>976.34738618262065</v>
      </c>
      <c r="K6" s="7">
        <f>(J6-J5)/J5</f>
        <v>-2.4595780025661981E-3</v>
      </c>
    </row>
    <row r="7" spans="1:11" x14ac:dyDescent="0.25">
      <c r="A7" t="str">
        <f t="shared" si="0"/>
        <v>14.30%</v>
      </c>
      <c r="B7">
        <f t="shared" si="2"/>
        <v>0.14300000000000002</v>
      </c>
      <c r="C7">
        <v>985.8118875103545</v>
      </c>
    </row>
    <row r="8" spans="1:11" x14ac:dyDescent="0.25">
      <c r="A8" t="str">
        <f t="shared" si="0"/>
        <v>14.40%</v>
      </c>
      <c r="B8">
        <f t="shared" si="2"/>
        <v>0.14400000000000002</v>
      </c>
      <c r="C8">
        <v>985.70783278077408</v>
      </c>
    </row>
    <row r="9" spans="1:11" x14ac:dyDescent="0.25">
      <c r="A9" t="str">
        <f t="shared" si="0"/>
        <v>14.50%</v>
      </c>
      <c r="B9">
        <f t="shared" si="2"/>
        <v>0.14500000000000002</v>
      </c>
      <c r="C9">
        <v>985.61196510461741</v>
      </c>
    </row>
    <row r="10" spans="1:11" x14ac:dyDescent="0.25">
      <c r="A10" t="str">
        <f t="shared" si="0"/>
        <v>14.60%</v>
      </c>
      <c r="B10">
        <f t="shared" si="2"/>
        <v>0.14600000000000002</v>
      </c>
      <c r="C10">
        <v>985.51972015481113</v>
      </c>
    </row>
    <row r="11" spans="1:11" x14ac:dyDescent="0.25">
      <c r="A11" t="str">
        <f t="shared" si="0"/>
        <v>14.70%</v>
      </c>
      <c r="B11">
        <f t="shared" si="2"/>
        <v>0.14700000000000002</v>
      </c>
      <c r="C11">
        <v>985.41279367931429</v>
      </c>
    </row>
    <row r="12" spans="1:11" x14ac:dyDescent="0.25">
      <c r="A12" t="str">
        <f t="shared" si="0"/>
        <v>14.80%</v>
      </c>
      <c r="B12">
        <f t="shared" si="2"/>
        <v>0.14800000000000002</v>
      </c>
      <c r="C12">
        <v>985.30328630082295</v>
      </c>
    </row>
    <row r="13" spans="1:11" x14ac:dyDescent="0.25">
      <c r="A13" t="str">
        <f t="shared" si="0"/>
        <v>14.90%</v>
      </c>
      <c r="B13">
        <f t="shared" si="2"/>
        <v>0.14900000000000002</v>
      </c>
      <c r="C13">
        <v>985.21868389995052</v>
      </c>
    </row>
    <row r="14" spans="1:11" x14ac:dyDescent="0.25">
      <c r="A14" t="str">
        <f t="shared" si="0"/>
        <v>15.00%</v>
      </c>
      <c r="B14">
        <f t="shared" si="2"/>
        <v>0.15000000000000002</v>
      </c>
      <c r="C14">
        <v>985.13591634176214</v>
      </c>
    </row>
    <row r="15" spans="1:11" x14ac:dyDescent="0.25">
      <c r="A15" t="str">
        <f t="shared" si="0"/>
        <v>15.10%</v>
      </c>
      <c r="B15">
        <f t="shared" si="2"/>
        <v>0.15100000000000002</v>
      </c>
      <c r="C15">
        <v>985.0252602785971</v>
      </c>
    </row>
    <row r="16" spans="1:11" x14ac:dyDescent="0.25">
      <c r="A16" t="str">
        <f t="shared" si="0"/>
        <v>15.20%</v>
      </c>
      <c r="B16">
        <f t="shared" si="2"/>
        <v>0.15200000000000002</v>
      </c>
      <c r="C16">
        <v>984.90371203021584</v>
      </c>
    </row>
    <row r="17" spans="1:3" x14ac:dyDescent="0.25">
      <c r="A17" t="str">
        <f t="shared" si="0"/>
        <v>15.30%</v>
      </c>
      <c r="B17">
        <f t="shared" si="2"/>
        <v>0.15300000000000002</v>
      </c>
      <c r="C17">
        <v>984.79230121515661</v>
      </c>
    </row>
    <row r="18" spans="1:3" x14ac:dyDescent="0.25">
      <c r="A18" t="str">
        <f t="shared" si="0"/>
        <v>15.40%</v>
      </c>
      <c r="B18">
        <f t="shared" si="2"/>
        <v>0.15400000000000003</v>
      </c>
      <c r="C18">
        <v>984.68094994426383</v>
      </c>
    </row>
    <row r="19" spans="1:3" x14ac:dyDescent="0.25">
      <c r="A19" t="str">
        <f t="shared" si="0"/>
        <v>15.50%</v>
      </c>
      <c r="B19">
        <f t="shared" si="2"/>
        <v>0.15500000000000003</v>
      </c>
      <c r="C19">
        <v>984.59064051892847</v>
      </c>
    </row>
    <row r="20" spans="1:3" x14ac:dyDescent="0.25">
      <c r="A20" t="str">
        <f t="shared" si="0"/>
        <v>15.60%</v>
      </c>
      <c r="B20">
        <f t="shared" si="2"/>
        <v>0.15600000000000003</v>
      </c>
      <c r="C20">
        <v>984.47952635191268</v>
      </c>
    </row>
    <row r="21" spans="1:3" x14ac:dyDescent="0.25">
      <c r="A21" t="str">
        <f t="shared" si="0"/>
        <v>15.70%</v>
      </c>
      <c r="B21">
        <f t="shared" si="2"/>
        <v>0.15700000000000003</v>
      </c>
      <c r="C21">
        <v>984.36235210309576</v>
      </c>
    </row>
    <row r="22" spans="1:3" x14ac:dyDescent="0.25">
      <c r="A22" t="str">
        <f t="shared" si="0"/>
        <v>15.80%</v>
      </c>
      <c r="B22">
        <f t="shared" si="2"/>
        <v>0.15800000000000003</v>
      </c>
      <c r="C22">
        <v>984.24639351911162</v>
      </c>
    </row>
    <row r="23" spans="1:3" x14ac:dyDescent="0.25">
      <c r="A23" t="str">
        <f t="shared" si="0"/>
        <v>15.90%</v>
      </c>
      <c r="B23">
        <f t="shared" si="2"/>
        <v>0.15900000000000003</v>
      </c>
      <c r="C23">
        <v>984.14823674315573</v>
      </c>
    </row>
    <row r="24" spans="1:3" x14ac:dyDescent="0.25">
      <c r="A24" t="str">
        <f t="shared" si="0"/>
        <v>16.00%</v>
      </c>
      <c r="B24">
        <f t="shared" si="2"/>
        <v>0.16000000000000003</v>
      </c>
      <c r="C24">
        <v>984.01525656550518</v>
      </c>
    </row>
    <row r="25" spans="1:3" x14ac:dyDescent="0.25">
      <c r="A25" t="str">
        <f t="shared" si="0"/>
        <v>16.10%</v>
      </c>
      <c r="B25">
        <f t="shared" si="2"/>
        <v>0.16100000000000003</v>
      </c>
      <c r="C25">
        <v>983.91818929325564</v>
      </c>
    </row>
    <row r="26" spans="1:3" x14ac:dyDescent="0.25">
      <c r="A26" t="str">
        <f t="shared" si="0"/>
        <v>16.20%</v>
      </c>
      <c r="B26">
        <f t="shared" si="2"/>
        <v>0.16200000000000003</v>
      </c>
      <c r="C26">
        <v>983.78091396740263</v>
      </c>
    </row>
    <row r="27" spans="1:3" x14ac:dyDescent="0.25">
      <c r="A27" t="str">
        <f t="shared" si="0"/>
        <v>16.30%</v>
      </c>
      <c r="B27">
        <f t="shared" si="2"/>
        <v>0.16300000000000003</v>
      </c>
      <c r="C27">
        <v>983.6465972255836</v>
      </c>
    </row>
    <row r="28" spans="1:3" x14ac:dyDescent="0.25">
      <c r="A28" t="str">
        <f t="shared" si="0"/>
        <v>16.40%</v>
      </c>
      <c r="B28">
        <f t="shared" si="2"/>
        <v>0.16400000000000003</v>
      </c>
      <c r="C28">
        <v>983.51921609469741</v>
      </c>
    </row>
    <row r="29" spans="1:3" x14ac:dyDescent="0.25">
      <c r="A29" t="str">
        <f t="shared" si="0"/>
        <v>16.50%</v>
      </c>
      <c r="B29">
        <f t="shared" si="2"/>
        <v>0.16500000000000004</v>
      </c>
      <c r="C29">
        <v>983.37517463098175</v>
      </c>
    </row>
    <row r="30" spans="1:3" x14ac:dyDescent="0.25">
      <c r="A30" t="str">
        <f t="shared" si="0"/>
        <v>16.60%</v>
      </c>
      <c r="B30">
        <f t="shared" si="2"/>
        <v>0.16600000000000004</v>
      </c>
      <c r="C30">
        <v>983.23923793395704</v>
      </c>
    </row>
    <row r="31" spans="1:3" x14ac:dyDescent="0.25">
      <c r="A31" t="str">
        <f t="shared" si="0"/>
        <v>16.70%</v>
      </c>
      <c r="B31">
        <f t="shared" si="2"/>
        <v>0.16700000000000004</v>
      </c>
      <c r="C31">
        <v>983.06620320791103</v>
      </c>
    </row>
    <row r="32" spans="1:3" x14ac:dyDescent="0.25">
      <c r="A32" t="str">
        <f t="shared" si="0"/>
        <v>16.80%</v>
      </c>
      <c r="B32">
        <f t="shared" si="2"/>
        <v>0.16800000000000004</v>
      </c>
      <c r="C32">
        <v>982.89120985877571</v>
      </c>
    </row>
    <row r="33" spans="1:3" x14ac:dyDescent="0.25">
      <c r="A33" t="str">
        <f t="shared" si="0"/>
        <v>16.90%</v>
      </c>
      <c r="B33">
        <f t="shared" si="2"/>
        <v>0.16900000000000004</v>
      </c>
      <c r="C33">
        <v>982.72952940284301</v>
      </c>
    </row>
    <row r="34" spans="1:3" x14ac:dyDescent="0.25">
      <c r="A34" t="str">
        <f t="shared" si="0"/>
        <v>17.00%</v>
      </c>
      <c r="B34">
        <f t="shared" si="2"/>
        <v>0.17000000000000004</v>
      </c>
      <c r="C34">
        <v>982.58776339430074</v>
      </c>
    </row>
    <row r="35" spans="1:3" x14ac:dyDescent="0.25">
      <c r="A35" t="str">
        <f t="shared" si="0"/>
        <v>17.10%</v>
      </c>
      <c r="B35">
        <f t="shared" si="2"/>
        <v>0.17100000000000004</v>
      </c>
      <c r="C35">
        <v>982.42847578090777</v>
      </c>
    </row>
    <row r="36" spans="1:3" x14ac:dyDescent="0.25">
      <c r="A36" t="str">
        <f t="shared" si="0"/>
        <v>17.20%</v>
      </c>
      <c r="B36">
        <f t="shared" si="2"/>
        <v>0.17200000000000004</v>
      </c>
      <c r="C36">
        <v>982.25753944602536</v>
      </c>
    </row>
    <row r="37" spans="1:3" x14ac:dyDescent="0.25">
      <c r="A37" t="str">
        <f t="shared" si="0"/>
        <v>17.30%</v>
      </c>
      <c r="B37">
        <f t="shared" si="2"/>
        <v>0.17300000000000004</v>
      </c>
      <c r="C37">
        <v>982.07164261616435</v>
      </c>
    </row>
    <row r="38" spans="1:3" x14ac:dyDescent="0.25">
      <c r="A38" t="str">
        <f t="shared" si="0"/>
        <v>17.40%</v>
      </c>
      <c r="B38">
        <f t="shared" si="2"/>
        <v>0.17400000000000004</v>
      </c>
      <c r="C38">
        <v>981.92320603185578</v>
      </c>
    </row>
    <row r="39" spans="1:3" x14ac:dyDescent="0.25">
      <c r="A39" t="str">
        <f t="shared" si="0"/>
        <v>17.50%</v>
      </c>
      <c r="B39">
        <f t="shared" si="2"/>
        <v>0.17500000000000004</v>
      </c>
      <c r="C39">
        <v>981.73957381806963</v>
      </c>
    </row>
    <row r="40" spans="1:3" x14ac:dyDescent="0.25">
      <c r="A40" t="str">
        <f t="shared" si="0"/>
        <v>17.60%</v>
      </c>
      <c r="B40">
        <f t="shared" si="2"/>
        <v>0.17600000000000005</v>
      </c>
      <c r="C40">
        <v>981.57162345389213</v>
      </c>
    </row>
    <row r="41" spans="1:3" x14ac:dyDescent="0.25">
      <c r="A41" t="str">
        <f t="shared" si="0"/>
        <v>17.70%</v>
      </c>
      <c r="B41">
        <f t="shared" si="2"/>
        <v>0.17700000000000005</v>
      </c>
      <c r="C41">
        <v>981.39626229600594</v>
      </c>
    </row>
    <row r="42" spans="1:3" x14ac:dyDescent="0.25">
      <c r="A42" t="str">
        <f t="shared" si="0"/>
        <v>17.80%</v>
      </c>
      <c r="B42">
        <f t="shared" si="2"/>
        <v>0.17800000000000005</v>
      </c>
      <c r="C42">
        <v>981.20694519025676</v>
      </c>
    </row>
    <row r="43" spans="1:3" x14ac:dyDescent="0.25">
      <c r="A43" t="str">
        <f t="shared" si="0"/>
        <v>17.90%</v>
      </c>
      <c r="B43">
        <f t="shared" si="2"/>
        <v>0.17900000000000005</v>
      </c>
      <c r="C43">
        <v>981.02932868591449</v>
      </c>
    </row>
    <row r="44" spans="1:3" x14ac:dyDescent="0.25">
      <c r="A44" t="str">
        <f t="shared" si="0"/>
        <v>18.00%</v>
      </c>
      <c r="B44">
        <f t="shared" si="2"/>
        <v>0.18000000000000005</v>
      </c>
      <c r="C44">
        <v>980.82076626600747</v>
      </c>
    </row>
    <row r="45" spans="1:3" x14ac:dyDescent="0.25">
      <c r="A45" t="str">
        <f t="shared" si="0"/>
        <v>18.10%</v>
      </c>
      <c r="B45">
        <f t="shared" si="2"/>
        <v>0.18100000000000005</v>
      </c>
      <c r="C45">
        <v>980.60239231164849</v>
      </c>
    </row>
    <row r="46" spans="1:3" x14ac:dyDescent="0.25">
      <c r="A46" t="str">
        <f t="shared" si="0"/>
        <v>18.20%</v>
      </c>
      <c r="B46">
        <f t="shared" si="2"/>
        <v>0.18200000000000005</v>
      </c>
      <c r="C46">
        <v>980.42310909555567</v>
      </c>
    </row>
    <row r="47" spans="1:3" x14ac:dyDescent="0.25">
      <c r="A47" t="str">
        <f t="shared" si="0"/>
        <v>18.30%</v>
      </c>
      <c r="B47">
        <f t="shared" si="2"/>
        <v>0.18300000000000005</v>
      </c>
      <c r="C47">
        <v>980.22156148106387</v>
      </c>
    </row>
    <row r="48" spans="1:3" x14ac:dyDescent="0.25">
      <c r="A48" t="str">
        <f t="shared" si="0"/>
        <v>18.40%</v>
      </c>
      <c r="B48">
        <f t="shared" si="2"/>
        <v>0.18400000000000005</v>
      </c>
      <c r="C48">
        <v>980.01943107774184</v>
      </c>
    </row>
    <row r="49" spans="1:3" x14ac:dyDescent="0.25">
      <c r="A49" t="str">
        <f t="shared" si="0"/>
        <v>18.50%</v>
      </c>
      <c r="B49">
        <f t="shared" si="2"/>
        <v>0.18500000000000005</v>
      </c>
      <c r="C49">
        <v>979.80311361848908</v>
      </c>
    </row>
    <row r="50" spans="1:3" x14ac:dyDescent="0.25">
      <c r="A50" t="str">
        <f t="shared" si="0"/>
        <v>18.60%</v>
      </c>
      <c r="B50">
        <f t="shared" si="2"/>
        <v>0.18600000000000005</v>
      </c>
      <c r="C50">
        <v>979.59139778714484</v>
      </c>
    </row>
    <row r="51" spans="1:3" x14ac:dyDescent="0.25">
      <c r="A51" t="str">
        <f t="shared" si="0"/>
        <v>18.70%</v>
      </c>
      <c r="B51">
        <f t="shared" si="2"/>
        <v>0.18700000000000006</v>
      </c>
      <c r="C51">
        <v>979.40467915966485</v>
      </c>
    </row>
    <row r="52" spans="1:3" x14ac:dyDescent="0.25">
      <c r="A52" t="str">
        <f t="shared" si="0"/>
        <v>18.80%</v>
      </c>
      <c r="B52">
        <f t="shared" si="2"/>
        <v>0.18800000000000006</v>
      </c>
      <c r="C52">
        <v>979.16042308543263</v>
      </c>
    </row>
    <row r="53" spans="1:3" x14ac:dyDescent="0.25">
      <c r="A53" t="str">
        <f t="shared" si="0"/>
        <v>18.90%</v>
      </c>
      <c r="B53">
        <f t="shared" si="2"/>
        <v>0.18900000000000006</v>
      </c>
      <c r="C53">
        <v>978.95145119952235</v>
      </c>
    </row>
    <row r="54" spans="1:3" x14ac:dyDescent="0.25">
      <c r="A54" t="str">
        <f t="shared" si="0"/>
        <v>19.00%</v>
      </c>
      <c r="B54">
        <f t="shared" si="2"/>
        <v>0.19000000000000006</v>
      </c>
      <c r="C54">
        <v>978.75470973659685</v>
      </c>
    </row>
    <row r="55" spans="1:3" x14ac:dyDescent="0.25">
      <c r="A55" t="str">
        <f t="shared" si="0"/>
        <v>19.10%</v>
      </c>
      <c r="B55">
        <f t="shared" si="2"/>
        <v>0.19100000000000006</v>
      </c>
      <c r="C55">
        <v>978.50776460226484</v>
      </c>
    </row>
    <row r="56" spans="1:3" x14ac:dyDescent="0.25">
      <c r="A56" t="str">
        <f t="shared" si="0"/>
        <v>19.20%</v>
      </c>
      <c r="B56">
        <f t="shared" si="2"/>
        <v>0.19200000000000006</v>
      </c>
      <c r="C56">
        <v>978.27443441831417</v>
      </c>
    </row>
    <row r="57" spans="1:3" x14ac:dyDescent="0.25">
      <c r="A57" t="str">
        <f t="shared" si="0"/>
        <v>19.30%</v>
      </c>
      <c r="B57">
        <f t="shared" si="2"/>
        <v>0.19300000000000006</v>
      </c>
      <c r="C57">
        <v>978.05200167784153</v>
      </c>
    </row>
    <row r="58" spans="1:3" x14ac:dyDescent="0.25">
      <c r="A58" t="str">
        <f t="shared" si="0"/>
        <v>19.40%</v>
      </c>
      <c r="B58">
        <f t="shared" si="2"/>
        <v>0.19400000000000006</v>
      </c>
      <c r="C58">
        <v>977.83166859674861</v>
      </c>
    </row>
    <row r="59" spans="1:3" x14ac:dyDescent="0.25">
      <c r="A59" t="str">
        <f t="shared" si="0"/>
        <v>19.50%</v>
      </c>
      <c r="B59">
        <f t="shared" si="2"/>
        <v>0.19500000000000006</v>
      </c>
      <c r="C59">
        <v>977.57770712060324</v>
      </c>
    </row>
    <row r="60" spans="1:3" x14ac:dyDescent="0.25">
      <c r="A60" t="str">
        <f t="shared" si="0"/>
        <v>19.60%</v>
      </c>
      <c r="B60">
        <f t="shared" si="2"/>
        <v>0.19600000000000006</v>
      </c>
      <c r="C60">
        <v>977.35056326490178</v>
      </c>
    </row>
    <row r="61" spans="1:3" x14ac:dyDescent="0.25">
      <c r="A61" t="str">
        <f t="shared" si="0"/>
        <v>19.70%</v>
      </c>
      <c r="B61">
        <f t="shared" si="2"/>
        <v>0.19700000000000006</v>
      </c>
      <c r="C61">
        <v>977.10400753449676</v>
      </c>
    </row>
    <row r="62" spans="1:3" x14ac:dyDescent="0.25">
      <c r="A62" t="str">
        <f t="shared" si="0"/>
        <v>19.80%</v>
      </c>
      <c r="B62">
        <f t="shared" si="2"/>
        <v>0.19800000000000006</v>
      </c>
      <c r="C62">
        <v>976.84478445540708</v>
      </c>
    </row>
    <row r="63" spans="1:3" x14ac:dyDescent="0.25">
      <c r="A63" t="str">
        <f t="shared" si="0"/>
        <v>19.90%</v>
      </c>
      <c r="B63">
        <f t="shared" si="2"/>
        <v>0.19900000000000007</v>
      </c>
      <c r="C63">
        <v>976.61358953853551</v>
      </c>
    </row>
    <row r="64" spans="1:3" x14ac:dyDescent="0.25">
      <c r="A64" t="str">
        <f t="shared" si="0"/>
        <v>20.00%</v>
      </c>
      <c r="B64">
        <f t="shared" si="2"/>
        <v>0.20000000000000007</v>
      </c>
      <c r="C64">
        <v>976.34738618262065</v>
      </c>
    </row>
    <row r="65" spans="1:3" x14ac:dyDescent="0.25">
      <c r="A65" t="str">
        <f t="shared" si="0"/>
        <v>20.10%</v>
      </c>
      <c r="B65">
        <f t="shared" si="2"/>
        <v>0.20100000000000007</v>
      </c>
      <c r="C65">
        <v>976.09884654803534</v>
      </c>
    </row>
    <row r="66" spans="1:3" x14ac:dyDescent="0.25">
      <c r="A66" t="str">
        <f t="shared" si="0"/>
        <v>20.20%</v>
      </c>
      <c r="B66">
        <f t="shared" si="2"/>
        <v>0.20200000000000007</v>
      </c>
      <c r="C66">
        <v>975.82928519091604</v>
      </c>
    </row>
    <row r="67" spans="1:3" x14ac:dyDescent="0.25">
      <c r="A67" t="str">
        <f t="shared" si="0"/>
        <v>20.30%</v>
      </c>
      <c r="B67">
        <f t="shared" si="2"/>
        <v>0.20300000000000007</v>
      </c>
      <c r="C67">
        <v>975.54534389289381</v>
      </c>
    </row>
    <row r="68" spans="1:3" x14ac:dyDescent="0.25">
      <c r="A68" t="str">
        <f t="shared" si="0"/>
        <v>20.40%</v>
      </c>
      <c r="B68">
        <f t="shared" si="2"/>
        <v>0.20400000000000007</v>
      </c>
      <c r="C68">
        <v>975.29827385690362</v>
      </c>
    </row>
    <row r="69" spans="1:3" x14ac:dyDescent="0.25">
      <c r="A69" t="str">
        <f t="shared" ref="A69:A104" si="3">TEXT(B69,"00.00%")</f>
        <v>20.50%</v>
      </c>
      <c r="B69">
        <f t="shared" si="2"/>
        <v>0.20500000000000007</v>
      </c>
      <c r="C69">
        <v>975.04928658774497</v>
      </c>
    </row>
    <row r="70" spans="1:3" x14ac:dyDescent="0.25">
      <c r="A70" t="str">
        <f t="shared" si="3"/>
        <v>20.60%</v>
      </c>
      <c r="B70">
        <f t="shared" ref="B70:B104" si="4">B69+0.001</f>
        <v>0.20600000000000007</v>
      </c>
      <c r="C70">
        <v>974.79003995554774</v>
      </c>
    </row>
    <row r="71" spans="1:3" x14ac:dyDescent="0.25">
      <c r="A71" t="str">
        <f t="shared" si="3"/>
        <v>20.70%</v>
      </c>
      <c r="B71">
        <f t="shared" si="4"/>
        <v>0.20700000000000007</v>
      </c>
      <c r="C71">
        <v>974.52508962130753</v>
      </c>
    </row>
    <row r="72" spans="1:3" x14ac:dyDescent="0.25">
      <c r="A72" t="str">
        <f t="shared" si="3"/>
        <v>20.80%</v>
      </c>
      <c r="B72">
        <f t="shared" si="4"/>
        <v>0.20800000000000007</v>
      </c>
      <c r="C72">
        <v>974.23819892309405</v>
      </c>
    </row>
    <row r="73" spans="1:3" x14ac:dyDescent="0.25">
      <c r="A73" t="str">
        <f t="shared" si="3"/>
        <v>20.90%</v>
      </c>
      <c r="B73">
        <f t="shared" si="4"/>
        <v>0.20900000000000007</v>
      </c>
      <c r="C73">
        <v>973.97341674354482</v>
      </c>
    </row>
    <row r="74" spans="1:3" x14ac:dyDescent="0.25">
      <c r="A74" t="str">
        <f t="shared" si="3"/>
        <v>21.00%</v>
      </c>
      <c r="B74">
        <f t="shared" si="4"/>
        <v>0.21000000000000008</v>
      </c>
      <c r="C74">
        <v>973.69363114203395</v>
      </c>
    </row>
    <row r="75" spans="1:3" x14ac:dyDescent="0.25">
      <c r="A75" t="str">
        <f t="shared" si="3"/>
        <v>21.10%</v>
      </c>
      <c r="B75">
        <f t="shared" si="4"/>
        <v>0.21100000000000008</v>
      </c>
      <c r="C75">
        <v>973.38946894344042</v>
      </c>
    </row>
    <row r="76" spans="1:3" x14ac:dyDescent="0.25">
      <c r="A76" t="str">
        <f t="shared" si="3"/>
        <v>21.20%</v>
      </c>
      <c r="B76">
        <f t="shared" si="4"/>
        <v>0.21200000000000008</v>
      </c>
      <c r="C76">
        <v>973.09980184924962</v>
      </c>
    </row>
    <row r="77" spans="1:3" x14ac:dyDescent="0.25">
      <c r="A77" t="str">
        <f t="shared" si="3"/>
        <v>21.30%</v>
      </c>
      <c r="B77">
        <f t="shared" si="4"/>
        <v>0.21300000000000008</v>
      </c>
      <c r="C77">
        <v>972.81519044782794</v>
      </c>
    </row>
    <row r="78" spans="1:3" x14ac:dyDescent="0.25">
      <c r="A78" t="str">
        <f t="shared" si="3"/>
        <v>21.40%</v>
      </c>
      <c r="B78">
        <f t="shared" si="4"/>
        <v>0.21400000000000008</v>
      </c>
      <c r="C78">
        <v>972.53000513235861</v>
      </c>
    </row>
    <row r="79" spans="1:3" x14ac:dyDescent="0.25">
      <c r="A79" t="str">
        <f t="shared" si="3"/>
        <v>21.50%</v>
      </c>
      <c r="B79">
        <f t="shared" si="4"/>
        <v>0.21500000000000008</v>
      </c>
      <c r="C79">
        <v>972.25665471920524</v>
      </c>
    </row>
    <row r="80" spans="1:3" x14ac:dyDescent="0.25">
      <c r="A80" t="str">
        <f t="shared" si="3"/>
        <v>21.60%</v>
      </c>
      <c r="B80">
        <f t="shared" si="4"/>
        <v>0.21600000000000008</v>
      </c>
      <c r="C80">
        <v>971.95188620172917</v>
      </c>
    </row>
    <row r="81" spans="1:3" x14ac:dyDescent="0.25">
      <c r="A81" t="str">
        <f t="shared" si="3"/>
        <v>21.70%</v>
      </c>
      <c r="B81">
        <f t="shared" si="4"/>
        <v>0.21700000000000008</v>
      </c>
      <c r="C81">
        <v>971.70563107762723</v>
      </c>
    </row>
    <row r="82" spans="1:3" x14ac:dyDescent="0.25">
      <c r="A82" t="str">
        <f t="shared" si="3"/>
        <v>21.80%</v>
      </c>
      <c r="B82">
        <f t="shared" si="4"/>
        <v>0.21800000000000008</v>
      </c>
      <c r="C82">
        <v>971.41904045351475</v>
      </c>
    </row>
    <row r="83" spans="1:3" x14ac:dyDescent="0.25">
      <c r="A83" t="str">
        <f t="shared" si="3"/>
        <v>21.90%</v>
      </c>
      <c r="B83">
        <f t="shared" si="4"/>
        <v>0.21900000000000008</v>
      </c>
      <c r="C83">
        <v>971.14981078035692</v>
      </c>
    </row>
    <row r="84" spans="1:3" x14ac:dyDescent="0.25">
      <c r="A84" t="str">
        <f t="shared" si="3"/>
        <v>22.00%</v>
      </c>
      <c r="B84">
        <f t="shared" si="4"/>
        <v>0.22000000000000008</v>
      </c>
      <c r="C84">
        <v>970.84670563767918</v>
      </c>
    </row>
    <row r="85" spans="1:3" x14ac:dyDescent="0.25">
      <c r="A85" t="str">
        <f t="shared" si="3"/>
        <v>22.10%</v>
      </c>
      <c r="B85">
        <f t="shared" si="4"/>
        <v>0.22100000000000009</v>
      </c>
      <c r="C85">
        <v>970.61835013296934</v>
      </c>
    </row>
    <row r="86" spans="1:3" x14ac:dyDescent="0.25">
      <c r="A86" t="str">
        <f t="shared" si="3"/>
        <v>22.20%</v>
      </c>
      <c r="B86">
        <f t="shared" si="4"/>
        <v>0.22200000000000009</v>
      </c>
      <c r="C86">
        <v>970.3257967555578</v>
      </c>
    </row>
    <row r="87" spans="1:3" x14ac:dyDescent="0.25">
      <c r="A87" t="str">
        <f t="shared" si="3"/>
        <v>22.30%</v>
      </c>
      <c r="B87">
        <f t="shared" si="4"/>
        <v>0.22300000000000009</v>
      </c>
      <c r="C87">
        <v>970.03813571928822</v>
      </c>
    </row>
    <row r="88" spans="1:3" x14ac:dyDescent="0.25">
      <c r="A88" t="str">
        <f t="shared" si="3"/>
        <v>22.40%</v>
      </c>
      <c r="B88">
        <f t="shared" si="4"/>
        <v>0.22400000000000009</v>
      </c>
      <c r="C88">
        <v>969.73452212233087</v>
      </c>
    </row>
    <row r="89" spans="1:3" x14ac:dyDescent="0.25">
      <c r="A89" t="str">
        <f t="shared" si="3"/>
        <v>22.50%</v>
      </c>
      <c r="B89">
        <f t="shared" si="4"/>
        <v>0.22500000000000009</v>
      </c>
      <c r="C89">
        <v>969.41691840721182</v>
      </c>
    </row>
    <row r="90" spans="1:3" x14ac:dyDescent="0.25">
      <c r="A90" t="str">
        <f t="shared" si="3"/>
        <v>22.60%</v>
      </c>
      <c r="B90">
        <f t="shared" si="4"/>
        <v>0.22600000000000009</v>
      </c>
      <c r="C90">
        <v>969.11905575636138</v>
      </c>
    </row>
    <row r="91" spans="1:3" x14ac:dyDescent="0.25">
      <c r="A91" t="str">
        <f t="shared" si="3"/>
        <v>22.70%</v>
      </c>
      <c r="B91">
        <f t="shared" si="4"/>
        <v>0.22700000000000009</v>
      </c>
      <c r="C91">
        <v>968.80262669880926</v>
      </c>
    </row>
    <row r="92" spans="1:3" x14ac:dyDescent="0.25">
      <c r="A92" t="str">
        <f t="shared" si="3"/>
        <v>22.80%</v>
      </c>
      <c r="B92">
        <f t="shared" si="4"/>
        <v>0.22800000000000009</v>
      </c>
      <c r="C92">
        <v>968.4985663152878</v>
      </c>
    </row>
    <row r="93" spans="1:3" x14ac:dyDescent="0.25">
      <c r="A93" t="str">
        <f t="shared" si="3"/>
        <v>22.90%</v>
      </c>
      <c r="B93">
        <f t="shared" si="4"/>
        <v>0.22900000000000009</v>
      </c>
      <c r="C93">
        <v>968.19790806650985</v>
      </c>
    </row>
    <row r="94" spans="1:3" x14ac:dyDescent="0.25">
      <c r="A94" t="str">
        <f t="shared" si="3"/>
        <v>23.00%</v>
      </c>
      <c r="B94">
        <f t="shared" si="4"/>
        <v>0.23000000000000009</v>
      </c>
      <c r="C94">
        <v>967.88498471051878</v>
      </c>
    </row>
    <row r="95" spans="1:3" x14ac:dyDescent="0.25">
      <c r="A95" t="str">
        <f t="shared" si="3"/>
        <v>23.10%</v>
      </c>
      <c r="B95">
        <f t="shared" si="4"/>
        <v>0.23100000000000009</v>
      </c>
      <c r="C95">
        <v>967.56629722156629</v>
      </c>
    </row>
    <row r="96" spans="1:3" x14ac:dyDescent="0.25">
      <c r="A96" t="str">
        <f t="shared" si="3"/>
        <v>23.20%</v>
      </c>
      <c r="B96">
        <f t="shared" si="4"/>
        <v>0.2320000000000001</v>
      </c>
      <c r="C96">
        <v>967.22270500665763</v>
      </c>
    </row>
    <row r="97" spans="1:3" x14ac:dyDescent="0.25">
      <c r="A97" t="str">
        <f t="shared" si="3"/>
        <v>23.30%</v>
      </c>
      <c r="B97">
        <f t="shared" si="4"/>
        <v>0.2330000000000001</v>
      </c>
      <c r="C97">
        <v>966.89810279298683</v>
      </c>
    </row>
    <row r="98" spans="1:3" x14ac:dyDescent="0.25">
      <c r="A98" t="str">
        <f t="shared" si="3"/>
        <v>23.40%</v>
      </c>
      <c r="B98">
        <f t="shared" si="4"/>
        <v>0.2340000000000001</v>
      </c>
      <c r="C98">
        <v>966.58424310044279</v>
      </c>
    </row>
    <row r="99" spans="1:3" x14ac:dyDescent="0.25">
      <c r="A99" t="str">
        <f t="shared" si="3"/>
        <v>23.50%</v>
      </c>
      <c r="B99">
        <f t="shared" si="4"/>
        <v>0.2350000000000001</v>
      </c>
      <c r="C99">
        <v>966.25829672648922</v>
      </c>
    </row>
    <row r="100" spans="1:3" x14ac:dyDescent="0.25">
      <c r="A100" t="str">
        <f t="shared" si="3"/>
        <v>23.60%</v>
      </c>
      <c r="B100">
        <f t="shared" si="4"/>
        <v>0.2360000000000001</v>
      </c>
      <c r="C100">
        <v>965.94565331459637</v>
      </c>
    </row>
    <row r="101" spans="1:3" x14ac:dyDescent="0.25">
      <c r="A101" t="str">
        <f t="shared" si="3"/>
        <v>23.70%</v>
      </c>
      <c r="B101">
        <f t="shared" si="4"/>
        <v>0.2370000000000001</v>
      </c>
      <c r="C101">
        <v>965.61850504498864</v>
      </c>
    </row>
    <row r="102" spans="1:3" x14ac:dyDescent="0.25">
      <c r="A102" t="str">
        <f t="shared" si="3"/>
        <v>23.80%</v>
      </c>
      <c r="B102">
        <f t="shared" si="4"/>
        <v>0.2380000000000001</v>
      </c>
      <c r="C102">
        <v>965.2999381557039</v>
      </c>
    </row>
    <row r="103" spans="1:3" x14ac:dyDescent="0.25">
      <c r="A103" t="str">
        <f t="shared" si="3"/>
        <v>23.90%</v>
      </c>
      <c r="B103">
        <f t="shared" si="4"/>
        <v>0.2390000000000001</v>
      </c>
      <c r="C103">
        <v>964.99702726124247</v>
      </c>
    </row>
    <row r="104" spans="1:3" x14ac:dyDescent="0.25">
      <c r="A104" t="str">
        <f t="shared" si="3"/>
        <v>24.00%</v>
      </c>
      <c r="B104">
        <f t="shared" si="4"/>
        <v>0.2400000000000001</v>
      </c>
      <c r="C104">
        <v>964.65660865151938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2" r:id="rId3" name="Button 2">
              <controlPr defaultSize="0" print="0" autoFill="0" autoPict="0" macro="[0]!Sheet8.black_scholes_sensitivity_in_sigma_S_3">
                <anchor moveWithCells="1" sizeWithCells="1">
                  <from>
                    <xdr:col>4</xdr:col>
                    <xdr:colOff>190500</xdr:colOff>
                    <xdr:row>4</xdr:row>
                    <xdr:rowOff>152400</xdr:rowOff>
                  </from>
                  <to>
                    <xdr:col>5</xdr:col>
                    <xdr:colOff>323850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K104"/>
  <sheetViews>
    <sheetView tabSelected="1" workbookViewId="0">
      <selection activeCell="C4" sqref="C4"/>
    </sheetView>
  </sheetViews>
  <sheetFormatPr defaultRowHeight="15" x14ac:dyDescent="0.25"/>
  <cols>
    <col min="2" max="2" width="15.7109375" bestFit="1" customWidth="1"/>
    <col min="3" max="3" width="15.140625" bestFit="1" customWidth="1"/>
  </cols>
  <sheetData>
    <row r="1" spans="1:11" x14ac:dyDescent="0.25">
      <c r="B1" t="s">
        <v>38</v>
      </c>
      <c r="C1">
        <f>'Parameter Page'!B5</f>
        <v>-1.9499999999999999E-3</v>
      </c>
      <c r="D1">
        <f>C1*100</f>
        <v>-0.19499999999999998</v>
      </c>
      <c r="E1">
        <f>C1-0.05</f>
        <v>-5.1950000000000003E-2</v>
      </c>
      <c r="F1">
        <f>C1+0.05</f>
        <v>4.8050000000000002E-2</v>
      </c>
    </row>
    <row r="2" spans="1:11" x14ac:dyDescent="0.25">
      <c r="C2" t="s">
        <v>36</v>
      </c>
      <c r="D2">
        <f>COUNT(B4:B204)</f>
        <v>101</v>
      </c>
      <c r="J2" t="s">
        <v>46</v>
      </c>
    </row>
    <row r="3" spans="1:11" x14ac:dyDescent="0.25">
      <c r="B3" t="s">
        <v>45</v>
      </c>
      <c r="C3" t="s">
        <v>35</v>
      </c>
      <c r="I3" t="s">
        <v>45</v>
      </c>
      <c r="J3" t="s">
        <v>35</v>
      </c>
      <c r="K3" t="s">
        <v>47</v>
      </c>
    </row>
    <row r="4" spans="1:11" x14ac:dyDescent="0.25">
      <c r="A4" t="str">
        <f>TEXT(B4,"0.0000%")</f>
        <v>-5.1950%</v>
      </c>
      <c r="B4">
        <f>E1</f>
        <v>-5.1950000000000003E-2</v>
      </c>
      <c r="C4">
        <v>976.47955435445385</v>
      </c>
      <c r="I4" s="6" t="s">
        <v>71</v>
      </c>
      <c r="J4">
        <f>VLOOKUP(I4,$A$4:$C$104,3,0)</f>
        <v>976.47955435445385</v>
      </c>
      <c r="K4" t="s">
        <v>48</v>
      </c>
    </row>
    <row r="5" spans="1:11" x14ac:dyDescent="0.25">
      <c r="A5" t="str">
        <f t="shared" ref="A5:A68" si="0">TEXT(B5,"0.0000%")</f>
        <v>-5.0950%</v>
      </c>
      <c r="B5">
        <f>B4+0.001</f>
        <v>-5.0950000000000002E-2</v>
      </c>
      <c r="C5">
        <v>976.47955435445385</v>
      </c>
      <c r="I5" s="6" t="s">
        <v>69</v>
      </c>
      <c r="J5">
        <f t="shared" ref="J5:J6" si="1">VLOOKUP(I5,$A$4:$C$104,3,0)</f>
        <v>976.47955435445385</v>
      </c>
      <c r="K5" s="7">
        <f>(J5-J4)/J4</f>
        <v>0</v>
      </c>
    </row>
    <row r="6" spans="1:11" x14ac:dyDescent="0.25">
      <c r="A6" t="str">
        <f t="shared" si="0"/>
        <v>-4.9950%</v>
      </c>
      <c r="B6">
        <f t="shared" ref="B6:B69" si="2">B5+0.001</f>
        <v>-4.9950000000000001E-2</v>
      </c>
      <c r="C6">
        <v>976.47955435445351</v>
      </c>
      <c r="I6" s="6" t="s">
        <v>70</v>
      </c>
      <c r="J6">
        <f t="shared" si="1"/>
        <v>976.47955435445351</v>
      </c>
      <c r="K6" s="7">
        <f>(J6-J5)/J5</f>
        <v>-3.492756316749731E-16</v>
      </c>
    </row>
    <row r="7" spans="1:11" x14ac:dyDescent="0.25">
      <c r="A7" t="str">
        <f t="shared" si="0"/>
        <v>-4.8950%</v>
      </c>
      <c r="B7">
        <f t="shared" si="2"/>
        <v>-4.895E-2</v>
      </c>
      <c r="C7">
        <v>976.47955435445385</v>
      </c>
    </row>
    <row r="8" spans="1:11" x14ac:dyDescent="0.25">
      <c r="A8" t="str">
        <f t="shared" si="0"/>
        <v>-4.7950%</v>
      </c>
      <c r="B8">
        <f t="shared" si="2"/>
        <v>-4.795E-2</v>
      </c>
      <c r="C8">
        <v>976.47955435445385</v>
      </c>
    </row>
    <row r="9" spans="1:11" x14ac:dyDescent="0.25">
      <c r="A9" t="str">
        <f t="shared" si="0"/>
        <v>-4.6950%</v>
      </c>
      <c r="B9">
        <f t="shared" si="2"/>
        <v>-4.6949999999999999E-2</v>
      </c>
      <c r="C9">
        <v>976.47955435445419</v>
      </c>
    </row>
    <row r="10" spans="1:11" x14ac:dyDescent="0.25">
      <c r="A10" t="str">
        <f t="shared" si="0"/>
        <v>-4.5950%</v>
      </c>
      <c r="B10">
        <f t="shared" si="2"/>
        <v>-4.5949999999999998E-2</v>
      </c>
      <c r="C10">
        <v>976.47955435445385</v>
      </c>
    </row>
    <row r="11" spans="1:11" x14ac:dyDescent="0.25">
      <c r="A11" t="str">
        <f t="shared" si="0"/>
        <v>-4.4950%</v>
      </c>
      <c r="B11">
        <f t="shared" si="2"/>
        <v>-4.4949999999999997E-2</v>
      </c>
      <c r="C11">
        <v>976.47955435445351</v>
      </c>
    </row>
    <row r="12" spans="1:11" x14ac:dyDescent="0.25">
      <c r="A12" t="str">
        <f t="shared" si="0"/>
        <v>-4.3950%</v>
      </c>
      <c r="B12">
        <f t="shared" si="2"/>
        <v>-4.3949999999999996E-2</v>
      </c>
      <c r="C12">
        <v>976.47955435445385</v>
      </c>
    </row>
    <row r="13" spans="1:11" x14ac:dyDescent="0.25">
      <c r="A13" t="str">
        <f t="shared" si="0"/>
        <v>-4.2950%</v>
      </c>
      <c r="B13">
        <f t="shared" si="2"/>
        <v>-4.2949999999999995E-2</v>
      </c>
      <c r="C13">
        <v>976.47955435445351</v>
      </c>
    </row>
    <row r="14" spans="1:11" x14ac:dyDescent="0.25">
      <c r="A14" t="str">
        <f t="shared" si="0"/>
        <v>-4.1950%</v>
      </c>
      <c r="B14">
        <f t="shared" si="2"/>
        <v>-4.1949999999999994E-2</v>
      </c>
      <c r="C14">
        <v>976.47955435445385</v>
      </c>
    </row>
    <row r="15" spans="1:11" x14ac:dyDescent="0.25">
      <c r="A15" t="str">
        <f t="shared" si="0"/>
        <v>-4.0950%</v>
      </c>
      <c r="B15">
        <f t="shared" si="2"/>
        <v>-4.0949999999999993E-2</v>
      </c>
      <c r="C15">
        <v>976.47955435445385</v>
      </c>
    </row>
    <row r="16" spans="1:11" x14ac:dyDescent="0.25">
      <c r="A16" t="str">
        <f t="shared" si="0"/>
        <v>-3.9950%</v>
      </c>
      <c r="B16">
        <f t="shared" si="2"/>
        <v>-3.9949999999999992E-2</v>
      </c>
      <c r="C16">
        <v>976.47955435445351</v>
      </c>
    </row>
    <row r="17" spans="1:3" x14ac:dyDescent="0.25">
      <c r="A17" t="str">
        <f t="shared" si="0"/>
        <v>-3.8950%</v>
      </c>
      <c r="B17">
        <f t="shared" si="2"/>
        <v>-3.8949999999999992E-2</v>
      </c>
      <c r="C17">
        <v>976.47955435445385</v>
      </c>
    </row>
    <row r="18" spans="1:3" x14ac:dyDescent="0.25">
      <c r="A18" t="str">
        <f t="shared" si="0"/>
        <v>-3.7950%</v>
      </c>
      <c r="B18">
        <f t="shared" si="2"/>
        <v>-3.7949999999999991E-2</v>
      </c>
      <c r="C18">
        <v>976.47955435445351</v>
      </c>
    </row>
    <row r="19" spans="1:3" x14ac:dyDescent="0.25">
      <c r="A19" t="str">
        <f t="shared" si="0"/>
        <v>-3.6950%</v>
      </c>
      <c r="B19">
        <f t="shared" si="2"/>
        <v>-3.694999999999999E-2</v>
      </c>
      <c r="C19">
        <v>976.47955435445385</v>
      </c>
    </row>
    <row r="20" spans="1:3" x14ac:dyDescent="0.25">
      <c r="A20" t="str">
        <f t="shared" si="0"/>
        <v>-3.5950%</v>
      </c>
      <c r="B20">
        <f t="shared" si="2"/>
        <v>-3.5949999999999989E-2</v>
      </c>
      <c r="C20">
        <v>976.47955435445351</v>
      </c>
    </row>
    <row r="21" spans="1:3" x14ac:dyDescent="0.25">
      <c r="A21" t="str">
        <f t="shared" si="0"/>
        <v>-3.4950%</v>
      </c>
      <c r="B21">
        <f t="shared" si="2"/>
        <v>-3.4949999999999988E-2</v>
      </c>
      <c r="C21">
        <v>976.47955435445385</v>
      </c>
    </row>
    <row r="22" spans="1:3" x14ac:dyDescent="0.25">
      <c r="A22" t="str">
        <f t="shared" si="0"/>
        <v>-3.3950%</v>
      </c>
      <c r="B22">
        <f t="shared" si="2"/>
        <v>-3.3949999999999987E-2</v>
      </c>
      <c r="C22">
        <v>976.47955435445385</v>
      </c>
    </row>
    <row r="23" spans="1:3" x14ac:dyDescent="0.25">
      <c r="A23" t="str">
        <f t="shared" si="0"/>
        <v>-3.2950%</v>
      </c>
      <c r="B23">
        <f t="shared" si="2"/>
        <v>-3.2949999999999986E-2</v>
      </c>
      <c r="C23">
        <v>976.47955435445385</v>
      </c>
    </row>
    <row r="24" spans="1:3" x14ac:dyDescent="0.25">
      <c r="A24" t="str">
        <f t="shared" si="0"/>
        <v>-3.1950%</v>
      </c>
      <c r="B24">
        <f t="shared" si="2"/>
        <v>-3.1949999999999985E-2</v>
      </c>
      <c r="C24">
        <v>976.47955435445351</v>
      </c>
    </row>
    <row r="25" spans="1:3" x14ac:dyDescent="0.25">
      <c r="A25" t="str">
        <f t="shared" si="0"/>
        <v>-3.0950%</v>
      </c>
      <c r="B25">
        <f t="shared" si="2"/>
        <v>-3.0949999999999984E-2</v>
      </c>
      <c r="C25">
        <v>976.47955435445351</v>
      </c>
    </row>
    <row r="26" spans="1:3" x14ac:dyDescent="0.25">
      <c r="A26" t="str">
        <f t="shared" si="0"/>
        <v>-2.9950%</v>
      </c>
      <c r="B26">
        <f t="shared" si="2"/>
        <v>-2.9949999999999984E-2</v>
      </c>
      <c r="C26">
        <v>976.47955435445351</v>
      </c>
    </row>
    <row r="27" spans="1:3" x14ac:dyDescent="0.25">
      <c r="A27" t="str">
        <f t="shared" si="0"/>
        <v>-2.8950%</v>
      </c>
      <c r="B27">
        <f t="shared" si="2"/>
        <v>-2.8949999999999983E-2</v>
      </c>
      <c r="C27">
        <v>976.47955435445351</v>
      </c>
    </row>
    <row r="28" spans="1:3" x14ac:dyDescent="0.25">
      <c r="A28" t="str">
        <f t="shared" si="0"/>
        <v>-2.7950%</v>
      </c>
      <c r="B28">
        <f t="shared" si="2"/>
        <v>-2.7949999999999982E-2</v>
      </c>
      <c r="C28">
        <v>976.47955435445351</v>
      </c>
    </row>
    <row r="29" spans="1:3" x14ac:dyDescent="0.25">
      <c r="A29" t="str">
        <f t="shared" si="0"/>
        <v>-2.6950%</v>
      </c>
      <c r="B29">
        <f t="shared" si="2"/>
        <v>-2.6949999999999981E-2</v>
      </c>
      <c r="C29">
        <v>976.47955435445306</v>
      </c>
    </row>
    <row r="30" spans="1:3" x14ac:dyDescent="0.25">
      <c r="A30" t="str">
        <f t="shared" si="0"/>
        <v>-2.5950%</v>
      </c>
      <c r="B30">
        <f t="shared" si="2"/>
        <v>-2.594999999999998E-2</v>
      </c>
      <c r="C30">
        <v>976.47955435445385</v>
      </c>
    </row>
    <row r="31" spans="1:3" x14ac:dyDescent="0.25">
      <c r="A31" t="str">
        <f t="shared" si="0"/>
        <v>-2.4950%</v>
      </c>
      <c r="B31">
        <f t="shared" si="2"/>
        <v>-2.4949999999999979E-2</v>
      </c>
      <c r="C31">
        <v>976.47955435445351</v>
      </c>
    </row>
    <row r="32" spans="1:3" x14ac:dyDescent="0.25">
      <c r="A32" t="str">
        <f t="shared" si="0"/>
        <v>-2.3950%</v>
      </c>
      <c r="B32">
        <f t="shared" si="2"/>
        <v>-2.3949999999999978E-2</v>
      </c>
      <c r="C32">
        <v>976.47955435445351</v>
      </c>
    </row>
    <row r="33" spans="1:3" x14ac:dyDescent="0.25">
      <c r="A33" t="str">
        <f t="shared" si="0"/>
        <v>-2.2950%</v>
      </c>
      <c r="B33">
        <f t="shared" si="2"/>
        <v>-2.2949999999999977E-2</v>
      </c>
      <c r="C33">
        <v>976.47955435445351</v>
      </c>
    </row>
    <row r="34" spans="1:3" x14ac:dyDescent="0.25">
      <c r="A34" t="str">
        <f t="shared" si="0"/>
        <v>-2.1950%</v>
      </c>
      <c r="B34">
        <f t="shared" si="2"/>
        <v>-2.1949999999999976E-2</v>
      </c>
      <c r="C34">
        <v>976.47955435445385</v>
      </c>
    </row>
    <row r="35" spans="1:3" x14ac:dyDescent="0.25">
      <c r="A35" t="str">
        <f t="shared" si="0"/>
        <v>-2.0950%</v>
      </c>
      <c r="B35">
        <f t="shared" si="2"/>
        <v>-2.0949999999999976E-2</v>
      </c>
      <c r="C35">
        <v>976.47955435445385</v>
      </c>
    </row>
    <row r="36" spans="1:3" x14ac:dyDescent="0.25">
      <c r="A36" t="str">
        <f t="shared" si="0"/>
        <v>-1.9950%</v>
      </c>
      <c r="B36">
        <f t="shared" si="2"/>
        <v>-1.9949999999999975E-2</v>
      </c>
      <c r="C36">
        <v>976.47955435445351</v>
      </c>
    </row>
    <row r="37" spans="1:3" x14ac:dyDescent="0.25">
      <c r="A37" t="str">
        <f t="shared" si="0"/>
        <v>-1.8950%</v>
      </c>
      <c r="B37">
        <f t="shared" si="2"/>
        <v>-1.8949999999999974E-2</v>
      </c>
      <c r="C37">
        <v>976.47955435445385</v>
      </c>
    </row>
    <row r="38" spans="1:3" x14ac:dyDescent="0.25">
      <c r="A38" t="str">
        <f t="shared" si="0"/>
        <v>-1.7950%</v>
      </c>
      <c r="B38">
        <f t="shared" si="2"/>
        <v>-1.7949999999999973E-2</v>
      </c>
      <c r="C38">
        <v>976.47955435445306</v>
      </c>
    </row>
    <row r="39" spans="1:3" x14ac:dyDescent="0.25">
      <c r="A39" t="str">
        <f t="shared" si="0"/>
        <v>-1.6950%</v>
      </c>
      <c r="B39">
        <f t="shared" si="2"/>
        <v>-1.6949999999999972E-2</v>
      </c>
      <c r="C39">
        <v>976.47955435445351</v>
      </c>
    </row>
    <row r="40" spans="1:3" x14ac:dyDescent="0.25">
      <c r="A40" t="str">
        <f t="shared" si="0"/>
        <v>-1.5950%</v>
      </c>
      <c r="B40">
        <f t="shared" si="2"/>
        <v>-1.5949999999999971E-2</v>
      </c>
      <c r="C40">
        <v>976.47955435445351</v>
      </c>
    </row>
    <row r="41" spans="1:3" x14ac:dyDescent="0.25">
      <c r="A41" t="str">
        <f t="shared" si="0"/>
        <v>-1.4950%</v>
      </c>
      <c r="B41">
        <f t="shared" si="2"/>
        <v>-1.494999999999997E-2</v>
      </c>
      <c r="C41">
        <v>976.47955435445351</v>
      </c>
    </row>
    <row r="42" spans="1:3" x14ac:dyDescent="0.25">
      <c r="A42" t="str">
        <f t="shared" si="0"/>
        <v>-1.3950%</v>
      </c>
      <c r="B42">
        <f t="shared" si="2"/>
        <v>-1.3949999999999969E-2</v>
      </c>
      <c r="C42">
        <v>976.47955435445385</v>
      </c>
    </row>
    <row r="43" spans="1:3" x14ac:dyDescent="0.25">
      <c r="A43" t="str">
        <f t="shared" si="0"/>
        <v>-1.2950%</v>
      </c>
      <c r="B43">
        <f t="shared" si="2"/>
        <v>-1.2949999999999968E-2</v>
      </c>
      <c r="C43">
        <v>976.47955435445351</v>
      </c>
    </row>
    <row r="44" spans="1:3" x14ac:dyDescent="0.25">
      <c r="A44" t="str">
        <f t="shared" si="0"/>
        <v>-1.1950%</v>
      </c>
      <c r="B44">
        <f t="shared" si="2"/>
        <v>-1.1949999999999968E-2</v>
      </c>
      <c r="C44">
        <v>976.47955435445385</v>
      </c>
    </row>
    <row r="45" spans="1:3" x14ac:dyDescent="0.25">
      <c r="A45" t="str">
        <f t="shared" si="0"/>
        <v>-1.0950%</v>
      </c>
      <c r="B45">
        <f t="shared" si="2"/>
        <v>-1.0949999999999967E-2</v>
      </c>
      <c r="C45">
        <v>976.47955435445306</v>
      </c>
    </row>
    <row r="46" spans="1:3" x14ac:dyDescent="0.25">
      <c r="A46" t="str">
        <f t="shared" si="0"/>
        <v>-0.9950%</v>
      </c>
      <c r="B46">
        <f t="shared" si="2"/>
        <v>-9.9499999999999658E-3</v>
      </c>
      <c r="C46">
        <v>976.47955435445351</v>
      </c>
    </row>
    <row r="47" spans="1:3" x14ac:dyDescent="0.25">
      <c r="A47" t="str">
        <f t="shared" si="0"/>
        <v>-0.8950%</v>
      </c>
      <c r="B47">
        <f t="shared" si="2"/>
        <v>-8.9499999999999649E-3</v>
      </c>
      <c r="C47">
        <v>976.47955435445351</v>
      </c>
    </row>
    <row r="48" spans="1:3" x14ac:dyDescent="0.25">
      <c r="A48" t="str">
        <f t="shared" si="0"/>
        <v>-0.7950%</v>
      </c>
      <c r="B48">
        <f t="shared" si="2"/>
        <v>-7.949999999999964E-3</v>
      </c>
      <c r="C48">
        <v>976.47955435445385</v>
      </c>
    </row>
    <row r="49" spans="1:3" x14ac:dyDescent="0.25">
      <c r="A49" t="str">
        <f t="shared" si="0"/>
        <v>-0.6950%</v>
      </c>
      <c r="B49">
        <f t="shared" si="2"/>
        <v>-6.949999999999964E-3</v>
      </c>
      <c r="C49">
        <v>976.47955435445419</v>
      </c>
    </row>
    <row r="50" spans="1:3" x14ac:dyDescent="0.25">
      <c r="A50" t="str">
        <f t="shared" si="0"/>
        <v>-0.5950%</v>
      </c>
      <c r="B50">
        <f t="shared" si="2"/>
        <v>-5.949999999999964E-3</v>
      </c>
      <c r="C50">
        <v>976.47955435445385</v>
      </c>
    </row>
    <row r="51" spans="1:3" x14ac:dyDescent="0.25">
      <c r="A51" t="str">
        <f t="shared" si="0"/>
        <v>-0.4950%</v>
      </c>
      <c r="B51">
        <f t="shared" si="2"/>
        <v>-4.949999999999964E-3</v>
      </c>
      <c r="C51">
        <v>976.47955435445351</v>
      </c>
    </row>
    <row r="52" spans="1:3" x14ac:dyDescent="0.25">
      <c r="A52" t="str">
        <f t="shared" si="0"/>
        <v>-0.3950%</v>
      </c>
      <c r="B52">
        <f t="shared" si="2"/>
        <v>-3.949999999999964E-3</v>
      </c>
      <c r="C52">
        <v>976.47955435445351</v>
      </c>
    </row>
    <row r="53" spans="1:3" x14ac:dyDescent="0.25">
      <c r="A53" t="str">
        <f t="shared" si="0"/>
        <v>-0.2950%</v>
      </c>
      <c r="B53">
        <f t="shared" si="2"/>
        <v>-2.9499999999999639E-3</v>
      </c>
      <c r="C53">
        <v>976.47955435445385</v>
      </c>
    </row>
    <row r="54" spans="1:3" x14ac:dyDescent="0.25">
      <c r="A54" t="str">
        <f t="shared" si="0"/>
        <v>-0.1950%</v>
      </c>
      <c r="B54">
        <f t="shared" si="2"/>
        <v>-1.9499999999999639E-3</v>
      </c>
      <c r="C54">
        <v>976.47955435445385</v>
      </c>
    </row>
    <row r="55" spans="1:3" x14ac:dyDescent="0.25">
      <c r="A55" t="str">
        <f t="shared" si="0"/>
        <v>-0.0950%</v>
      </c>
      <c r="B55">
        <f t="shared" si="2"/>
        <v>-9.4999999999996389E-4</v>
      </c>
      <c r="C55">
        <v>976.47955435445351</v>
      </c>
    </row>
    <row r="56" spans="1:3" x14ac:dyDescent="0.25">
      <c r="A56" t="str">
        <f t="shared" si="0"/>
        <v>0.0050%</v>
      </c>
      <c r="B56">
        <f t="shared" si="2"/>
        <v>5.0000000000036127E-5</v>
      </c>
      <c r="C56">
        <v>976.47955435445306</v>
      </c>
    </row>
    <row r="57" spans="1:3" x14ac:dyDescent="0.25">
      <c r="A57" t="str">
        <f t="shared" si="0"/>
        <v>0.1050%</v>
      </c>
      <c r="B57">
        <f t="shared" si="2"/>
        <v>1.0500000000000361E-3</v>
      </c>
      <c r="C57">
        <v>976.47955435445351</v>
      </c>
    </row>
    <row r="58" spans="1:3" x14ac:dyDescent="0.25">
      <c r="A58" t="str">
        <f t="shared" si="0"/>
        <v>0.2050%</v>
      </c>
      <c r="B58">
        <f t="shared" si="2"/>
        <v>2.0500000000000362E-3</v>
      </c>
      <c r="C58">
        <v>976.47955435445351</v>
      </c>
    </row>
    <row r="59" spans="1:3" x14ac:dyDescent="0.25">
      <c r="A59" t="str">
        <f t="shared" si="0"/>
        <v>0.3050%</v>
      </c>
      <c r="B59">
        <f t="shared" si="2"/>
        <v>3.0500000000000362E-3</v>
      </c>
      <c r="C59">
        <v>976.47955435445385</v>
      </c>
    </row>
    <row r="60" spans="1:3" x14ac:dyDescent="0.25">
      <c r="A60" t="str">
        <f t="shared" si="0"/>
        <v>0.4050%</v>
      </c>
      <c r="B60">
        <f t="shared" si="2"/>
        <v>4.0500000000000362E-3</v>
      </c>
      <c r="C60">
        <v>976.47955435445351</v>
      </c>
    </row>
    <row r="61" spans="1:3" x14ac:dyDescent="0.25">
      <c r="A61" t="str">
        <f t="shared" si="0"/>
        <v>0.5050%</v>
      </c>
      <c r="B61">
        <f t="shared" si="2"/>
        <v>5.0500000000000362E-3</v>
      </c>
      <c r="C61">
        <v>976.47955435445385</v>
      </c>
    </row>
    <row r="62" spans="1:3" x14ac:dyDescent="0.25">
      <c r="A62" t="str">
        <f t="shared" si="0"/>
        <v>0.6050%</v>
      </c>
      <c r="B62">
        <f t="shared" si="2"/>
        <v>6.0500000000000363E-3</v>
      </c>
      <c r="C62">
        <v>976.47955435445306</v>
      </c>
    </row>
    <row r="63" spans="1:3" x14ac:dyDescent="0.25">
      <c r="A63" t="str">
        <f t="shared" si="0"/>
        <v>0.7050%</v>
      </c>
      <c r="B63">
        <f t="shared" si="2"/>
        <v>7.0500000000000363E-3</v>
      </c>
      <c r="C63">
        <v>976.47955435445385</v>
      </c>
    </row>
    <row r="64" spans="1:3" x14ac:dyDescent="0.25">
      <c r="A64" t="str">
        <f t="shared" si="0"/>
        <v>0.8050%</v>
      </c>
      <c r="B64">
        <f t="shared" si="2"/>
        <v>8.0500000000000363E-3</v>
      </c>
      <c r="C64">
        <v>976.47955435445351</v>
      </c>
    </row>
    <row r="65" spans="1:3" x14ac:dyDescent="0.25">
      <c r="A65" t="str">
        <f t="shared" si="0"/>
        <v>0.9050%</v>
      </c>
      <c r="B65">
        <f t="shared" si="2"/>
        <v>9.0500000000000372E-3</v>
      </c>
      <c r="C65">
        <v>976.47955435445351</v>
      </c>
    </row>
    <row r="66" spans="1:3" x14ac:dyDescent="0.25">
      <c r="A66" t="str">
        <f t="shared" si="0"/>
        <v>1.0050%</v>
      </c>
      <c r="B66">
        <f t="shared" si="2"/>
        <v>1.0050000000000038E-2</v>
      </c>
      <c r="C66">
        <v>976.47955435445306</v>
      </c>
    </row>
    <row r="67" spans="1:3" x14ac:dyDescent="0.25">
      <c r="A67" t="str">
        <f t="shared" si="0"/>
        <v>1.1050%</v>
      </c>
      <c r="B67">
        <f t="shared" si="2"/>
        <v>1.1050000000000039E-2</v>
      </c>
      <c r="C67">
        <v>976.47955435445385</v>
      </c>
    </row>
    <row r="68" spans="1:3" x14ac:dyDescent="0.25">
      <c r="A68" t="str">
        <f t="shared" si="0"/>
        <v>1.2050%</v>
      </c>
      <c r="B68">
        <f t="shared" si="2"/>
        <v>1.205000000000004E-2</v>
      </c>
      <c r="C68">
        <v>976.47955435445385</v>
      </c>
    </row>
    <row r="69" spans="1:3" x14ac:dyDescent="0.25">
      <c r="A69" t="str">
        <f t="shared" ref="A69:A104" si="3">TEXT(B69,"0.0000%")</f>
        <v>1.3050%</v>
      </c>
      <c r="B69">
        <f t="shared" si="2"/>
        <v>1.3050000000000041E-2</v>
      </c>
      <c r="C69">
        <v>976.47955435445351</v>
      </c>
    </row>
    <row r="70" spans="1:3" x14ac:dyDescent="0.25">
      <c r="A70" t="str">
        <f t="shared" si="3"/>
        <v>1.4050%</v>
      </c>
      <c r="B70">
        <f t="shared" ref="B70:B104" si="4">B69+0.001</f>
        <v>1.4050000000000042E-2</v>
      </c>
      <c r="C70">
        <v>976.47955435445385</v>
      </c>
    </row>
    <row r="71" spans="1:3" x14ac:dyDescent="0.25">
      <c r="A71" t="str">
        <f t="shared" si="3"/>
        <v>1.5050%</v>
      </c>
      <c r="B71">
        <f t="shared" si="4"/>
        <v>1.5050000000000043E-2</v>
      </c>
      <c r="C71">
        <v>976.47955435445419</v>
      </c>
    </row>
    <row r="72" spans="1:3" x14ac:dyDescent="0.25">
      <c r="A72" t="str">
        <f t="shared" si="3"/>
        <v>1.6050%</v>
      </c>
      <c r="B72">
        <f t="shared" si="4"/>
        <v>1.6050000000000043E-2</v>
      </c>
      <c r="C72">
        <v>976.47955435445351</v>
      </c>
    </row>
    <row r="73" spans="1:3" x14ac:dyDescent="0.25">
      <c r="A73" t="str">
        <f t="shared" si="3"/>
        <v>1.7050%</v>
      </c>
      <c r="B73">
        <f t="shared" si="4"/>
        <v>1.7050000000000044E-2</v>
      </c>
      <c r="C73">
        <v>976.47955435445385</v>
      </c>
    </row>
    <row r="74" spans="1:3" x14ac:dyDescent="0.25">
      <c r="A74" t="str">
        <f t="shared" si="3"/>
        <v>1.8050%</v>
      </c>
      <c r="B74">
        <f t="shared" si="4"/>
        <v>1.8050000000000045E-2</v>
      </c>
      <c r="C74">
        <v>976.47955435445385</v>
      </c>
    </row>
    <row r="75" spans="1:3" x14ac:dyDescent="0.25">
      <c r="A75" t="str">
        <f t="shared" si="3"/>
        <v>1.9050%</v>
      </c>
      <c r="B75">
        <f t="shared" si="4"/>
        <v>1.9050000000000046E-2</v>
      </c>
      <c r="C75">
        <v>976.47955435445351</v>
      </c>
    </row>
    <row r="76" spans="1:3" x14ac:dyDescent="0.25">
      <c r="A76" t="str">
        <f t="shared" si="3"/>
        <v>2.0050%</v>
      </c>
      <c r="B76">
        <f t="shared" si="4"/>
        <v>2.0050000000000047E-2</v>
      </c>
      <c r="C76">
        <v>976.47955435445351</v>
      </c>
    </row>
    <row r="77" spans="1:3" x14ac:dyDescent="0.25">
      <c r="A77" t="str">
        <f t="shared" si="3"/>
        <v>2.1050%</v>
      </c>
      <c r="B77">
        <f t="shared" si="4"/>
        <v>2.1050000000000048E-2</v>
      </c>
      <c r="C77">
        <v>976.47955435445351</v>
      </c>
    </row>
    <row r="78" spans="1:3" x14ac:dyDescent="0.25">
      <c r="A78" t="str">
        <f t="shared" si="3"/>
        <v>2.2050%</v>
      </c>
      <c r="B78">
        <f t="shared" si="4"/>
        <v>2.2050000000000049E-2</v>
      </c>
      <c r="C78">
        <v>976.47955435445351</v>
      </c>
    </row>
    <row r="79" spans="1:3" x14ac:dyDescent="0.25">
      <c r="A79" t="str">
        <f t="shared" si="3"/>
        <v>2.3050%</v>
      </c>
      <c r="B79">
        <f t="shared" si="4"/>
        <v>2.305000000000005E-2</v>
      </c>
      <c r="C79">
        <v>976.47955435445351</v>
      </c>
    </row>
    <row r="80" spans="1:3" x14ac:dyDescent="0.25">
      <c r="A80" t="str">
        <f t="shared" si="3"/>
        <v>2.4050%</v>
      </c>
      <c r="B80">
        <f t="shared" si="4"/>
        <v>2.4050000000000051E-2</v>
      </c>
      <c r="C80">
        <v>976.47955435445385</v>
      </c>
    </row>
    <row r="81" spans="1:3" x14ac:dyDescent="0.25">
      <c r="A81" t="str">
        <f t="shared" si="3"/>
        <v>2.5050%</v>
      </c>
      <c r="B81">
        <f t="shared" si="4"/>
        <v>2.5050000000000051E-2</v>
      </c>
      <c r="C81">
        <v>976.47955435445385</v>
      </c>
    </row>
    <row r="82" spans="1:3" x14ac:dyDescent="0.25">
      <c r="A82" t="str">
        <f t="shared" si="3"/>
        <v>2.6050%</v>
      </c>
      <c r="B82">
        <f t="shared" si="4"/>
        <v>2.6050000000000052E-2</v>
      </c>
      <c r="C82">
        <v>976.47955435445351</v>
      </c>
    </row>
    <row r="83" spans="1:3" x14ac:dyDescent="0.25">
      <c r="A83" t="str">
        <f t="shared" si="3"/>
        <v>2.7050%</v>
      </c>
      <c r="B83">
        <f t="shared" si="4"/>
        <v>2.7050000000000053E-2</v>
      </c>
      <c r="C83">
        <v>976.47955435445385</v>
      </c>
    </row>
    <row r="84" spans="1:3" x14ac:dyDescent="0.25">
      <c r="A84" t="str">
        <f t="shared" si="3"/>
        <v>2.8050%</v>
      </c>
      <c r="B84">
        <f t="shared" si="4"/>
        <v>2.8050000000000054E-2</v>
      </c>
      <c r="C84">
        <v>976.47955435445351</v>
      </c>
    </row>
    <row r="85" spans="1:3" x14ac:dyDescent="0.25">
      <c r="A85" t="str">
        <f t="shared" si="3"/>
        <v>2.9050%</v>
      </c>
      <c r="B85">
        <f t="shared" si="4"/>
        <v>2.9050000000000055E-2</v>
      </c>
      <c r="C85">
        <v>976.47955435445351</v>
      </c>
    </row>
    <row r="86" spans="1:3" x14ac:dyDescent="0.25">
      <c r="A86" t="str">
        <f t="shared" si="3"/>
        <v>3.0050%</v>
      </c>
      <c r="B86">
        <f t="shared" si="4"/>
        <v>3.0050000000000056E-2</v>
      </c>
      <c r="C86">
        <v>976.47955435445351</v>
      </c>
    </row>
    <row r="87" spans="1:3" x14ac:dyDescent="0.25">
      <c r="A87" t="str">
        <f t="shared" si="3"/>
        <v>3.1050%</v>
      </c>
      <c r="B87">
        <f t="shared" si="4"/>
        <v>3.1050000000000057E-2</v>
      </c>
      <c r="C87">
        <v>976.47955435445385</v>
      </c>
    </row>
    <row r="88" spans="1:3" x14ac:dyDescent="0.25">
      <c r="A88" t="str">
        <f t="shared" si="3"/>
        <v>3.2050%</v>
      </c>
      <c r="B88">
        <f t="shared" si="4"/>
        <v>3.2050000000000058E-2</v>
      </c>
      <c r="C88">
        <v>976.47955435445385</v>
      </c>
    </row>
    <row r="89" spans="1:3" x14ac:dyDescent="0.25">
      <c r="A89" t="str">
        <f t="shared" si="3"/>
        <v>3.3050%</v>
      </c>
      <c r="B89">
        <f t="shared" si="4"/>
        <v>3.3050000000000058E-2</v>
      </c>
      <c r="C89">
        <v>976.47955435445351</v>
      </c>
    </row>
    <row r="90" spans="1:3" x14ac:dyDescent="0.25">
      <c r="A90" t="str">
        <f t="shared" si="3"/>
        <v>3.4050%</v>
      </c>
      <c r="B90">
        <f t="shared" si="4"/>
        <v>3.4050000000000059E-2</v>
      </c>
      <c r="C90">
        <v>976.47955435445306</v>
      </c>
    </row>
    <row r="91" spans="1:3" x14ac:dyDescent="0.25">
      <c r="A91" t="str">
        <f t="shared" si="3"/>
        <v>3.5050%</v>
      </c>
      <c r="B91">
        <f t="shared" si="4"/>
        <v>3.505000000000006E-2</v>
      </c>
      <c r="C91">
        <v>976.47955435445385</v>
      </c>
    </row>
    <row r="92" spans="1:3" x14ac:dyDescent="0.25">
      <c r="A92" t="str">
        <f t="shared" si="3"/>
        <v>3.6050%</v>
      </c>
      <c r="B92">
        <f t="shared" si="4"/>
        <v>3.6050000000000061E-2</v>
      </c>
      <c r="C92">
        <v>976.47955435445385</v>
      </c>
    </row>
    <row r="93" spans="1:3" x14ac:dyDescent="0.25">
      <c r="A93" t="str">
        <f t="shared" si="3"/>
        <v>3.7050%</v>
      </c>
      <c r="B93">
        <f t="shared" si="4"/>
        <v>3.7050000000000062E-2</v>
      </c>
      <c r="C93">
        <v>976.47955435445351</v>
      </c>
    </row>
    <row r="94" spans="1:3" x14ac:dyDescent="0.25">
      <c r="A94" t="str">
        <f t="shared" si="3"/>
        <v>3.8050%</v>
      </c>
      <c r="B94">
        <f t="shared" si="4"/>
        <v>3.8050000000000063E-2</v>
      </c>
      <c r="C94">
        <v>976.47955435445306</v>
      </c>
    </row>
    <row r="95" spans="1:3" x14ac:dyDescent="0.25">
      <c r="A95" t="str">
        <f t="shared" si="3"/>
        <v>3.9050%</v>
      </c>
      <c r="B95">
        <f t="shared" si="4"/>
        <v>3.9050000000000064E-2</v>
      </c>
      <c r="C95">
        <v>976.47955435445385</v>
      </c>
    </row>
    <row r="96" spans="1:3" x14ac:dyDescent="0.25">
      <c r="A96" t="str">
        <f t="shared" si="3"/>
        <v>4.0050%</v>
      </c>
      <c r="B96">
        <f t="shared" si="4"/>
        <v>4.0050000000000065E-2</v>
      </c>
      <c r="C96">
        <v>976.47955435445351</v>
      </c>
    </row>
    <row r="97" spans="1:3" x14ac:dyDescent="0.25">
      <c r="A97" t="str">
        <f t="shared" si="3"/>
        <v>4.1050%</v>
      </c>
      <c r="B97">
        <f t="shared" si="4"/>
        <v>4.1050000000000066E-2</v>
      </c>
      <c r="C97">
        <v>976.47955435445385</v>
      </c>
    </row>
    <row r="98" spans="1:3" x14ac:dyDescent="0.25">
      <c r="A98" t="str">
        <f t="shared" si="3"/>
        <v>4.2050%</v>
      </c>
      <c r="B98">
        <f t="shared" si="4"/>
        <v>4.2050000000000066E-2</v>
      </c>
      <c r="C98">
        <v>976.47955435445351</v>
      </c>
    </row>
    <row r="99" spans="1:3" x14ac:dyDescent="0.25">
      <c r="A99" t="str">
        <f t="shared" si="3"/>
        <v>4.3050%</v>
      </c>
      <c r="B99">
        <f t="shared" si="4"/>
        <v>4.3050000000000067E-2</v>
      </c>
      <c r="C99">
        <v>976.47955435445351</v>
      </c>
    </row>
    <row r="100" spans="1:3" x14ac:dyDescent="0.25">
      <c r="A100" t="str">
        <f t="shared" si="3"/>
        <v>4.4050%</v>
      </c>
      <c r="B100">
        <f t="shared" si="4"/>
        <v>4.4050000000000068E-2</v>
      </c>
      <c r="C100">
        <v>976.47955435445351</v>
      </c>
    </row>
    <row r="101" spans="1:3" x14ac:dyDescent="0.25">
      <c r="A101" t="str">
        <f t="shared" si="3"/>
        <v>4.5050%</v>
      </c>
      <c r="B101">
        <f t="shared" si="4"/>
        <v>4.5050000000000069E-2</v>
      </c>
      <c r="C101">
        <v>976.47955435445351</v>
      </c>
    </row>
    <row r="102" spans="1:3" x14ac:dyDescent="0.25">
      <c r="A102" t="str">
        <f t="shared" si="3"/>
        <v>4.6050%</v>
      </c>
      <c r="B102">
        <f t="shared" si="4"/>
        <v>4.605000000000007E-2</v>
      </c>
      <c r="C102">
        <v>976.47955435445385</v>
      </c>
    </row>
    <row r="103" spans="1:3" x14ac:dyDescent="0.25">
      <c r="A103" t="str">
        <f t="shared" si="3"/>
        <v>4.7050%</v>
      </c>
      <c r="B103">
        <f t="shared" si="4"/>
        <v>4.7050000000000071E-2</v>
      </c>
      <c r="C103">
        <v>976.47955435445385</v>
      </c>
    </row>
    <row r="104" spans="1:3" x14ac:dyDescent="0.25">
      <c r="A104" t="str">
        <f t="shared" si="3"/>
        <v>4.8050%</v>
      </c>
      <c r="B104">
        <f t="shared" si="4"/>
        <v>4.8050000000000072E-2</v>
      </c>
      <c r="C104">
        <v>976.47955435445385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Sheet9.black_scholes_sensitivity_in_r1">
                <anchor moveWithCells="1" sizeWithCells="1">
                  <from>
                    <xdr:col>4</xdr:col>
                    <xdr:colOff>133350</xdr:colOff>
                    <xdr:row>5</xdr:row>
                    <xdr:rowOff>142875</xdr:rowOff>
                  </from>
                  <to>
                    <xdr:col>5</xdr:col>
                    <xdr:colOff>304800</xdr:colOff>
                    <xdr:row>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K104"/>
  <sheetViews>
    <sheetView workbookViewId="0">
      <selection activeCell="K9" sqref="K9"/>
    </sheetView>
  </sheetViews>
  <sheetFormatPr defaultRowHeight="15" x14ac:dyDescent="0.25"/>
  <cols>
    <col min="2" max="2" width="15.7109375" bestFit="1" customWidth="1"/>
    <col min="3" max="3" width="15.140625" bestFit="1" customWidth="1"/>
  </cols>
  <sheetData>
    <row r="1" spans="1:11" x14ac:dyDescent="0.25">
      <c r="B1" t="s">
        <v>38</v>
      </c>
      <c r="C1">
        <f>'Parameter Page'!E5</f>
        <v>-4.6800000000000001E-3</v>
      </c>
      <c r="E1">
        <f>C1-0.05</f>
        <v>-5.4680000000000006E-2</v>
      </c>
      <c r="F1">
        <f>C1+0.05</f>
        <v>4.5319999999999999E-2</v>
      </c>
    </row>
    <row r="2" spans="1:11" x14ac:dyDescent="0.25">
      <c r="C2" t="s">
        <v>36</v>
      </c>
      <c r="D2">
        <f>COUNT(B4:B204)</f>
        <v>101</v>
      </c>
      <c r="J2" t="s">
        <v>46</v>
      </c>
    </row>
    <row r="3" spans="1:11" x14ac:dyDescent="0.25">
      <c r="B3" t="s">
        <v>45</v>
      </c>
      <c r="C3" t="s">
        <v>35</v>
      </c>
      <c r="I3" t="s">
        <v>45</v>
      </c>
      <c r="J3" t="s">
        <v>35</v>
      </c>
      <c r="K3" t="s">
        <v>47</v>
      </c>
    </row>
    <row r="4" spans="1:11" x14ac:dyDescent="0.25">
      <c r="A4" t="str">
        <f>TEXT(B4,"0.0000%")</f>
        <v>-5.4680%</v>
      </c>
      <c r="B4">
        <f>E1</f>
        <v>-5.4680000000000006E-2</v>
      </c>
      <c r="C4">
        <v>975.68843983211514</v>
      </c>
      <c r="I4" s="6" t="s">
        <v>74</v>
      </c>
      <c r="J4">
        <f>VLOOKUP(I4,$A$4:$C$104,3,0)</f>
        <v>975.68843983211514</v>
      </c>
      <c r="K4" t="s">
        <v>48</v>
      </c>
    </row>
    <row r="5" spans="1:11" x14ac:dyDescent="0.25">
      <c r="A5" t="str">
        <f t="shared" ref="A5:A68" si="0">TEXT(B5,"0.0000%")</f>
        <v>-5.3680%</v>
      </c>
      <c r="B5">
        <f>B4+0.001</f>
        <v>-5.3680000000000005E-2</v>
      </c>
      <c r="C5">
        <v>975.68843983211514</v>
      </c>
      <c r="I5" s="6" t="s">
        <v>72</v>
      </c>
      <c r="J5">
        <f t="shared" ref="J5:J6" si="1">VLOOKUP(I5,$A$4:$C$104,3,0)</f>
        <v>975.68843983211514</v>
      </c>
      <c r="K5" s="7">
        <f>(J5-J4)/J4</f>
        <v>0</v>
      </c>
    </row>
    <row r="6" spans="1:11" x14ac:dyDescent="0.25">
      <c r="A6" t="str">
        <f t="shared" si="0"/>
        <v>-5.2680%</v>
      </c>
      <c r="B6">
        <f t="shared" ref="B6:B69" si="2">B5+0.001</f>
        <v>-5.2680000000000005E-2</v>
      </c>
      <c r="C6">
        <v>975.68843983211514</v>
      </c>
      <c r="I6" s="6" t="s">
        <v>73</v>
      </c>
      <c r="J6">
        <f t="shared" si="1"/>
        <v>975.68843983211514</v>
      </c>
      <c r="K6" s="7">
        <f>(J6-J5)/J5</f>
        <v>0</v>
      </c>
    </row>
    <row r="7" spans="1:11" x14ac:dyDescent="0.25">
      <c r="A7" t="str">
        <f t="shared" si="0"/>
        <v>-5.1680%</v>
      </c>
      <c r="B7">
        <f t="shared" si="2"/>
        <v>-5.1680000000000004E-2</v>
      </c>
      <c r="C7">
        <v>975.68843983211514</v>
      </c>
    </row>
    <row r="8" spans="1:11" x14ac:dyDescent="0.25">
      <c r="A8" t="str">
        <f t="shared" si="0"/>
        <v>-5.0680%</v>
      </c>
      <c r="B8">
        <f t="shared" si="2"/>
        <v>-5.0680000000000003E-2</v>
      </c>
      <c r="C8">
        <v>975.68843983211514</v>
      </c>
    </row>
    <row r="9" spans="1:11" x14ac:dyDescent="0.25">
      <c r="A9" t="str">
        <f t="shared" si="0"/>
        <v>-4.9680%</v>
      </c>
      <c r="B9">
        <f t="shared" si="2"/>
        <v>-4.9680000000000002E-2</v>
      </c>
      <c r="C9">
        <v>975.68843983211514</v>
      </c>
    </row>
    <row r="10" spans="1:11" x14ac:dyDescent="0.25">
      <c r="A10" t="str">
        <f t="shared" si="0"/>
        <v>-4.8680%</v>
      </c>
      <c r="B10">
        <f t="shared" si="2"/>
        <v>-4.8680000000000001E-2</v>
      </c>
      <c r="C10">
        <v>975.68843983211514</v>
      </c>
    </row>
    <row r="11" spans="1:11" x14ac:dyDescent="0.25">
      <c r="A11" t="str">
        <f t="shared" si="0"/>
        <v>-4.7680%</v>
      </c>
      <c r="B11">
        <f t="shared" si="2"/>
        <v>-4.768E-2</v>
      </c>
      <c r="C11">
        <v>975.68843983211514</v>
      </c>
    </row>
    <row r="12" spans="1:11" x14ac:dyDescent="0.25">
      <c r="A12" t="str">
        <f t="shared" si="0"/>
        <v>-4.6680%</v>
      </c>
      <c r="B12">
        <f t="shared" si="2"/>
        <v>-4.6679999999999999E-2</v>
      </c>
      <c r="C12">
        <v>975.68843983211514</v>
      </c>
    </row>
    <row r="13" spans="1:11" x14ac:dyDescent="0.25">
      <c r="A13" t="str">
        <f t="shared" si="0"/>
        <v>-4.5680%</v>
      </c>
      <c r="B13">
        <f t="shared" si="2"/>
        <v>-4.5679999999999998E-2</v>
      </c>
      <c r="C13">
        <v>975.68843983211514</v>
      </c>
    </row>
    <row r="14" spans="1:11" x14ac:dyDescent="0.25">
      <c r="A14" t="str">
        <f t="shared" si="0"/>
        <v>-4.4680%</v>
      </c>
      <c r="B14">
        <f t="shared" si="2"/>
        <v>-4.4679999999999997E-2</v>
      </c>
      <c r="C14">
        <v>975.68843983211514</v>
      </c>
    </row>
    <row r="15" spans="1:11" x14ac:dyDescent="0.25">
      <c r="A15" t="str">
        <f t="shared" si="0"/>
        <v>-4.3680%</v>
      </c>
      <c r="B15">
        <f t="shared" si="2"/>
        <v>-4.3679999999999997E-2</v>
      </c>
      <c r="C15">
        <v>975.68843983211514</v>
      </c>
    </row>
    <row r="16" spans="1:11" x14ac:dyDescent="0.25">
      <c r="A16" t="str">
        <f t="shared" si="0"/>
        <v>-4.2680%</v>
      </c>
      <c r="B16">
        <f t="shared" si="2"/>
        <v>-4.2679999999999996E-2</v>
      </c>
      <c r="C16">
        <v>975.68843983211514</v>
      </c>
    </row>
    <row r="17" spans="1:3" x14ac:dyDescent="0.25">
      <c r="A17" t="str">
        <f t="shared" si="0"/>
        <v>-4.1680%</v>
      </c>
      <c r="B17">
        <f t="shared" si="2"/>
        <v>-4.1679999999999995E-2</v>
      </c>
      <c r="C17">
        <v>975.68843983211514</v>
      </c>
    </row>
    <row r="18" spans="1:3" x14ac:dyDescent="0.25">
      <c r="A18" t="str">
        <f t="shared" si="0"/>
        <v>-4.0680%</v>
      </c>
      <c r="B18">
        <f t="shared" si="2"/>
        <v>-4.0679999999999994E-2</v>
      </c>
      <c r="C18">
        <v>975.68843983211514</v>
      </c>
    </row>
    <row r="19" spans="1:3" x14ac:dyDescent="0.25">
      <c r="A19" t="str">
        <f t="shared" si="0"/>
        <v>-3.9680%</v>
      </c>
      <c r="B19">
        <f t="shared" si="2"/>
        <v>-3.9679999999999993E-2</v>
      </c>
      <c r="C19">
        <v>975.68843983211514</v>
      </c>
    </row>
    <row r="20" spans="1:3" x14ac:dyDescent="0.25">
      <c r="A20" t="str">
        <f t="shared" si="0"/>
        <v>-3.8680%</v>
      </c>
      <c r="B20">
        <f t="shared" si="2"/>
        <v>-3.8679999999999992E-2</v>
      </c>
      <c r="C20">
        <v>975.68843983211514</v>
      </c>
    </row>
    <row r="21" spans="1:3" x14ac:dyDescent="0.25">
      <c r="A21" t="str">
        <f t="shared" si="0"/>
        <v>-3.7680%</v>
      </c>
      <c r="B21">
        <f t="shared" si="2"/>
        <v>-3.7679999999999991E-2</v>
      </c>
      <c r="C21">
        <v>975.68843983211514</v>
      </c>
    </row>
    <row r="22" spans="1:3" x14ac:dyDescent="0.25">
      <c r="A22" t="str">
        <f t="shared" si="0"/>
        <v>-3.6680%</v>
      </c>
      <c r="B22">
        <f t="shared" si="2"/>
        <v>-3.667999999999999E-2</v>
      </c>
      <c r="C22">
        <v>975.68843983211514</v>
      </c>
    </row>
    <row r="23" spans="1:3" x14ac:dyDescent="0.25">
      <c r="A23" t="str">
        <f t="shared" si="0"/>
        <v>-3.5680%</v>
      </c>
      <c r="B23">
        <f t="shared" si="2"/>
        <v>-3.567999999999999E-2</v>
      </c>
      <c r="C23">
        <v>975.68843983211514</v>
      </c>
    </row>
    <row r="24" spans="1:3" x14ac:dyDescent="0.25">
      <c r="A24" t="str">
        <f t="shared" si="0"/>
        <v>-3.4680%</v>
      </c>
      <c r="B24">
        <f t="shared" si="2"/>
        <v>-3.4679999999999989E-2</v>
      </c>
      <c r="C24">
        <v>975.68843983211514</v>
      </c>
    </row>
    <row r="25" spans="1:3" x14ac:dyDescent="0.25">
      <c r="A25" t="str">
        <f t="shared" si="0"/>
        <v>-3.3680%</v>
      </c>
      <c r="B25">
        <f t="shared" si="2"/>
        <v>-3.3679999999999988E-2</v>
      </c>
      <c r="C25">
        <v>975.68843983211514</v>
      </c>
    </row>
    <row r="26" spans="1:3" x14ac:dyDescent="0.25">
      <c r="A26" t="str">
        <f t="shared" si="0"/>
        <v>-3.2680%</v>
      </c>
      <c r="B26">
        <f t="shared" si="2"/>
        <v>-3.2679999999999987E-2</v>
      </c>
      <c r="C26">
        <v>975.68843983211514</v>
      </c>
    </row>
    <row r="27" spans="1:3" x14ac:dyDescent="0.25">
      <c r="A27" t="str">
        <f t="shared" si="0"/>
        <v>-3.1680%</v>
      </c>
      <c r="B27">
        <f t="shared" si="2"/>
        <v>-3.1679999999999986E-2</v>
      </c>
      <c r="C27">
        <v>975.68843983211548</v>
      </c>
    </row>
    <row r="28" spans="1:3" x14ac:dyDescent="0.25">
      <c r="A28" t="str">
        <f t="shared" si="0"/>
        <v>-3.0680%</v>
      </c>
      <c r="B28">
        <f t="shared" si="2"/>
        <v>-3.0679999999999985E-2</v>
      </c>
      <c r="C28">
        <v>975.68843983211514</v>
      </c>
    </row>
    <row r="29" spans="1:3" x14ac:dyDescent="0.25">
      <c r="A29" t="str">
        <f t="shared" si="0"/>
        <v>-2.9680%</v>
      </c>
      <c r="B29">
        <f t="shared" si="2"/>
        <v>-2.9679999999999984E-2</v>
      </c>
      <c r="C29">
        <v>975.68843983211514</v>
      </c>
    </row>
    <row r="30" spans="1:3" x14ac:dyDescent="0.25">
      <c r="A30" t="str">
        <f t="shared" si="0"/>
        <v>-2.8680%</v>
      </c>
      <c r="B30">
        <f t="shared" si="2"/>
        <v>-2.8679999999999983E-2</v>
      </c>
      <c r="C30">
        <v>975.68843983211514</v>
      </c>
    </row>
    <row r="31" spans="1:3" x14ac:dyDescent="0.25">
      <c r="A31" t="str">
        <f t="shared" si="0"/>
        <v>-2.7680%</v>
      </c>
      <c r="B31">
        <f t="shared" si="2"/>
        <v>-2.7679999999999982E-2</v>
      </c>
      <c r="C31">
        <v>975.68843983211514</v>
      </c>
    </row>
    <row r="32" spans="1:3" x14ac:dyDescent="0.25">
      <c r="A32" t="str">
        <f t="shared" si="0"/>
        <v>-2.6680%</v>
      </c>
      <c r="B32">
        <f t="shared" si="2"/>
        <v>-2.6679999999999982E-2</v>
      </c>
      <c r="C32">
        <v>975.68843983211514</v>
      </c>
    </row>
    <row r="33" spans="1:3" x14ac:dyDescent="0.25">
      <c r="A33" t="str">
        <f t="shared" si="0"/>
        <v>-2.5680%</v>
      </c>
      <c r="B33">
        <f t="shared" si="2"/>
        <v>-2.5679999999999981E-2</v>
      </c>
      <c r="C33">
        <v>975.68843983211514</v>
      </c>
    </row>
    <row r="34" spans="1:3" x14ac:dyDescent="0.25">
      <c r="A34" t="str">
        <f t="shared" si="0"/>
        <v>-2.4680%</v>
      </c>
      <c r="B34">
        <f t="shared" si="2"/>
        <v>-2.467999999999998E-2</v>
      </c>
      <c r="C34">
        <v>975.68843983211514</v>
      </c>
    </row>
    <row r="35" spans="1:3" x14ac:dyDescent="0.25">
      <c r="A35" t="str">
        <f t="shared" si="0"/>
        <v>-2.3680%</v>
      </c>
      <c r="B35">
        <f t="shared" si="2"/>
        <v>-2.3679999999999979E-2</v>
      </c>
      <c r="C35">
        <v>975.68843983211514</v>
      </c>
    </row>
    <row r="36" spans="1:3" x14ac:dyDescent="0.25">
      <c r="A36" t="str">
        <f t="shared" si="0"/>
        <v>-2.2680%</v>
      </c>
      <c r="B36">
        <f t="shared" si="2"/>
        <v>-2.2679999999999978E-2</v>
      </c>
      <c r="C36">
        <v>975.68843983211514</v>
      </c>
    </row>
    <row r="37" spans="1:3" x14ac:dyDescent="0.25">
      <c r="A37" t="str">
        <f t="shared" si="0"/>
        <v>-2.1680%</v>
      </c>
      <c r="B37">
        <f t="shared" si="2"/>
        <v>-2.1679999999999977E-2</v>
      </c>
      <c r="C37">
        <v>975.68843983211514</v>
      </c>
    </row>
    <row r="38" spans="1:3" x14ac:dyDescent="0.25">
      <c r="A38" t="str">
        <f t="shared" si="0"/>
        <v>-2.0680%</v>
      </c>
      <c r="B38">
        <f t="shared" si="2"/>
        <v>-2.0679999999999976E-2</v>
      </c>
      <c r="C38">
        <v>975.68843983211514</v>
      </c>
    </row>
    <row r="39" spans="1:3" x14ac:dyDescent="0.25">
      <c r="A39" t="str">
        <f t="shared" si="0"/>
        <v>-1.9680%</v>
      </c>
      <c r="B39">
        <f t="shared" si="2"/>
        <v>-1.9679999999999975E-2</v>
      </c>
      <c r="C39">
        <v>975.68843983211514</v>
      </c>
    </row>
    <row r="40" spans="1:3" x14ac:dyDescent="0.25">
      <c r="A40" t="str">
        <f t="shared" si="0"/>
        <v>-1.8680%</v>
      </c>
      <c r="B40">
        <f t="shared" si="2"/>
        <v>-1.8679999999999974E-2</v>
      </c>
      <c r="C40">
        <v>975.68843983211514</v>
      </c>
    </row>
    <row r="41" spans="1:3" x14ac:dyDescent="0.25">
      <c r="A41" t="str">
        <f t="shared" si="0"/>
        <v>-1.7680%</v>
      </c>
      <c r="B41">
        <f t="shared" si="2"/>
        <v>-1.7679999999999974E-2</v>
      </c>
      <c r="C41">
        <v>975.68843983211514</v>
      </c>
    </row>
    <row r="42" spans="1:3" x14ac:dyDescent="0.25">
      <c r="A42" t="str">
        <f t="shared" si="0"/>
        <v>-1.6680%</v>
      </c>
      <c r="B42">
        <f t="shared" si="2"/>
        <v>-1.6679999999999973E-2</v>
      </c>
      <c r="C42">
        <v>975.68843983211514</v>
      </c>
    </row>
    <row r="43" spans="1:3" x14ac:dyDescent="0.25">
      <c r="A43" t="str">
        <f t="shared" si="0"/>
        <v>-1.5680%</v>
      </c>
      <c r="B43">
        <f t="shared" si="2"/>
        <v>-1.5679999999999972E-2</v>
      </c>
      <c r="C43">
        <v>975.68843983211514</v>
      </c>
    </row>
    <row r="44" spans="1:3" x14ac:dyDescent="0.25">
      <c r="A44" t="str">
        <f t="shared" si="0"/>
        <v>-1.4680%</v>
      </c>
      <c r="B44">
        <f t="shared" si="2"/>
        <v>-1.4679999999999971E-2</v>
      </c>
      <c r="C44">
        <v>975.68843983211514</v>
      </c>
    </row>
    <row r="45" spans="1:3" x14ac:dyDescent="0.25">
      <c r="A45" t="str">
        <f t="shared" si="0"/>
        <v>-1.3680%</v>
      </c>
      <c r="B45">
        <f t="shared" si="2"/>
        <v>-1.367999999999997E-2</v>
      </c>
      <c r="C45">
        <v>975.68843983211514</v>
      </c>
    </row>
    <row r="46" spans="1:3" x14ac:dyDescent="0.25">
      <c r="A46" t="str">
        <f t="shared" si="0"/>
        <v>-1.2680%</v>
      </c>
      <c r="B46">
        <f t="shared" si="2"/>
        <v>-1.2679999999999969E-2</v>
      </c>
      <c r="C46">
        <v>975.68843983211514</v>
      </c>
    </row>
    <row r="47" spans="1:3" x14ac:dyDescent="0.25">
      <c r="A47" t="str">
        <f t="shared" si="0"/>
        <v>-1.1680%</v>
      </c>
      <c r="B47">
        <f t="shared" si="2"/>
        <v>-1.1679999999999968E-2</v>
      </c>
      <c r="C47">
        <v>975.68843983211514</v>
      </c>
    </row>
    <row r="48" spans="1:3" x14ac:dyDescent="0.25">
      <c r="A48" t="str">
        <f t="shared" si="0"/>
        <v>-1.0680%</v>
      </c>
      <c r="B48">
        <f t="shared" si="2"/>
        <v>-1.0679999999999967E-2</v>
      </c>
      <c r="C48">
        <v>975.68843983211514</v>
      </c>
    </row>
    <row r="49" spans="1:3" x14ac:dyDescent="0.25">
      <c r="A49" t="str">
        <f t="shared" si="0"/>
        <v>-0.9680%</v>
      </c>
      <c r="B49">
        <f t="shared" si="2"/>
        <v>-9.6799999999999664E-3</v>
      </c>
      <c r="C49">
        <v>975.68843983211514</v>
      </c>
    </row>
    <row r="50" spans="1:3" x14ac:dyDescent="0.25">
      <c r="A50" t="str">
        <f t="shared" si="0"/>
        <v>-0.8680%</v>
      </c>
      <c r="B50">
        <f t="shared" si="2"/>
        <v>-8.6799999999999655E-3</v>
      </c>
      <c r="C50">
        <v>975.68843983211514</v>
      </c>
    </row>
    <row r="51" spans="1:3" x14ac:dyDescent="0.25">
      <c r="A51" t="str">
        <f t="shared" si="0"/>
        <v>-0.7680%</v>
      </c>
      <c r="B51">
        <f t="shared" si="2"/>
        <v>-7.6799999999999655E-3</v>
      </c>
      <c r="C51">
        <v>975.68843983211514</v>
      </c>
    </row>
    <row r="52" spans="1:3" x14ac:dyDescent="0.25">
      <c r="A52" t="str">
        <f t="shared" si="0"/>
        <v>-0.6680%</v>
      </c>
      <c r="B52">
        <f t="shared" si="2"/>
        <v>-6.6799999999999655E-3</v>
      </c>
      <c r="C52">
        <v>975.68843983211514</v>
      </c>
    </row>
    <row r="53" spans="1:3" x14ac:dyDescent="0.25">
      <c r="A53" t="str">
        <f t="shared" si="0"/>
        <v>-0.5680%</v>
      </c>
      <c r="B53">
        <f t="shared" si="2"/>
        <v>-5.6799999999999655E-3</v>
      </c>
      <c r="C53">
        <v>975.68843983211514</v>
      </c>
    </row>
    <row r="54" spans="1:3" x14ac:dyDescent="0.25">
      <c r="A54" t="str">
        <f t="shared" si="0"/>
        <v>-0.4680%</v>
      </c>
      <c r="B54">
        <f t="shared" si="2"/>
        <v>-4.6799999999999654E-3</v>
      </c>
      <c r="C54">
        <v>975.68843983211514</v>
      </c>
    </row>
    <row r="55" spans="1:3" x14ac:dyDescent="0.25">
      <c r="A55" t="str">
        <f t="shared" si="0"/>
        <v>-0.3680%</v>
      </c>
      <c r="B55">
        <f t="shared" si="2"/>
        <v>-3.6799999999999654E-3</v>
      </c>
      <c r="C55">
        <v>975.68843983211514</v>
      </c>
    </row>
    <row r="56" spans="1:3" x14ac:dyDescent="0.25">
      <c r="A56" t="str">
        <f t="shared" si="0"/>
        <v>-0.2680%</v>
      </c>
      <c r="B56">
        <f t="shared" si="2"/>
        <v>-2.6799999999999654E-3</v>
      </c>
      <c r="C56">
        <v>975.68843983211514</v>
      </c>
    </row>
    <row r="57" spans="1:3" x14ac:dyDescent="0.25">
      <c r="A57" t="str">
        <f t="shared" si="0"/>
        <v>-0.1680%</v>
      </c>
      <c r="B57">
        <f t="shared" si="2"/>
        <v>-1.6799999999999654E-3</v>
      </c>
      <c r="C57">
        <v>975.68843983211514</v>
      </c>
    </row>
    <row r="58" spans="1:3" x14ac:dyDescent="0.25">
      <c r="A58" t="str">
        <f t="shared" si="0"/>
        <v>-0.0680%</v>
      </c>
      <c r="B58">
        <f t="shared" si="2"/>
        <v>-6.7999999999996535E-4</v>
      </c>
      <c r="C58">
        <v>975.68843983211514</v>
      </c>
    </row>
    <row r="59" spans="1:3" x14ac:dyDescent="0.25">
      <c r="A59" t="str">
        <f t="shared" si="0"/>
        <v>0.0320%</v>
      </c>
      <c r="B59">
        <f t="shared" si="2"/>
        <v>3.2000000000003467E-4</v>
      </c>
      <c r="C59">
        <v>975.68843983211514</v>
      </c>
    </row>
    <row r="60" spans="1:3" x14ac:dyDescent="0.25">
      <c r="A60" t="str">
        <f t="shared" si="0"/>
        <v>0.1320%</v>
      </c>
      <c r="B60">
        <f t="shared" si="2"/>
        <v>1.3200000000000347E-3</v>
      </c>
      <c r="C60">
        <v>975.68843983211514</v>
      </c>
    </row>
    <row r="61" spans="1:3" x14ac:dyDescent="0.25">
      <c r="A61" t="str">
        <f t="shared" si="0"/>
        <v>0.2320%</v>
      </c>
      <c r="B61">
        <f t="shared" si="2"/>
        <v>2.3200000000000347E-3</v>
      </c>
      <c r="C61">
        <v>975.68843983211514</v>
      </c>
    </row>
    <row r="62" spans="1:3" x14ac:dyDescent="0.25">
      <c r="A62" t="str">
        <f t="shared" si="0"/>
        <v>0.3320%</v>
      </c>
      <c r="B62">
        <f t="shared" si="2"/>
        <v>3.3200000000000347E-3</v>
      </c>
      <c r="C62">
        <v>975.68843983211514</v>
      </c>
    </row>
    <row r="63" spans="1:3" x14ac:dyDescent="0.25">
      <c r="A63" t="str">
        <f t="shared" si="0"/>
        <v>0.4320%</v>
      </c>
      <c r="B63">
        <f t="shared" si="2"/>
        <v>4.3200000000000347E-3</v>
      </c>
      <c r="C63">
        <v>975.68843983211514</v>
      </c>
    </row>
    <row r="64" spans="1:3" x14ac:dyDescent="0.25">
      <c r="A64" t="str">
        <f t="shared" si="0"/>
        <v>0.5320%</v>
      </c>
      <c r="B64">
        <f t="shared" si="2"/>
        <v>5.3200000000000348E-3</v>
      </c>
      <c r="C64">
        <v>975.68843983211514</v>
      </c>
    </row>
    <row r="65" spans="1:3" x14ac:dyDescent="0.25">
      <c r="A65" t="str">
        <f t="shared" si="0"/>
        <v>0.6320%</v>
      </c>
      <c r="B65">
        <f t="shared" si="2"/>
        <v>6.3200000000000348E-3</v>
      </c>
      <c r="C65">
        <v>975.68843983211514</v>
      </c>
    </row>
    <row r="66" spans="1:3" x14ac:dyDescent="0.25">
      <c r="A66" t="str">
        <f t="shared" si="0"/>
        <v>0.7320%</v>
      </c>
      <c r="B66">
        <f t="shared" si="2"/>
        <v>7.3200000000000348E-3</v>
      </c>
      <c r="C66">
        <v>975.68843983211514</v>
      </c>
    </row>
    <row r="67" spans="1:3" x14ac:dyDescent="0.25">
      <c r="A67" t="str">
        <f t="shared" si="0"/>
        <v>0.8320%</v>
      </c>
      <c r="B67">
        <f t="shared" si="2"/>
        <v>8.3200000000000357E-3</v>
      </c>
      <c r="C67">
        <v>975.68843983211514</v>
      </c>
    </row>
    <row r="68" spans="1:3" x14ac:dyDescent="0.25">
      <c r="A68" t="str">
        <f t="shared" si="0"/>
        <v>0.9320%</v>
      </c>
      <c r="B68">
        <f t="shared" si="2"/>
        <v>9.3200000000000366E-3</v>
      </c>
      <c r="C68">
        <v>975.68843983211514</v>
      </c>
    </row>
    <row r="69" spans="1:3" x14ac:dyDescent="0.25">
      <c r="A69" t="str">
        <f t="shared" ref="A69:A104" si="3">TEXT(B69,"0.0000%")</f>
        <v>1.0320%</v>
      </c>
      <c r="B69">
        <f t="shared" si="2"/>
        <v>1.0320000000000037E-2</v>
      </c>
      <c r="C69">
        <v>975.68843983211514</v>
      </c>
    </row>
    <row r="70" spans="1:3" x14ac:dyDescent="0.25">
      <c r="A70" t="str">
        <f t="shared" si="3"/>
        <v>1.1320%</v>
      </c>
      <c r="B70">
        <f t="shared" ref="B70:B104" si="4">B69+0.001</f>
        <v>1.1320000000000038E-2</v>
      </c>
      <c r="C70">
        <v>975.68843983211514</v>
      </c>
    </row>
    <row r="71" spans="1:3" x14ac:dyDescent="0.25">
      <c r="A71" t="str">
        <f t="shared" si="3"/>
        <v>1.2320%</v>
      </c>
      <c r="B71">
        <f t="shared" si="4"/>
        <v>1.2320000000000039E-2</v>
      </c>
      <c r="C71">
        <v>975.68843983211514</v>
      </c>
    </row>
    <row r="72" spans="1:3" x14ac:dyDescent="0.25">
      <c r="A72" t="str">
        <f t="shared" si="3"/>
        <v>1.3320%</v>
      </c>
      <c r="B72">
        <f t="shared" si="4"/>
        <v>1.332000000000004E-2</v>
      </c>
      <c r="C72">
        <v>975.68843983211514</v>
      </c>
    </row>
    <row r="73" spans="1:3" x14ac:dyDescent="0.25">
      <c r="A73" t="str">
        <f t="shared" si="3"/>
        <v>1.4320%</v>
      </c>
      <c r="B73">
        <f t="shared" si="4"/>
        <v>1.4320000000000041E-2</v>
      </c>
      <c r="C73">
        <v>975.68843983211514</v>
      </c>
    </row>
    <row r="74" spans="1:3" x14ac:dyDescent="0.25">
      <c r="A74" t="str">
        <f t="shared" si="3"/>
        <v>1.5320%</v>
      </c>
      <c r="B74">
        <f t="shared" si="4"/>
        <v>1.5320000000000042E-2</v>
      </c>
      <c r="C74">
        <v>975.68843983211514</v>
      </c>
    </row>
    <row r="75" spans="1:3" x14ac:dyDescent="0.25">
      <c r="A75" t="str">
        <f t="shared" si="3"/>
        <v>1.6320%</v>
      </c>
      <c r="B75">
        <f t="shared" si="4"/>
        <v>1.6320000000000043E-2</v>
      </c>
      <c r="C75">
        <v>975.68843983211514</v>
      </c>
    </row>
    <row r="76" spans="1:3" x14ac:dyDescent="0.25">
      <c r="A76" t="str">
        <f t="shared" si="3"/>
        <v>1.7320%</v>
      </c>
      <c r="B76">
        <f t="shared" si="4"/>
        <v>1.7320000000000044E-2</v>
      </c>
      <c r="C76">
        <v>975.68843983211491</v>
      </c>
    </row>
    <row r="77" spans="1:3" x14ac:dyDescent="0.25">
      <c r="A77" t="str">
        <f t="shared" si="3"/>
        <v>1.8320%</v>
      </c>
      <c r="B77">
        <f t="shared" si="4"/>
        <v>1.8320000000000045E-2</v>
      </c>
      <c r="C77">
        <v>975.68843983211514</v>
      </c>
    </row>
    <row r="78" spans="1:3" x14ac:dyDescent="0.25">
      <c r="A78" t="str">
        <f t="shared" si="3"/>
        <v>1.9320%</v>
      </c>
      <c r="B78">
        <f t="shared" si="4"/>
        <v>1.9320000000000045E-2</v>
      </c>
      <c r="C78">
        <v>975.68843983211514</v>
      </c>
    </row>
    <row r="79" spans="1:3" x14ac:dyDescent="0.25">
      <c r="A79" t="str">
        <f t="shared" si="3"/>
        <v>2.0320%</v>
      </c>
      <c r="B79">
        <f t="shared" si="4"/>
        <v>2.0320000000000046E-2</v>
      </c>
      <c r="C79">
        <v>975.68843983211514</v>
      </c>
    </row>
    <row r="80" spans="1:3" x14ac:dyDescent="0.25">
      <c r="A80" t="str">
        <f t="shared" si="3"/>
        <v>2.1320%</v>
      </c>
      <c r="B80">
        <f t="shared" si="4"/>
        <v>2.1320000000000047E-2</v>
      </c>
      <c r="C80">
        <v>975.68843983211514</v>
      </c>
    </row>
    <row r="81" spans="1:3" x14ac:dyDescent="0.25">
      <c r="A81" t="str">
        <f t="shared" si="3"/>
        <v>2.2320%</v>
      </c>
      <c r="B81">
        <f t="shared" si="4"/>
        <v>2.2320000000000048E-2</v>
      </c>
      <c r="C81">
        <v>975.68843983211514</v>
      </c>
    </row>
    <row r="82" spans="1:3" x14ac:dyDescent="0.25">
      <c r="A82" t="str">
        <f t="shared" si="3"/>
        <v>2.3320%</v>
      </c>
      <c r="B82">
        <f t="shared" si="4"/>
        <v>2.3320000000000049E-2</v>
      </c>
      <c r="C82">
        <v>975.68843983211514</v>
      </c>
    </row>
    <row r="83" spans="1:3" x14ac:dyDescent="0.25">
      <c r="A83" t="str">
        <f t="shared" si="3"/>
        <v>2.4320%</v>
      </c>
      <c r="B83">
        <f t="shared" si="4"/>
        <v>2.432000000000005E-2</v>
      </c>
      <c r="C83">
        <v>975.68843983211514</v>
      </c>
    </row>
    <row r="84" spans="1:3" x14ac:dyDescent="0.25">
      <c r="A84" t="str">
        <f t="shared" si="3"/>
        <v>2.5320%</v>
      </c>
      <c r="B84">
        <f t="shared" si="4"/>
        <v>2.5320000000000051E-2</v>
      </c>
      <c r="C84">
        <v>975.68843983211514</v>
      </c>
    </row>
    <row r="85" spans="1:3" x14ac:dyDescent="0.25">
      <c r="A85" t="str">
        <f t="shared" si="3"/>
        <v>2.6320%</v>
      </c>
      <c r="B85">
        <f t="shared" si="4"/>
        <v>2.6320000000000052E-2</v>
      </c>
      <c r="C85">
        <v>975.68843983211514</v>
      </c>
    </row>
    <row r="86" spans="1:3" x14ac:dyDescent="0.25">
      <c r="A86" t="str">
        <f t="shared" si="3"/>
        <v>2.7320%</v>
      </c>
      <c r="B86">
        <f t="shared" si="4"/>
        <v>2.7320000000000053E-2</v>
      </c>
      <c r="C86">
        <v>975.68843983211514</v>
      </c>
    </row>
    <row r="87" spans="1:3" x14ac:dyDescent="0.25">
      <c r="A87" t="str">
        <f t="shared" si="3"/>
        <v>2.8320%</v>
      </c>
      <c r="B87">
        <f t="shared" si="4"/>
        <v>2.8320000000000053E-2</v>
      </c>
      <c r="C87">
        <v>975.68843983211514</v>
      </c>
    </row>
    <row r="88" spans="1:3" x14ac:dyDescent="0.25">
      <c r="A88" t="str">
        <f t="shared" si="3"/>
        <v>2.9320%</v>
      </c>
      <c r="B88">
        <f t="shared" si="4"/>
        <v>2.9320000000000054E-2</v>
      </c>
      <c r="C88">
        <v>975.68843983211514</v>
      </c>
    </row>
    <row r="89" spans="1:3" x14ac:dyDescent="0.25">
      <c r="A89" t="str">
        <f t="shared" si="3"/>
        <v>3.0320%</v>
      </c>
      <c r="B89">
        <f t="shared" si="4"/>
        <v>3.0320000000000055E-2</v>
      </c>
      <c r="C89">
        <v>975.68843983211514</v>
      </c>
    </row>
    <row r="90" spans="1:3" x14ac:dyDescent="0.25">
      <c r="A90" t="str">
        <f t="shared" si="3"/>
        <v>3.1320%</v>
      </c>
      <c r="B90">
        <f t="shared" si="4"/>
        <v>3.1320000000000056E-2</v>
      </c>
      <c r="C90">
        <v>975.68843983211514</v>
      </c>
    </row>
    <row r="91" spans="1:3" x14ac:dyDescent="0.25">
      <c r="A91" t="str">
        <f t="shared" si="3"/>
        <v>3.2320%</v>
      </c>
      <c r="B91">
        <f t="shared" si="4"/>
        <v>3.2320000000000057E-2</v>
      </c>
      <c r="C91">
        <v>975.68843983211514</v>
      </c>
    </row>
    <row r="92" spans="1:3" x14ac:dyDescent="0.25">
      <c r="A92" t="str">
        <f t="shared" si="3"/>
        <v>3.3320%</v>
      </c>
      <c r="B92">
        <f t="shared" si="4"/>
        <v>3.3320000000000058E-2</v>
      </c>
      <c r="C92">
        <v>975.68843983211514</v>
      </c>
    </row>
    <row r="93" spans="1:3" x14ac:dyDescent="0.25">
      <c r="A93" t="str">
        <f t="shared" si="3"/>
        <v>3.4320%</v>
      </c>
      <c r="B93">
        <f t="shared" si="4"/>
        <v>3.4320000000000059E-2</v>
      </c>
      <c r="C93">
        <v>975.68843983211514</v>
      </c>
    </row>
    <row r="94" spans="1:3" x14ac:dyDescent="0.25">
      <c r="A94" t="str">
        <f t="shared" si="3"/>
        <v>3.5320%</v>
      </c>
      <c r="B94">
        <f t="shared" si="4"/>
        <v>3.532000000000006E-2</v>
      </c>
      <c r="C94">
        <v>975.68843983211514</v>
      </c>
    </row>
    <row r="95" spans="1:3" x14ac:dyDescent="0.25">
      <c r="A95" t="str">
        <f t="shared" si="3"/>
        <v>3.6320%</v>
      </c>
      <c r="B95">
        <f t="shared" si="4"/>
        <v>3.6320000000000061E-2</v>
      </c>
      <c r="C95">
        <v>975.68843983211514</v>
      </c>
    </row>
    <row r="96" spans="1:3" x14ac:dyDescent="0.25">
      <c r="A96" t="str">
        <f t="shared" si="3"/>
        <v>3.7320%</v>
      </c>
      <c r="B96">
        <f t="shared" si="4"/>
        <v>3.7320000000000061E-2</v>
      </c>
      <c r="C96">
        <v>975.68843983211514</v>
      </c>
    </row>
    <row r="97" spans="1:3" x14ac:dyDescent="0.25">
      <c r="A97" t="str">
        <f t="shared" si="3"/>
        <v>3.8320%</v>
      </c>
      <c r="B97">
        <f t="shared" si="4"/>
        <v>3.8320000000000062E-2</v>
      </c>
      <c r="C97">
        <v>975.68843983211514</v>
      </c>
    </row>
    <row r="98" spans="1:3" x14ac:dyDescent="0.25">
      <c r="A98" t="str">
        <f t="shared" si="3"/>
        <v>3.9320%</v>
      </c>
      <c r="B98">
        <f t="shared" si="4"/>
        <v>3.9320000000000063E-2</v>
      </c>
      <c r="C98">
        <v>975.68843983211514</v>
      </c>
    </row>
    <row r="99" spans="1:3" x14ac:dyDescent="0.25">
      <c r="A99" t="str">
        <f t="shared" si="3"/>
        <v>4.0320%</v>
      </c>
      <c r="B99">
        <f t="shared" si="4"/>
        <v>4.0320000000000064E-2</v>
      </c>
      <c r="C99">
        <v>975.68843983211514</v>
      </c>
    </row>
    <row r="100" spans="1:3" x14ac:dyDescent="0.25">
      <c r="A100" t="str">
        <f t="shared" si="3"/>
        <v>4.1320%</v>
      </c>
      <c r="B100">
        <f t="shared" si="4"/>
        <v>4.1320000000000065E-2</v>
      </c>
      <c r="C100">
        <v>975.68843983211514</v>
      </c>
    </row>
    <row r="101" spans="1:3" x14ac:dyDescent="0.25">
      <c r="A101" t="str">
        <f t="shared" si="3"/>
        <v>4.2320%</v>
      </c>
      <c r="B101">
        <f t="shared" si="4"/>
        <v>4.2320000000000066E-2</v>
      </c>
      <c r="C101">
        <v>975.68843983211514</v>
      </c>
    </row>
    <row r="102" spans="1:3" x14ac:dyDescent="0.25">
      <c r="A102" t="str">
        <f t="shared" si="3"/>
        <v>4.3320%</v>
      </c>
      <c r="B102">
        <f t="shared" si="4"/>
        <v>4.3320000000000067E-2</v>
      </c>
      <c r="C102">
        <v>975.68843983211514</v>
      </c>
    </row>
    <row r="103" spans="1:3" x14ac:dyDescent="0.25">
      <c r="A103" t="str">
        <f t="shared" si="3"/>
        <v>4.4320%</v>
      </c>
      <c r="B103">
        <f t="shared" si="4"/>
        <v>4.4320000000000068E-2</v>
      </c>
      <c r="C103">
        <v>975.68843983211514</v>
      </c>
    </row>
    <row r="104" spans="1:3" x14ac:dyDescent="0.25">
      <c r="A104" t="str">
        <f t="shared" si="3"/>
        <v>4.5320%</v>
      </c>
      <c r="B104">
        <f t="shared" si="4"/>
        <v>4.5320000000000069E-2</v>
      </c>
      <c r="C104">
        <v>975.68843983211514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heet10.black_scholes_sensitivity_in_r2">
                <anchor moveWithCells="1" sizeWithCells="1">
                  <from>
                    <xdr:col>4</xdr:col>
                    <xdr:colOff>266700</xdr:colOff>
                    <xdr:row>5</xdr:row>
                    <xdr:rowOff>104775</xdr:rowOff>
                  </from>
                  <to>
                    <xdr:col>5</xdr:col>
                    <xdr:colOff>371475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K104"/>
  <sheetViews>
    <sheetView workbookViewId="0">
      <selection activeCell="C13" sqref="C13"/>
    </sheetView>
  </sheetViews>
  <sheetFormatPr defaultRowHeight="15" x14ac:dyDescent="0.25"/>
  <cols>
    <col min="2" max="2" width="15.7109375" bestFit="1" customWidth="1"/>
    <col min="3" max="3" width="15.140625" bestFit="1" customWidth="1"/>
  </cols>
  <sheetData>
    <row r="1" spans="1:11" x14ac:dyDescent="0.25">
      <c r="B1" t="s">
        <v>38</v>
      </c>
      <c r="C1">
        <f>'Parameter Page'!H5</f>
        <v>9.1000000000000004E-3</v>
      </c>
      <c r="E1">
        <f>C1-0.05</f>
        <v>-4.0900000000000006E-2</v>
      </c>
      <c r="F1">
        <f>C1+0.05</f>
        <v>5.91E-2</v>
      </c>
    </row>
    <row r="2" spans="1:11" x14ac:dyDescent="0.25">
      <c r="C2" t="s">
        <v>36</v>
      </c>
      <c r="D2">
        <f>COUNT(B4:B204)</f>
        <v>101</v>
      </c>
      <c r="J2" t="s">
        <v>46</v>
      </c>
    </row>
    <row r="3" spans="1:11" x14ac:dyDescent="0.25">
      <c r="B3" t="s">
        <v>45</v>
      </c>
      <c r="C3" t="s">
        <v>35</v>
      </c>
      <c r="I3" t="s">
        <v>45</v>
      </c>
      <c r="J3" t="s">
        <v>35</v>
      </c>
      <c r="K3" t="s">
        <v>47</v>
      </c>
    </row>
    <row r="4" spans="1:11" x14ac:dyDescent="0.25">
      <c r="A4" t="str">
        <f>TEXT(B4,"0.0000%")</f>
        <v>-4.0900%</v>
      </c>
      <c r="B4">
        <f>E1</f>
        <v>-4.0900000000000006E-2</v>
      </c>
      <c r="C4">
        <v>978.4362111178981</v>
      </c>
      <c r="I4" s="6" t="s">
        <v>77</v>
      </c>
      <c r="J4">
        <f>VLOOKUP(I4,$A$4:$C$104,3,0)</f>
        <v>978.4362111178981</v>
      </c>
      <c r="K4" t="s">
        <v>48</v>
      </c>
    </row>
    <row r="5" spans="1:11" x14ac:dyDescent="0.25">
      <c r="A5" t="str">
        <f t="shared" ref="A5:A68" si="0">TEXT(B5,"0.0000%")</f>
        <v>-3.9900%</v>
      </c>
      <c r="B5">
        <f>B4+0.001</f>
        <v>-3.9900000000000005E-2</v>
      </c>
      <c r="C5">
        <v>978.4362111178981</v>
      </c>
      <c r="I5" s="6" t="s">
        <v>75</v>
      </c>
      <c r="J5">
        <f t="shared" ref="J5:J6" si="1">VLOOKUP(I5,$A$4:$C$104,3,0)</f>
        <v>978.43621111789764</v>
      </c>
      <c r="K5" s="7">
        <f>(J5-J4)/J4</f>
        <v>-4.6476954319474658E-16</v>
      </c>
    </row>
    <row r="6" spans="1:11" x14ac:dyDescent="0.25">
      <c r="A6" t="str">
        <f t="shared" si="0"/>
        <v>-3.8900%</v>
      </c>
      <c r="B6">
        <f t="shared" ref="B6:B69" si="2">B5+0.001</f>
        <v>-3.8900000000000004E-2</v>
      </c>
      <c r="C6">
        <v>978.43621111789832</v>
      </c>
      <c r="I6" s="6" t="s">
        <v>76</v>
      </c>
      <c r="J6">
        <f t="shared" si="1"/>
        <v>978.43621111789764</v>
      </c>
      <c r="K6" s="7">
        <f>(J6-J5)/J5</f>
        <v>0</v>
      </c>
    </row>
    <row r="7" spans="1:11" x14ac:dyDescent="0.25">
      <c r="A7" t="str">
        <f t="shared" si="0"/>
        <v>-3.7900%</v>
      </c>
      <c r="B7">
        <f t="shared" si="2"/>
        <v>-3.7900000000000003E-2</v>
      </c>
      <c r="C7">
        <v>978.43621111789798</v>
      </c>
    </row>
    <row r="8" spans="1:11" x14ac:dyDescent="0.25">
      <c r="A8" t="str">
        <f t="shared" si="0"/>
        <v>-3.6900%</v>
      </c>
      <c r="B8">
        <f t="shared" si="2"/>
        <v>-3.6900000000000002E-2</v>
      </c>
      <c r="C8">
        <v>978.4362111178981</v>
      </c>
    </row>
    <row r="9" spans="1:11" x14ac:dyDescent="0.25">
      <c r="A9" t="str">
        <f t="shared" si="0"/>
        <v>-3.5900%</v>
      </c>
      <c r="B9">
        <f t="shared" si="2"/>
        <v>-3.5900000000000001E-2</v>
      </c>
      <c r="C9">
        <v>978.43621111789855</v>
      </c>
    </row>
    <row r="10" spans="1:11" x14ac:dyDescent="0.25">
      <c r="A10" t="str">
        <f t="shared" si="0"/>
        <v>-3.4900%</v>
      </c>
      <c r="B10">
        <f t="shared" si="2"/>
        <v>-3.49E-2</v>
      </c>
      <c r="C10">
        <v>978.43621111789832</v>
      </c>
    </row>
    <row r="11" spans="1:11" x14ac:dyDescent="0.25">
      <c r="A11" t="str">
        <f t="shared" si="0"/>
        <v>-3.3900%</v>
      </c>
      <c r="B11">
        <f t="shared" si="2"/>
        <v>-3.39E-2</v>
      </c>
      <c r="C11">
        <v>978.43621111789832</v>
      </c>
    </row>
    <row r="12" spans="1:11" x14ac:dyDescent="0.25">
      <c r="A12" t="str">
        <f t="shared" si="0"/>
        <v>-3.2900%</v>
      </c>
      <c r="B12">
        <f t="shared" si="2"/>
        <v>-3.2899999999999999E-2</v>
      </c>
      <c r="C12">
        <v>978.4362111178981</v>
      </c>
    </row>
    <row r="13" spans="1:11" x14ac:dyDescent="0.25">
      <c r="A13" t="str">
        <f t="shared" si="0"/>
        <v>-3.1900%</v>
      </c>
      <c r="B13">
        <f t="shared" si="2"/>
        <v>-3.1899999999999998E-2</v>
      </c>
      <c r="C13">
        <v>978.4362111178981</v>
      </c>
    </row>
    <row r="14" spans="1:11" x14ac:dyDescent="0.25">
      <c r="A14" t="str">
        <f t="shared" si="0"/>
        <v>-3.0900%</v>
      </c>
      <c r="B14">
        <f t="shared" si="2"/>
        <v>-3.0899999999999997E-2</v>
      </c>
      <c r="C14">
        <v>978.4362111178981</v>
      </c>
    </row>
    <row r="15" spans="1:11" x14ac:dyDescent="0.25">
      <c r="A15" t="str">
        <f t="shared" si="0"/>
        <v>-2.9900%</v>
      </c>
      <c r="B15">
        <f t="shared" si="2"/>
        <v>-2.9899999999999996E-2</v>
      </c>
      <c r="C15">
        <v>978.43621111789832</v>
      </c>
    </row>
    <row r="16" spans="1:11" x14ac:dyDescent="0.25">
      <c r="A16" t="str">
        <f t="shared" si="0"/>
        <v>-2.8900%</v>
      </c>
      <c r="B16">
        <f t="shared" si="2"/>
        <v>-2.8899999999999995E-2</v>
      </c>
      <c r="C16">
        <v>978.4362111178981</v>
      </c>
    </row>
    <row r="17" spans="1:3" x14ac:dyDescent="0.25">
      <c r="A17" t="str">
        <f t="shared" si="0"/>
        <v>-2.7900%</v>
      </c>
      <c r="B17">
        <f t="shared" si="2"/>
        <v>-2.7899999999999994E-2</v>
      </c>
      <c r="C17">
        <v>978.4362111178981</v>
      </c>
    </row>
    <row r="18" spans="1:3" x14ac:dyDescent="0.25">
      <c r="A18" t="str">
        <f t="shared" si="0"/>
        <v>-2.6900%</v>
      </c>
      <c r="B18">
        <f t="shared" si="2"/>
        <v>-2.6899999999999993E-2</v>
      </c>
      <c r="C18">
        <v>978.43621111789832</v>
      </c>
    </row>
    <row r="19" spans="1:3" x14ac:dyDescent="0.25">
      <c r="A19" t="str">
        <f t="shared" si="0"/>
        <v>-2.5900%</v>
      </c>
      <c r="B19">
        <f t="shared" si="2"/>
        <v>-2.5899999999999992E-2</v>
      </c>
      <c r="C19">
        <v>978.4362111178981</v>
      </c>
    </row>
    <row r="20" spans="1:3" x14ac:dyDescent="0.25">
      <c r="A20" t="str">
        <f t="shared" si="0"/>
        <v>-2.4900%</v>
      </c>
      <c r="B20">
        <f t="shared" si="2"/>
        <v>-2.4899999999999992E-2</v>
      </c>
      <c r="C20">
        <v>978.4362111178981</v>
      </c>
    </row>
    <row r="21" spans="1:3" x14ac:dyDescent="0.25">
      <c r="A21" t="str">
        <f t="shared" si="0"/>
        <v>-2.3900%</v>
      </c>
      <c r="B21">
        <f t="shared" si="2"/>
        <v>-2.3899999999999991E-2</v>
      </c>
      <c r="C21">
        <v>978.4362111178981</v>
      </c>
    </row>
    <row r="22" spans="1:3" x14ac:dyDescent="0.25">
      <c r="A22" t="str">
        <f t="shared" si="0"/>
        <v>-2.2900%</v>
      </c>
      <c r="B22">
        <f t="shared" si="2"/>
        <v>-2.289999999999999E-2</v>
      </c>
      <c r="C22">
        <v>978.4362111178981</v>
      </c>
    </row>
    <row r="23" spans="1:3" x14ac:dyDescent="0.25">
      <c r="A23" t="str">
        <f t="shared" si="0"/>
        <v>-2.1900%</v>
      </c>
      <c r="B23">
        <f t="shared" si="2"/>
        <v>-2.1899999999999989E-2</v>
      </c>
      <c r="C23">
        <v>978.4362111178981</v>
      </c>
    </row>
    <row r="24" spans="1:3" x14ac:dyDescent="0.25">
      <c r="A24" t="str">
        <f t="shared" si="0"/>
        <v>-2.0900%</v>
      </c>
      <c r="B24">
        <f t="shared" si="2"/>
        <v>-2.0899999999999988E-2</v>
      </c>
      <c r="C24">
        <v>978.43621111789832</v>
      </c>
    </row>
    <row r="25" spans="1:3" x14ac:dyDescent="0.25">
      <c r="A25" t="str">
        <f t="shared" si="0"/>
        <v>-1.9900%</v>
      </c>
      <c r="B25">
        <f t="shared" si="2"/>
        <v>-1.9899999999999987E-2</v>
      </c>
      <c r="C25">
        <v>978.4362111178981</v>
      </c>
    </row>
    <row r="26" spans="1:3" x14ac:dyDescent="0.25">
      <c r="A26" t="str">
        <f t="shared" si="0"/>
        <v>-1.8900%</v>
      </c>
      <c r="B26">
        <f t="shared" si="2"/>
        <v>-1.8899999999999986E-2</v>
      </c>
      <c r="C26">
        <v>978.4362111178981</v>
      </c>
    </row>
    <row r="27" spans="1:3" x14ac:dyDescent="0.25">
      <c r="A27" t="str">
        <f t="shared" si="0"/>
        <v>-1.7900%</v>
      </c>
      <c r="B27">
        <f t="shared" si="2"/>
        <v>-1.7899999999999985E-2</v>
      </c>
      <c r="C27">
        <v>978.4362111178981</v>
      </c>
    </row>
    <row r="28" spans="1:3" x14ac:dyDescent="0.25">
      <c r="A28" t="str">
        <f t="shared" si="0"/>
        <v>-1.6900%</v>
      </c>
      <c r="B28">
        <f t="shared" si="2"/>
        <v>-1.6899999999999984E-2</v>
      </c>
      <c r="C28">
        <v>978.43621111789832</v>
      </c>
    </row>
    <row r="29" spans="1:3" x14ac:dyDescent="0.25">
      <c r="A29" t="str">
        <f t="shared" si="0"/>
        <v>-1.5900%</v>
      </c>
      <c r="B29">
        <f t="shared" si="2"/>
        <v>-1.5899999999999984E-2</v>
      </c>
      <c r="C29">
        <v>978.43621111789764</v>
      </c>
    </row>
    <row r="30" spans="1:3" x14ac:dyDescent="0.25">
      <c r="A30" t="str">
        <f t="shared" si="0"/>
        <v>-1.4900%</v>
      </c>
      <c r="B30">
        <f t="shared" si="2"/>
        <v>-1.4899999999999983E-2</v>
      </c>
      <c r="C30">
        <v>978.43621111789832</v>
      </c>
    </row>
    <row r="31" spans="1:3" x14ac:dyDescent="0.25">
      <c r="A31" t="str">
        <f t="shared" si="0"/>
        <v>-1.3900%</v>
      </c>
      <c r="B31">
        <f t="shared" si="2"/>
        <v>-1.3899999999999982E-2</v>
      </c>
      <c r="C31">
        <v>978.4362111178981</v>
      </c>
    </row>
    <row r="32" spans="1:3" x14ac:dyDescent="0.25">
      <c r="A32" t="str">
        <f t="shared" si="0"/>
        <v>-1.2900%</v>
      </c>
      <c r="B32">
        <f t="shared" si="2"/>
        <v>-1.2899999999999981E-2</v>
      </c>
      <c r="C32">
        <v>978.4362111178981</v>
      </c>
    </row>
    <row r="33" spans="1:3" x14ac:dyDescent="0.25">
      <c r="A33" t="str">
        <f t="shared" si="0"/>
        <v>-1.1900%</v>
      </c>
      <c r="B33">
        <f t="shared" si="2"/>
        <v>-1.189999999999998E-2</v>
      </c>
      <c r="C33">
        <v>978.43621111789832</v>
      </c>
    </row>
    <row r="34" spans="1:3" x14ac:dyDescent="0.25">
      <c r="A34" t="str">
        <f t="shared" si="0"/>
        <v>-1.0900%</v>
      </c>
      <c r="B34">
        <f t="shared" si="2"/>
        <v>-1.0899999999999979E-2</v>
      </c>
      <c r="C34">
        <v>978.43621111789798</v>
      </c>
    </row>
    <row r="35" spans="1:3" x14ac:dyDescent="0.25">
      <c r="A35" t="str">
        <f t="shared" si="0"/>
        <v>-0.9900%</v>
      </c>
      <c r="B35">
        <f t="shared" si="2"/>
        <v>-9.8999999999999783E-3</v>
      </c>
      <c r="C35">
        <v>978.4362111178981</v>
      </c>
    </row>
    <row r="36" spans="1:3" x14ac:dyDescent="0.25">
      <c r="A36" t="str">
        <f t="shared" si="0"/>
        <v>-0.8900%</v>
      </c>
      <c r="B36">
        <f t="shared" si="2"/>
        <v>-8.8999999999999774E-3</v>
      </c>
      <c r="C36">
        <v>978.43621111789798</v>
      </c>
    </row>
    <row r="37" spans="1:3" x14ac:dyDescent="0.25">
      <c r="A37" t="str">
        <f t="shared" si="0"/>
        <v>-0.7900%</v>
      </c>
      <c r="B37">
        <f t="shared" si="2"/>
        <v>-7.8999999999999765E-3</v>
      </c>
      <c r="C37">
        <v>978.43621111789798</v>
      </c>
    </row>
    <row r="38" spans="1:3" x14ac:dyDescent="0.25">
      <c r="A38" t="str">
        <f t="shared" si="0"/>
        <v>-0.6900%</v>
      </c>
      <c r="B38">
        <f t="shared" si="2"/>
        <v>-6.8999999999999765E-3</v>
      </c>
      <c r="C38">
        <v>978.43621111789832</v>
      </c>
    </row>
    <row r="39" spans="1:3" x14ac:dyDescent="0.25">
      <c r="A39" t="str">
        <f t="shared" si="0"/>
        <v>-0.5900%</v>
      </c>
      <c r="B39">
        <f t="shared" si="2"/>
        <v>-5.8999999999999764E-3</v>
      </c>
      <c r="C39">
        <v>978.43621111789832</v>
      </c>
    </row>
    <row r="40" spans="1:3" x14ac:dyDescent="0.25">
      <c r="A40" t="str">
        <f t="shared" si="0"/>
        <v>-0.4900%</v>
      </c>
      <c r="B40">
        <f t="shared" si="2"/>
        <v>-4.8999999999999764E-3</v>
      </c>
      <c r="C40">
        <v>978.4362111178981</v>
      </c>
    </row>
    <row r="41" spans="1:3" x14ac:dyDescent="0.25">
      <c r="A41" t="str">
        <f t="shared" si="0"/>
        <v>-0.3900%</v>
      </c>
      <c r="B41">
        <f t="shared" si="2"/>
        <v>-3.8999999999999764E-3</v>
      </c>
      <c r="C41">
        <v>978.43621111789832</v>
      </c>
    </row>
    <row r="42" spans="1:3" x14ac:dyDescent="0.25">
      <c r="A42" t="str">
        <f t="shared" si="0"/>
        <v>-0.2900%</v>
      </c>
      <c r="B42">
        <f t="shared" si="2"/>
        <v>-2.8999999999999764E-3</v>
      </c>
      <c r="C42">
        <v>978.43621111789832</v>
      </c>
    </row>
    <row r="43" spans="1:3" x14ac:dyDescent="0.25">
      <c r="A43" t="str">
        <f t="shared" si="0"/>
        <v>-0.1900%</v>
      </c>
      <c r="B43">
        <f t="shared" si="2"/>
        <v>-1.8999999999999764E-3</v>
      </c>
      <c r="C43">
        <v>978.4362111178981</v>
      </c>
    </row>
    <row r="44" spans="1:3" x14ac:dyDescent="0.25">
      <c r="A44" t="str">
        <f t="shared" si="0"/>
        <v>-0.0900%</v>
      </c>
      <c r="B44">
        <f t="shared" si="2"/>
        <v>-8.9999999999997634E-4</v>
      </c>
      <c r="C44">
        <v>978.4362111178981</v>
      </c>
    </row>
    <row r="45" spans="1:3" x14ac:dyDescent="0.25">
      <c r="A45" t="str">
        <f t="shared" si="0"/>
        <v>0.0100%</v>
      </c>
      <c r="B45">
        <f t="shared" si="2"/>
        <v>1.0000000000002368E-4</v>
      </c>
      <c r="C45">
        <v>978.4362111178981</v>
      </c>
    </row>
    <row r="46" spans="1:3" x14ac:dyDescent="0.25">
      <c r="A46" t="str">
        <f t="shared" si="0"/>
        <v>0.1100%</v>
      </c>
      <c r="B46">
        <f t="shared" si="2"/>
        <v>1.1000000000000237E-3</v>
      </c>
      <c r="C46">
        <v>978.43621111789832</v>
      </c>
    </row>
    <row r="47" spans="1:3" x14ac:dyDescent="0.25">
      <c r="A47" t="str">
        <f t="shared" si="0"/>
        <v>0.2100%</v>
      </c>
      <c r="B47">
        <f t="shared" si="2"/>
        <v>2.1000000000000237E-3</v>
      </c>
      <c r="C47">
        <v>978.43621111789832</v>
      </c>
    </row>
    <row r="48" spans="1:3" x14ac:dyDescent="0.25">
      <c r="A48" t="str">
        <f t="shared" si="0"/>
        <v>0.3100%</v>
      </c>
      <c r="B48">
        <f t="shared" si="2"/>
        <v>3.1000000000000237E-3</v>
      </c>
      <c r="C48">
        <v>978.4362111178981</v>
      </c>
    </row>
    <row r="49" spans="1:3" x14ac:dyDescent="0.25">
      <c r="A49" t="str">
        <f t="shared" si="0"/>
        <v>0.4100%</v>
      </c>
      <c r="B49">
        <f t="shared" si="2"/>
        <v>4.1000000000000238E-3</v>
      </c>
      <c r="C49">
        <v>978.43621111789776</v>
      </c>
    </row>
    <row r="50" spans="1:3" x14ac:dyDescent="0.25">
      <c r="A50" t="str">
        <f t="shared" si="0"/>
        <v>0.5100%</v>
      </c>
      <c r="B50">
        <f t="shared" si="2"/>
        <v>5.1000000000000238E-3</v>
      </c>
      <c r="C50">
        <v>978.43621111789798</v>
      </c>
    </row>
    <row r="51" spans="1:3" x14ac:dyDescent="0.25">
      <c r="A51" t="str">
        <f t="shared" si="0"/>
        <v>0.6100%</v>
      </c>
      <c r="B51">
        <f t="shared" si="2"/>
        <v>6.1000000000000238E-3</v>
      </c>
      <c r="C51">
        <v>978.43621111789764</v>
      </c>
    </row>
    <row r="52" spans="1:3" x14ac:dyDescent="0.25">
      <c r="A52" t="str">
        <f t="shared" si="0"/>
        <v>0.7100%</v>
      </c>
      <c r="B52">
        <f t="shared" si="2"/>
        <v>7.1000000000000238E-3</v>
      </c>
      <c r="C52">
        <v>978.4362111178981</v>
      </c>
    </row>
    <row r="53" spans="1:3" x14ac:dyDescent="0.25">
      <c r="A53" t="str">
        <f t="shared" si="0"/>
        <v>0.8100%</v>
      </c>
      <c r="B53">
        <f t="shared" si="2"/>
        <v>8.1000000000000238E-3</v>
      </c>
      <c r="C53">
        <v>978.43621111789776</v>
      </c>
    </row>
    <row r="54" spans="1:3" x14ac:dyDescent="0.25">
      <c r="A54" t="str">
        <f t="shared" si="0"/>
        <v>0.9100%</v>
      </c>
      <c r="B54">
        <f t="shared" si="2"/>
        <v>9.1000000000000247E-3</v>
      </c>
      <c r="C54">
        <v>978.43621111789764</v>
      </c>
    </row>
    <row r="55" spans="1:3" x14ac:dyDescent="0.25">
      <c r="A55" t="str">
        <f t="shared" si="0"/>
        <v>1.0100%</v>
      </c>
      <c r="B55">
        <f t="shared" si="2"/>
        <v>1.0100000000000026E-2</v>
      </c>
      <c r="C55">
        <v>978.4362111178981</v>
      </c>
    </row>
    <row r="56" spans="1:3" x14ac:dyDescent="0.25">
      <c r="A56" t="str">
        <f t="shared" si="0"/>
        <v>1.1100%</v>
      </c>
      <c r="B56">
        <f t="shared" si="2"/>
        <v>1.1100000000000027E-2</v>
      </c>
      <c r="C56">
        <v>978.43621111789832</v>
      </c>
    </row>
    <row r="57" spans="1:3" x14ac:dyDescent="0.25">
      <c r="A57" t="str">
        <f t="shared" si="0"/>
        <v>1.2100%</v>
      </c>
      <c r="B57">
        <f t="shared" si="2"/>
        <v>1.2100000000000027E-2</v>
      </c>
      <c r="C57">
        <v>978.4362111178981</v>
      </c>
    </row>
    <row r="58" spans="1:3" x14ac:dyDescent="0.25">
      <c r="A58" t="str">
        <f t="shared" si="0"/>
        <v>1.3100%</v>
      </c>
      <c r="B58">
        <f t="shared" si="2"/>
        <v>1.3100000000000028E-2</v>
      </c>
      <c r="C58">
        <v>978.4362111178981</v>
      </c>
    </row>
    <row r="59" spans="1:3" x14ac:dyDescent="0.25">
      <c r="A59" t="str">
        <f t="shared" si="0"/>
        <v>1.4100%</v>
      </c>
      <c r="B59">
        <f t="shared" si="2"/>
        <v>1.4100000000000029E-2</v>
      </c>
      <c r="C59">
        <v>978.43621111789798</v>
      </c>
    </row>
    <row r="60" spans="1:3" x14ac:dyDescent="0.25">
      <c r="A60" t="str">
        <f t="shared" si="0"/>
        <v>1.5100%</v>
      </c>
      <c r="B60">
        <f t="shared" si="2"/>
        <v>1.510000000000003E-2</v>
      </c>
      <c r="C60">
        <v>978.4362111178981</v>
      </c>
    </row>
    <row r="61" spans="1:3" x14ac:dyDescent="0.25">
      <c r="A61" t="str">
        <f t="shared" si="0"/>
        <v>1.6100%</v>
      </c>
      <c r="B61">
        <f t="shared" si="2"/>
        <v>1.6100000000000031E-2</v>
      </c>
      <c r="C61">
        <v>978.4362111178981</v>
      </c>
    </row>
    <row r="62" spans="1:3" x14ac:dyDescent="0.25">
      <c r="A62" t="str">
        <f t="shared" si="0"/>
        <v>1.7100%</v>
      </c>
      <c r="B62">
        <f t="shared" si="2"/>
        <v>1.7100000000000032E-2</v>
      </c>
      <c r="C62">
        <v>978.4362111178981</v>
      </c>
    </row>
    <row r="63" spans="1:3" x14ac:dyDescent="0.25">
      <c r="A63" t="str">
        <f t="shared" si="0"/>
        <v>1.8100%</v>
      </c>
      <c r="B63">
        <f t="shared" si="2"/>
        <v>1.8100000000000033E-2</v>
      </c>
      <c r="C63">
        <v>978.4362111178981</v>
      </c>
    </row>
    <row r="64" spans="1:3" x14ac:dyDescent="0.25">
      <c r="A64" t="str">
        <f t="shared" si="0"/>
        <v>1.9100%</v>
      </c>
      <c r="B64">
        <f t="shared" si="2"/>
        <v>1.9100000000000034E-2</v>
      </c>
      <c r="C64">
        <v>978.43621111789764</v>
      </c>
    </row>
    <row r="65" spans="1:3" x14ac:dyDescent="0.25">
      <c r="A65" t="str">
        <f t="shared" si="0"/>
        <v>2.0100%</v>
      </c>
      <c r="B65">
        <f t="shared" si="2"/>
        <v>2.0100000000000035E-2</v>
      </c>
      <c r="C65">
        <v>978.4362111178981</v>
      </c>
    </row>
    <row r="66" spans="1:3" x14ac:dyDescent="0.25">
      <c r="A66" t="str">
        <f t="shared" si="0"/>
        <v>2.1100%</v>
      </c>
      <c r="B66">
        <f t="shared" si="2"/>
        <v>2.1100000000000035E-2</v>
      </c>
      <c r="C66">
        <v>978.43621111789776</v>
      </c>
    </row>
    <row r="67" spans="1:3" x14ac:dyDescent="0.25">
      <c r="A67" t="str">
        <f t="shared" si="0"/>
        <v>2.2100%</v>
      </c>
      <c r="B67">
        <f t="shared" si="2"/>
        <v>2.2100000000000036E-2</v>
      </c>
      <c r="C67">
        <v>978.4362111178981</v>
      </c>
    </row>
    <row r="68" spans="1:3" x14ac:dyDescent="0.25">
      <c r="A68" t="str">
        <f t="shared" si="0"/>
        <v>2.3100%</v>
      </c>
      <c r="B68">
        <f t="shared" si="2"/>
        <v>2.3100000000000037E-2</v>
      </c>
      <c r="C68">
        <v>978.43621111789798</v>
      </c>
    </row>
    <row r="69" spans="1:3" x14ac:dyDescent="0.25">
      <c r="A69" t="str">
        <f t="shared" ref="A69:A104" si="3">TEXT(B69,"0.0000%")</f>
        <v>2.4100%</v>
      </c>
      <c r="B69">
        <f t="shared" si="2"/>
        <v>2.4100000000000038E-2</v>
      </c>
      <c r="C69">
        <v>978.4362111178981</v>
      </c>
    </row>
    <row r="70" spans="1:3" x14ac:dyDescent="0.25">
      <c r="A70" t="str">
        <f t="shared" si="3"/>
        <v>2.5100%</v>
      </c>
      <c r="B70">
        <f t="shared" ref="B70:B104" si="4">B69+0.001</f>
        <v>2.5100000000000039E-2</v>
      </c>
      <c r="C70">
        <v>978.4362111178981</v>
      </c>
    </row>
    <row r="71" spans="1:3" x14ac:dyDescent="0.25">
      <c r="A71" t="str">
        <f t="shared" si="3"/>
        <v>2.6100%</v>
      </c>
      <c r="B71">
        <f t="shared" si="4"/>
        <v>2.610000000000004E-2</v>
      </c>
      <c r="C71">
        <v>978.4362111178981</v>
      </c>
    </row>
    <row r="72" spans="1:3" x14ac:dyDescent="0.25">
      <c r="A72" t="str">
        <f t="shared" si="3"/>
        <v>2.7100%</v>
      </c>
      <c r="B72">
        <f t="shared" si="4"/>
        <v>2.7100000000000041E-2</v>
      </c>
      <c r="C72">
        <v>978.43621111789764</v>
      </c>
    </row>
    <row r="73" spans="1:3" x14ac:dyDescent="0.25">
      <c r="A73" t="str">
        <f t="shared" si="3"/>
        <v>2.8100%</v>
      </c>
      <c r="B73">
        <f t="shared" si="4"/>
        <v>2.8100000000000042E-2</v>
      </c>
      <c r="C73">
        <v>978.4362111178981</v>
      </c>
    </row>
    <row r="74" spans="1:3" x14ac:dyDescent="0.25">
      <c r="A74" t="str">
        <f t="shared" si="3"/>
        <v>2.9100%</v>
      </c>
      <c r="B74">
        <f t="shared" si="4"/>
        <v>2.9100000000000042E-2</v>
      </c>
      <c r="C74">
        <v>978.4362111178981</v>
      </c>
    </row>
    <row r="75" spans="1:3" x14ac:dyDescent="0.25">
      <c r="A75" t="str">
        <f t="shared" si="3"/>
        <v>3.0100%</v>
      </c>
      <c r="B75">
        <f t="shared" si="4"/>
        <v>3.0100000000000043E-2</v>
      </c>
      <c r="C75">
        <v>978.43621111789741</v>
      </c>
    </row>
    <row r="76" spans="1:3" x14ac:dyDescent="0.25">
      <c r="A76" t="str">
        <f t="shared" si="3"/>
        <v>3.1100%</v>
      </c>
      <c r="B76">
        <f t="shared" si="4"/>
        <v>3.1100000000000044E-2</v>
      </c>
      <c r="C76">
        <v>978.43621111789776</v>
      </c>
    </row>
    <row r="77" spans="1:3" x14ac:dyDescent="0.25">
      <c r="A77" t="str">
        <f t="shared" si="3"/>
        <v>3.2100%</v>
      </c>
      <c r="B77">
        <f t="shared" si="4"/>
        <v>3.2100000000000045E-2</v>
      </c>
      <c r="C77">
        <v>978.4362111178981</v>
      </c>
    </row>
    <row r="78" spans="1:3" x14ac:dyDescent="0.25">
      <c r="A78" t="str">
        <f t="shared" si="3"/>
        <v>3.3100%</v>
      </c>
      <c r="B78">
        <f t="shared" si="4"/>
        <v>3.3100000000000046E-2</v>
      </c>
      <c r="C78">
        <v>978.43621111789798</v>
      </c>
    </row>
    <row r="79" spans="1:3" x14ac:dyDescent="0.25">
      <c r="A79" t="str">
        <f t="shared" si="3"/>
        <v>3.4100%</v>
      </c>
      <c r="B79">
        <f t="shared" si="4"/>
        <v>3.4100000000000047E-2</v>
      </c>
      <c r="C79">
        <v>978.4362111178981</v>
      </c>
    </row>
    <row r="80" spans="1:3" x14ac:dyDescent="0.25">
      <c r="A80" t="str">
        <f t="shared" si="3"/>
        <v>3.5100%</v>
      </c>
      <c r="B80">
        <f t="shared" si="4"/>
        <v>3.5100000000000048E-2</v>
      </c>
      <c r="C80">
        <v>978.4362111178981</v>
      </c>
    </row>
    <row r="81" spans="1:3" x14ac:dyDescent="0.25">
      <c r="A81" t="str">
        <f t="shared" si="3"/>
        <v>3.6100%</v>
      </c>
      <c r="B81">
        <f t="shared" si="4"/>
        <v>3.6100000000000049E-2</v>
      </c>
      <c r="C81">
        <v>978.43621111789832</v>
      </c>
    </row>
    <row r="82" spans="1:3" x14ac:dyDescent="0.25">
      <c r="A82" t="str">
        <f t="shared" si="3"/>
        <v>3.7100%</v>
      </c>
      <c r="B82">
        <f t="shared" si="4"/>
        <v>3.710000000000005E-2</v>
      </c>
      <c r="C82">
        <v>978.4362111178981</v>
      </c>
    </row>
    <row r="83" spans="1:3" x14ac:dyDescent="0.25">
      <c r="A83" t="str">
        <f t="shared" si="3"/>
        <v>3.8100%</v>
      </c>
      <c r="B83">
        <f t="shared" si="4"/>
        <v>3.810000000000005E-2</v>
      </c>
      <c r="C83">
        <v>978.43621111789832</v>
      </c>
    </row>
    <row r="84" spans="1:3" x14ac:dyDescent="0.25">
      <c r="A84" t="str">
        <f t="shared" si="3"/>
        <v>3.9100%</v>
      </c>
      <c r="B84">
        <f t="shared" si="4"/>
        <v>3.9100000000000051E-2</v>
      </c>
      <c r="C84">
        <v>978.43621111789832</v>
      </c>
    </row>
    <row r="85" spans="1:3" x14ac:dyDescent="0.25">
      <c r="A85" t="str">
        <f t="shared" si="3"/>
        <v>4.0100%</v>
      </c>
      <c r="B85">
        <f t="shared" si="4"/>
        <v>4.0100000000000052E-2</v>
      </c>
      <c r="C85">
        <v>978.43621111789798</v>
      </c>
    </row>
    <row r="86" spans="1:3" x14ac:dyDescent="0.25">
      <c r="A86" t="str">
        <f t="shared" si="3"/>
        <v>4.1100%</v>
      </c>
      <c r="B86">
        <f t="shared" si="4"/>
        <v>4.1100000000000053E-2</v>
      </c>
      <c r="C86">
        <v>978.4362111178981</v>
      </c>
    </row>
    <row r="87" spans="1:3" x14ac:dyDescent="0.25">
      <c r="A87" t="str">
        <f t="shared" si="3"/>
        <v>4.2100%</v>
      </c>
      <c r="B87">
        <f t="shared" si="4"/>
        <v>4.2100000000000054E-2</v>
      </c>
      <c r="C87">
        <v>978.4362111178981</v>
      </c>
    </row>
    <row r="88" spans="1:3" x14ac:dyDescent="0.25">
      <c r="A88" t="str">
        <f t="shared" si="3"/>
        <v>4.3100%</v>
      </c>
      <c r="B88">
        <f t="shared" si="4"/>
        <v>4.3100000000000055E-2</v>
      </c>
      <c r="C88">
        <v>978.43621111789798</v>
      </c>
    </row>
    <row r="89" spans="1:3" x14ac:dyDescent="0.25">
      <c r="A89" t="str">
        <f t="shared" si="3"/>
        <v>4.4100%</v>
      </c>
      <c r="B89">
        <f t="shared" si="4"/>
        <v>4.4100000000000056E-2</v>
      </c>
      <c r="C89">
        <v>978.43621111789832</v>
      </c>
    </row>
    <row r="90" spans="1:3" x14ac:dyDescent="0.25">
      <c r="A90" t="str">
        <f t="shared" si="3"/>
        <v>4.5100%</v>
      </c>
      <c r="B90">
        <f t="shared" si="4"/>
        <v>4.5100000000000057E-2</v>
      </c>
      <c r="C90">
        <v>978.4362111178981</v>
      </c>
    </row>
    <row r="91" spans="1:3" x14ac:dyDescent="0.25">
      <c r="A91" t="str">
        <f t="shared" si="3"/>
        <v>4.6100%</v>
      </c>
      <c r="B91">
        <f t="shared" si="4"/>
        <v>4.6100000000000058E-2</v>
      </c>
      <c r="C91">
        <v>978.4362111178981</v>
      </c>
    </row>
    <row r="92" spans="1:3" x14ac:dyDescent="0.25">
      <c r="A92" t="str">
        <f t="shared" si="3"/>
        <v>4.7100%</v>
      </c>
      <c r="B92">
        <f t="shared" si="4"/>
        <v>4.7100000000000058E-2</v>
      </c>
      <c r="C92">
        <v>978.43621111789832</v>
      </c>
    </row>
    <row r="93" spans="1:3" x14ac:dyDescent="0.25">
      <c r="A93" t="str">
        <f t="shared" si="3"/>
        <v>4.8100%</v>
      </c>
      <c r="B93">
        <f t="shared" si="4"/>
        <v>4.8100000000000059E-2</v>
      </c>
      <c r="C93">
        <v>978.4362111178981</v>
      </c>
    </row>
    <row r="94" spans="1:3" x14ac:dyDescent="0.25">
      <c r="A94" t="str">
        <f t="shared" si="3"/>
        <v>4.9100%</v>
      </c>
      <c r="B94">
        <f t="shared" si="4"/>
        <v>4.910000000000006E-2</v>
      </c>
      <c r="C94">
        <v>978.43621111789798</v>
      </c>
    </row>
    <row r="95" spans="1:3" x14ac:dyDescent="0.25">
      <c r="A95" t="str">
        <f t="shared" si="3"/>
        <v>5.0100%</v>
      </c>
      <c r="B95">
        <f t="shared" si="4"/>
        <v>5.0100000000000061E-2</v>
      </c>
      <c r="C95">
        <v>978.43621111789798</v>
      </c>
    </row>
    <row r="96" spans="1:3" x14ac:dyDescent="0.25">
      <c r="A96" t="str">
        <f t="shared" si="3"/>
        <v>5.1100%</v>
      </c>
      <c r="B96">
        <f t="shared" si="4"/>
        <v>5.1100000000000062E-2</v>
      </c>
      <c r="C96">
        <v>978.43621111789832</v>
      </c>
    </row>
    <row r="97" spans="1:3" x14ac:dyDescent="0.25">
      <c r="A97" t="str">
        <f t="shared" si="3"/>
        <v>5.2100%</v>
      </c>
      <c r="B97">
        <f t="shared" si="4"/>
        <v>5.2100000000000063E-2</v>
      </c>
      <c r="C97">
        <v>978.43621111789798</v>
      </c>
    </row>
    <row r="98" spans="1:3" x14ac:dyDescent="0.25">
      <c r="A98" t="str">
        <f t="shared" si="3"/>
        <v>5.3100%</v>
      </c>
      <c r="B98">
        <f t="shared" si="4"/>
        <v>5.3100000000000064E-2</v>
      </c>
      <c r="C98">
        <v>978.43621111789832</v>
      </c>
    </row>
    <row r="99" spans="1:3" x14ac:dyDescent="0.25">
      <c r="A99" t="str">
        <f t="shared" si="3"/>
        <v>5.4100%</v>
      </c>
      <c r="B99">
        <f t="shared" si="4"/>
        <v>5.4100000000000065E-2</v>
      </c>
      <c r="C99">
        <v>978.43621111789798</v>
      </c>
    </row>
    <row r="100" spans="1:3" x14ac:dyDescent="0.25">
      <c r="A100" t="str">
        <f t="shared" si="3"/>
        <v>5.5100%</v>
      </c>
      <c r="B100">
        <f t="shared" si="4"/>
        <v>5.5100000000000066E-2</v>
      </c>
      <c r="C100">
        <v>978.43621111789798</v>
      </c>
    </row>
    <row r="101" spans="1:3" x14ac:dyDescent="0.25">
      <c r="A101" t="str">
        <f t="shared" si="3"/>
        <v>5.6100%</v>
      </c>
      <c r="B101">
        <f t="shared" si="4"/>
        <v>5.6100000000000066E-2</v>
      </c>
      <c r="C101">
        <v>978.43621111789832</v>
      </c>
    </row>
    <row r="102" spans="1:3" x14ac:dyDescent="0.25">
      <c r="A102" t="str">
        <f t="shared" si="3"/>
        <v>5.7100%</v>
      </c>
      <c r="B102">
        <f t="shared" si="4"/>
        <v>5.7100000000000067E-2</v>
      </c>
      <c r="C102">
        <v>978.4362111178981</v>
      </c>
    </row>
    <row r="103" spans="1:3" x14ac:dyDescent="0.25">
      <c r="A103" t="str">
        <f t="shared" si="3"/>
        <v>5.8100%</v>
      </c>
      <c r="B103">
        <f t="shared" si="4"/>
        <v>5.8100000000000068E-2</v>
      </c>
      <c r="C103">
        <v>978.4362111178981</v>
      </c>
    </row>
    <row r="104" spans="1:3" x14ac:dyDescent="0.25">
      <c r="A104" t="str">
        <f t="shared" si="3"/>
        <v>5.9100%</v>
      </c>
      <c r="B104">
        <f t="shared" si="4"/>
        <v>5.9100000000000069E-2</v>
      </c>
      <c r="C104">
        <v>978.43621111789832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heet11.black_scholes_sensitivity_in_r3">
                <anchor moveWithCells="1" sizeWithCells="1">
                  <from>
                    <xdr:col>4</xdr:col>
                    <xdr:colOff>57150</xdr:colOff>
                    <xdr:row>3</xdr:row>
                    <xdr:rowOff>66675</xdr:rowOff>
                  </from>
                  <to>
                    <xdr:col>5</xdr:col>
                    <xdr:colOff>419100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Read me</vt:lpstr>
      <vt:lpstr>Parameter Page</vt:lpstr>
      <vt:lpstr>Changes in S1</vt:lpstr>
      <vt:lpstr>Changes in S2</vt:lpstr>
      <vt:lpstr>Changes in S3</vt:lpstr>
      <vt:lpstr>Changes in sigma_S1</vt:lpstr>
      <vt:lpstr>Changes_in_sigma_S2</vt:lpstr>
      <vt:lpstr>Changes_in_sigma_S3</vt:lpstr>
      <vt:lpstr>Changes in r(1)</vt:lpstr>
      <vt:lpstr>Changes in r(2)</vt:lpstr>
      <vt:lpstr>changes in r(3)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LEUNG, Chi Shun</dc:creator>
  <cp:lastModifiedBy>admin_bdda</cp:lastModifiedBy>
  <dcterms:created xsi:type="dcterms:W3CDTF">2018-11-16T13:31:42Z</dcterms:created>
  <dcterms:modified xsi:type="dcterms:W3CDTF">2018-11-21T18:53:54Z</dcterms:modified>
</cp:coreProperties>
</file>